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metadata/core-properties" Target="docProps/core0.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llata-my.sharepoint.com/personal/cristian_gaspari_allata_com/Documents/Documentos/Associa/AI_Vantaca/CMA/"/>
    </mc:Choice>
  </mc:AlternateContent>
  <xr:revisionPtr revIDLastSave="3" documentId="8_{8EB21374-7928-47CF-9D5D-0A10768D8CE3}" xr6:coauthVersionLast="47" xr6:coauthVersionMax="47" xr10:uidLastSave="{F8BBEC0F-89DE-4710-BA13-86EDB386709B}"/>
  <bookViews>
    <workbookView xWindow="-120" yWindow="-120" windowWidth="29040" windowHeight="15720" tabRatio="500" activeTab="1" xr2:uid="{00000000-000D-0000-FFFF-FFFF00000000}"/>
  </bookViews>
  <sheets>
    <sheet name="Cover" sheetId="1" r:id="rId1"/>
    <sheet name="Assessment" sheetId="2" r:id="rId2"/>
    <sheet name="Change Plan (PC)" sheetId="3" r:id="rId3"/>
    <sheet name="Onboarding List (AC)" sheetId="4" r:id="rId4"/>
    <sheet name="Product Backlog (FB)" sheetId="5" r:id="rId5"/>
    <sheet name="Summary" sheetId="6" r:id="rId6"/>
    <sheet name="Renumber Map" sheetId="7" r:id="rId7"/>
  </sheets>
  <definedNames>
    <definedName name="_xlnm._FilterDatabase" localSheetId="1" hidden="1">Assessment!$A$4:$Q$730</definedName>
    <definedName name="_xlnm._FilterDatabase" localSheetId="6" hidden="1">'Renumber Map'!$A$1:$K$642</definedName>
    <definedName name="_xlnm.Print_Titles" localSheetId="1">Assessment!$3:$4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7" i="6" l="1" a="1"/>
  <c r="H7" i="6" s="1"/>
  <c r="H22" i="6" a="1"/>
  <c r="H22" i="6" s="1"/>
  <c r="H21" i="6" a="1"/>
  <c r="H21" i="6" s="1"/>
  <c r="H20" i="6" a="1"/>
  <c r="H20" i="6" s="1"/>
  <c r="H19" i="6" a="1"/>
  <c r="H19" i="6" s="1"/>
  <c r="H18" i="6" a="1"/>
  <c r="H18" i="6" s="1"/>
  <c r="H17" i="6" a="1"/>
  <c r="H17" i="6" s="1"/>
  <c r="H16" i="6" a="1"/>
  <c r="H16" i="6" s="1"/>
  <c r="H15" i="6" a="1"/>
  <c r="H15" i="6" s="1"/>
  <c r="H14" i="6" a="1"/>
  <c r="H14" i="6" s="1"/>
  <c r="H13" i="6" a="1"/>
  <c r="H13" i="6" s="1"/>
  <c r="H12" i="6" a="1"/>
  <c r="H12" i="6" s="1"/>
  <c r="H11" i="6" a="1"/>
  <c r="H11" i="6" s="1"/>
  <c r="H10" i="6" a="1"/>
  <c r="H10" i="6" s="1"/>
  <c r="H9" i="6" a="1"/>
  <c r="H9" i="6" s="1"/>
  <c r="H8" i="6" a="1"/>
  <c r="H8" i="6" s="1"/>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79" i="2"/>
  <c r="N278" i="2"/>
  <c r="N275" i="2"/>
  <c r="N272" i="2"/>
  <c r="N271" i="2"/>
  <c r="N268" i="2"/>
  <c r="N264" i="2"/>
  <c r="N260" i="2"/>
  <c r="N259" i="2"/>
  <c r="N258" i="2"/>
  <c r="N257" i="2"/>
  <c r="N256" i="2"/>
  <c r="N255" i="2"/>
  <c r="N252" i="2"/>
  <c r="N245" i="2"/>
  <c r="N244" i="2"/>
  <c r="N243"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3" i="2"/>
  <c r="N201" i="2"/>
  <c r="N199" i="2"/>
  <c r="N198" i="2"/>
  <c r="N194" i="2"/>
  <c r="N189" i="2"/>
  <c r="N184" i="2"/>
  <c r="N183" i="2"/>
  <c r="N173" i="2"/>
  <c r="N172" i="2"/>
  <c r="N170" i="2"/>
  <c r="N169" i="2"/>
  <c r="N168" i="2"/>
  <c r="N167" i="2"/>
  <c r="N163" i="2"/>
  <c r="N162" i="2"/>
  <c r="N161" i="2"/>
  <c r="N160"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1" i="2"/>
  <c r="N120" i="2"/>
  <c r="N119" i="2"/>
  <c r="N118" i="2"/>
  <c r="N117" i="2"/>
  <c r="N116" i="2"/>
  <c r="N115" i="2"/>
  <c r="N114" i="2"/>
  <c r="N113" i="2"/>
  <c r="N112" i="2"/>
  <c r="N111" i="2"/>
  <c r="N110" i="2"/>
  <c r="N109" i="2"/>
  <c r="N108" i="2"/>
  <c r="N107" i="2"/>
  <c r="N106" i="2"/>
  <c r="N105" i="2"/>
  <c r="N104" i="2"/>
  <c r="N103" i="2"/>
  <c r="N102" i="2"/>
  <c r="N101" i="2"/>
  <c r="N100" i="2"/>
  <c r="N99"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O645" i="2"/>
  <c r="M645" i="2"/>
  <c r="O644" i="2"/>
  <c r="M644" i="2"/>
  <c r="O643" i="2"/>
  <c r="M643" i="2"/>
  <c r="O642" i="2"/>
  <c r="M642" i="2"/>
  <c r="O641" i="2"/>
  <c r="M641" i="2"/>
  <c r="O640" i="2"/>
  <c r="M640" i="2"/>
  <c r="O639" i="2"/>
  <c r="M639" i="2"/>
  <c r="O638" i="2"/>
  <c r="M638" i="2"/>
  <c r="O637" i="2"/>
  <c r="M637" i="2"/>
  <c r="O636" i="2"/>
  <c r="M636" i="2"/>
  <c r="O635" i="2"/>
  <c r="M635" i="2"/>
  <c r="O634" i="2"/>
  <c r="M634" i="2"/>
  <c r="O633" i="2"/>
  <c r="M633" i="2"/>
  <c r="O632" i="2"/>
  <c r="M632" i="2"/>
  <c r="O631" i="2"/>
  <c r="M631" i="2"/>
  <c r="O630" i="2"/>
  <c r="M630" i="2"/>
  <c r="O629" i="2"/>
  <c r="M629" i="2"/>
  <c r="O628" i="2"/>
  <c r="M628" i="2"/>
  <c r="O627" i="2"/>
  <c r="M627" i="2"/>
  <c r="O626" i="2"/>
  <c r="M626" i="2"/>
  <c r="O625" i="2"/>
  <c r="M625" i="2"/>
  <c r="O624" i="2"/>
  <c r="M624" i="2"/>
  <c r="O623" i="2"/>
  <c r="M623" i="2"/>
  <c r="O622" i="2"/>
  <c r="M622" i="2"/>
  <c r="O621" i="2"/>
  <c r="M621" i="2"/>
  <c r="O620" i="2"/>
  <c r="M620" i="2"/>
  <c r="O619" i="2"/>
  <c r="M619" i="2"/>
  <c r="O618" i="2"/>
  <c r="M618" i="2"/>
  <c r="O617" i="2"/>
  <c r="M617" i="2"/>
  <c r="O616" i="2"/>
  <c r="M616" i="2"/>
  <c r="O615" i="2"/>
  <c r="M615" i="2"/>
  <c r="O614" i="2"/>
  <c r="M614" i="2"/>
  <c r="O613" i="2"/>
  <c r="M613" i="2"/>
  <c r="O612" i="2"/>
  <c r="M612" i="2"/>
  <c r="O611" i="2"/>
  <c r="M611" i="2"/>
  <c r="O610" i="2"/>
  <c r="M610" i="2"/>
  <c r="O609" i="2"/>
  <c r="M609" i="2"/>
  <c r="O608" i="2"/>
  <c r="M608" i="2"/>
  <c r="O607" i="2"/>
  <c r="M607" i="2"/>
  <c r="O606" i="2"/>
  <c r="M606" i="2"/>
  <c r="O605" i="2"/>
  <c r="M605" i="2"/>
  <c r="O604" i="2"/>
  <c r="M604" i="2"/>
  <c r="O603" i="2"/>
  <c r="M603" i="2"/>
  <c r="O602" i="2"/>
  <c r="M602" i="2"/>
  <c r="O601" i="2"/>
  <c r="M601" i="2"/>
  <c r="O600" i="2"/>
  <c r="M600" i="2"/>
  <c r="O599" i="2"/>
  <c r="M599" i="2"/>
  <c r="O598" i="2"/>
  <c r="M598" i="2"/>
  <c r="O597" i="2"/>
  <c r="M597" i="2"/>
  <c r="O596" i="2"/>
  <c r="M596" i="2"/>
  <c r="O595" i="2"/>
  <c r="M595" i="2"/>
  <c r="O594" i="2"/>
  <c r="M594" i="2"/>
  <c r="O593" i="2"/>
  <c r="M593" i="2"/>
  <c r="O592" i="2"/>
  <c r="M592" i="2"/>
  <c r="O591" i="2"/>
  <c r="M591" i="2"/>
  <c r="O590" i="2"/>
  <c r="M590" i="2"/>
  <c r="O589" i="2"/>
  <c r="M589" i="2"/>
  <c r="O588" i="2"/>
  <c r="M588" i="2"/>
  <c r="O587" i="2"/>
  <c r="M587" i="2"/>
  <c r="O586" i="2"/>
  <c r="M586" i="2"/>
  <c r="O585" i="2"/>
  <c r="M585" i="2"/>
  <c r="O584" i="2"/>
  <c r="M584" i="2"/>
  <c r="O583" i="2"/>
  <c r="M583" i="2"/>
  <c r="O582" i="2"/>
  <c r="M582" i="2"/>
  <c r="O581" i="2"/>
  <c r="M581" i="2"/>
  <c r="O580" i="2"/>
  <c r="M580" i="2"/>
  <c r="O579" i="2"/>
  <c r="M579" i="2"/>
  <c r="O578" i="2"/>
  <c r="M578" i="2"/>
  <c r="O577" i="2"/>
  <c r="M577" i="2"/>
  <c r="O576" i="2"/>
  <c r="M576" i="2"/>
  <c r="O575" i="2"/>
  <c r="M575" i="2"/>
  <c r="O574" i="2"/>
  <c r="M574" i="2"/>
  <c r="O573" i="2"/>
  <c r="M573" i="2"/>
  <c r="O572" i="2"/>
  <c r="M572" i="2"/>
  <c r="O571" i="2"/>
  <c r="M571" i="2"/>
  <c r="O570" i="2"/>
  <c r="M570" i="2"/>
  <c r="O569" i="2"/>
  <c r="M569" i="2"/>
  <c r="O568" i="2"/>
  <c r="M568" i="2"/>
  <c r="O567" i="2"/>
  <c r="M567" i="2"/>
  <c r="O566" i="2"/>
  <c r="M566" i="2"/>
  <c r="O565" i="2"/>
  <c r="M565" i="2"/>
  <c r="O564" i="2"/>
  <c r="M564" i="2"/>
  <c r="O563" i="2"/>
  <c r="M563" i="2"/>
  <c r="O562" i="2"/>
  <c r="M562" i="2"/>
  <c r="O561" i="2"/>
  <c r="M561" i="2"/>
  <c r="O560" i="2"/>
  <c r="M560" i="2"/>
  <c r="O559" i="2"/>
  <c r="M559" i="2"/>
  <c r="O558" i="2"/>
  <c r="M558" i="2"/>
  <c r="O557" i="2"/>
  <c r="M557" i="2"/>
  <c r="O556" i="2"/>
  <c r="M556" i="2"/>
  <c r="O555" i="2"/>
  <c r="M555" i="2"/>
  <c r="O554" i="2"/>
  <c r="M554" i="2"/>
  <c r="O553" i="2"/>
  <c r="M553" i="2"/>
  <c r="O552" i="2"/>
  <c r="M552" i="2"/>
  <c r="O551" i="2"/>
  <c r="M551" i="2"/>
  <c r="O550" i="2"/>
  <c r="M550" i="2"/>
  <c r="O549" i="2"/>
  <c r="M549" i="2"/>
  <c r="O548" i="2"/>
  <c r="M548" i="2"/>
  <c r="O547" i="2"/>
  <c r="M547" i="2"/>
  <c r="O546" i="2"/>
  <c r="M546" i="2"/>
  <c r="O545" i="2"/>
  <c r="M545" i="2"/>
  <c r="O544" i="2"/>
  <c r="M544" i="2"/>
  <c r="O543" i="2"/>
  <c r="M543" i="2"/>
  <c r="O542" i="2"/>
  <c r="M542" i="2"/>
  <c r="O541" i="2"/>
  <c r="M541" i="2"/>
  <c r="O540" i="2"/>
  <c r="M540" i="2"/>
  <c r="O539" i="2"/>
  <c r="M539" i="2"/>
  <c r="O538" i="2"/>
  <c r="M538" i="2"/>
  <c r="O537" i="2"/>
  <c r="M537" i="2"/>
  <c r="O536" i="2"/>
  <c r="M536" i="2"/>
  <c r="O535" i="2"/>
  <c r="M535" i="2"/>
  <c r="O534" i="2"/>
  <c r="M534" i="2"/>
  <c r="O533" i="2"/>
  <c r="M533" i="2"/>
  <c r="O532" i="2"/>
  <c r="M532" i="2"/>
  <c r="O531" i="2"/>
  <c r="M531" i="2"/>
  <c r="O530" i="2"/>
  <c r="M530" i="2"/>
  <c r="O529" i="2"/>
  <c r="M529" i="2"/>
  <c r="O528" i="2"/>
  <c r="M528" i="2"/>
  <c r="O527" i="2"/>
  <c r="M527" i="2"/>
  <c r="O526" i="2"/>
  <c r="M526" i="2"/>
  <c r="O525" i="2"/>
  <c r="M525" i="2"/>
  <c r="O524" i="2"/>
  <c r="M524" i="2"/>
  <c r="O523" i="2"/>
  <c r="M523" i="2"/>
  <c r="O522" i="2"/>
  <c r="M522" i="2"/>
  <c r="O521" i="2"/>
  <c r="M521" i="2"/>
  <c r="O520" i="2"/>
  <c r="M520" i="2"/>
  <c r="O519" i="2"/>
  <c r="M519" i="2"/>
  <c r="O518" i="2"/>
  <c r="M518" i="2"/>
  <c r="O517" i="2"/>
  <c r="M517" i="2"/>
  <c r="O516" i="2"/>
  <c r="O515" i="2"/>
  <c r="M515" i="2"/>
  <c r="O514" i="2"/>
  <c r="M514" i="2"/>
  <c r="O513" i="2"/>
  <c r="M513" i="2"/>
  <c r="O512" i="2"/>
  <c r="M512" i="2"/>
  <c r="O511" i="2"/>
  <c r="M511" i="2"/>
  <c r="O510" i="2"/>
  <c r="M510" i="2"/>
  <c r="O509" i="2"/>
  <c r="M509" i="2"/>
  <c r="O508" i="2"/>
  <c r="M508" i="2"/>
  <c r="O507" i="2"/>
  <c r="M507" i="2"/>
  <c r="O506" i="2"/>
  <c r="M506" i="2"/>
  <c r="O505" i="2"/>
  <c r="M505" i="2"/>
  <c r="O504" i="2"/>
  <c r="M504" i="2"/>
  <c r="O503" i="2"/>
  <c r="M503" i="2"/>
  <c r="O502" i="2"/>
  <c r="M502" i="2"/>
  <c r="O501" i="2"/>
  <c r="M501" i="2"/>
  <c r="O500" i="2"/>
  <c r="M500" i="2"/>
  <c r="O499" i="2"/>
  <c r="M499" i="2"/>
  <c r="O498" i="2"/>
  <c r="M498" i="2"/>
  <c r="O497" i="2"/>
  <c r="M497" i="2"/>
  <c r="O496" i="2"/>
  <c r="M496" i="2"/>
  <c r="O495" i="2"/>
  <c r="M495" i="2"/>
  <c r="O494" i="2"/>
  <c r="M494" i="2"/>
  <c r="O493" i="2"/>
  <c r="M493" i="2"/>
  <c r="O492" i="2"/>
  <c r="M492" i="2"/>
  <c r="O491" i="2"/>
  <c r="M491" i="2"/>
  <c r="O490" i="2"/>
  <c r="M490" i="2"/>
  <c r="O489" i="2"/>
  <c r="M489" i="2"/>
  <c r="O488" i="2"/>
  <c r="M488" i="2"/>
  <c r="O487" i="2"/>
  <c r="M487" i="2"/>
  <c r="O486" i="2"/>
  <c r="M486" i="2"/>
  <c r="O485" i="2"/>
  <c r="M485" i="2"/>
  <c r="O484" i="2"/>
  <c r="M484" i="2"/>
  <c r="O483" i="2"/>
  <c r="M483" i="2"/>
  <c r="O482" i="2"/>
  <c r="M482" i="2"/>
  <c r="O481" i="2"/>
  <c r="M481" i="2"/>
  <c r="O480" i="2"/>
  <c r="M480" i="2"/>
  <c r="O479" i="2"/>
  <c r="M479" i="2"/>
  <c r="O478" i="2"/>
  <c r="M478" i="2"/>
  <c r="O477" i="2"/>
  <c r="M477" i="2"/>
  <c r="O476" i="2"/>
  <c r="M476" i="2"/>
  <c r="O475" i="2"/>
  <c r="M475" i="2"/>
  <c r="O474" i="2"/>
  <c r="M474" i="2"/>
  <c r="O473" i="2"/>
  <c r="M473" i="2"/>
  <c r="O472" i="2"/>
  <c r="M472" i="2"/>
  <c r="O471" i="2"/>
  <c r="M471" i="2"/>
  <c r="O470" i="2"/>
  <c r="M470" i="2"/>
  <c r="O469" i="2"/>
  <c r="M469" i="2"/>
  <c r="O468" i="2"/>
  <c r="M468" i="2"/>
  <c r="O467" i="2"/>
  <c r="M467" i="2"/>
  <c r="O466" i="2"/>
  <c r="M466" i="2"/>
  <c r="O465" i="2"/>
  <c r="M465" i="2"/>
  <c r="O464" i="2"/>
  <c r="M464" i="2"/>
  <c r="O463" i="2"/>
  <c r="M463" i="2"/>
  <c r="O462" i="2"/>
  <c r="M462" i="2"/>
  <c r="O461" i="2"/>
  <c r="M461" i="2"/>
  <c r="O460" i="2"/>
  <c r="M460" i="2"/>
  <c r="O459" i="2"/>
  <c r="M459" i="2"/>
  <c r="O458" i="2"/>
  <c r="M458" i="2"/>
  <c r="O457" i="2"/>
  <c r="M457" i="2"/>
  <c r="O456" i="2"/>
  <c r="M456" i="2"/>
  <c r="O455" i="2"/>
  <c r="M455" i="2"/>
  <c r="O454" i="2"/>
  <c r="M454" i="2"/>
  <c r="O453" i="2"/>
  <c r="M453" i="2"/>
  <c r="O452" i="2"/>
  <c r="M452" i="2"/>
  <c r="O451" i="2"/>
  <c r="M451" i="2"/>
  <c r="O450" i="2"/>
  <c r="M450" i="2"/>
  <c r="O449" i="2"/>
  <c r="M449" i="2"/>
  <c r="O448" i="2"/>
  <c r="M448" i="2"/>
  <c r="O447" i="2"/>
  <c r="M447" i="2"/>
  <c r="O446" i="2"/>
  <c r="M446" i="2"/>
  <c r="O445" i="2"/>
  <c r="M445" i="2"/>
  <c r="O444" i="2"/>
  <c r="M444" i="2"/>
  <c r="O443" i="2"/>
  <c r="M443" i="2"/>
  <c r="O442" i="2"/>
  <c r="M442" i="2"/>
  <c r="O441" i="2"/>
  <c r="M441" i="2"/>
  <c r="O440" i="2"/>
  <c r="M440" i="2"/>
  <c r="O439" i="2"/>
  <c r="M439" i="2"/>
  <c r="O438" i="2"/>
  <c r="M438" i="2"/>
  <c r="O437" i="2"/>
  <c r="M437" i="2"/>
  <c r="O436" i="2"/>
  <c r="M436" i="2"/>
  <c r="O435" i="2"/>
  <c r="M435" i="2"/>
  <c r="O434" i="2"/>
  <c r="M434" i="2"/>
  <c r="O433" i="2"/>
  <c r="M433" i="2"/>
  <c r="O432" i="2"/>
  <c r="M432" i="2"/>
  <c r="O431" i="2"/>
  <c r="M431" i="2"/>
  <c r="O430" i="2"/>
  <c r="M430" i="2"/>
  <c r="O429" i="2"/>
  <c r="M429" i="2"/>
  <c r="O428" i="2"/>
  <c r="M428" i="2"/>
  <c r="O427" i="2"/>
  <c r="M427" i="2"/>
  <c r="O426" i="2"/>
  <c r="M426" i="2"/>
  <c r="O425" i="2"/>
  <c r="M425" i="2"/>
  <c r="O424" i="2"/>
  <c r="M424" i="2"/>
  <c r="O423" i="2"/>
  <c r="M423" i="2"/>
  <c r="O422" i="2"/>
  <c r="M422" i="2"/>
  <c r="O421" i="2"/>
  <c r="M421" i="2"/>
  <c r="O420" i="2"/>
  <c r="M420" i="2"/>
  <c r="O419" i="2"/>
  <c r="M419" i="2"/>
  <c r="O418" i="2"/>
  <c r="M418" i="2"/>
  <c r="O417" i="2"/>
  <c r="M417" i="2"/>
  <c r="O416" i="2"/>
  <c r="M416" i="2"/>
  <c r="O415" i="2"/>
  <c r="M415" i="2"/>
  <c r="O414" i="2"/>
  <c r="M414" i="2"/>
  <c r="O413" i="2"/>
  <c r="M413" i="2"/>
  <c r="O412" i="2"/>
  <c r="M412" i="2"/>
  <c r="O411" i="2"/>
  <c r="M411" i="2"/>
  <c r="O410" i="2"/>
  <c r="M410" i="2"/>
  <c r="O409" i="2"/>
  <c r="M409" i="2"/>
  <c r="O408" i="2"/>
  <c r="M408" i="2"/>
  <c r="O407" i="2"/>
  <c r="M407" i="2"/>
  <c r="O406" i="2"/>
  <c r="M406" i="2"/>
  <c r="O405" i="2"/>
  <c r="M405" i="2"/>
  <c r="O404" i="2"/>
  <c r="M404" i="2"/>
  <c r="O403" i="2"/>
  <c r="M403" i="2"/>
  <c r="O402" i="2"/>
  <c r="M402" i="2"/>
  <c r="O401" i="2"/>
  <c r="M401" i="2"/>
  <c r="O400" i="2"/>
  <c r="M400" i="2"/>
  <c r="O399" i="2"/>
  <c r="M399" i="2"/>
  <c r="O398" i="2"/>
  <c r="M398" i="2"/>
  <c r="O397" i="2"/>
  <c r="M397" i="2"/>
  <c r="O396" i="2"/>
  <c r="M396" i="2"/>
  <c r="O395" i="2"/>
  <c r="M395" i="2"/>
  <c r="O394" i="2"/>
  <c r="M394" i="2"/>
  <c r="O393" i="2"/>
  <c r="M393" i="2"/>
  <c r="O392" i="2"/>
  <c r="M392" i="2"/>
  <c r="O391" i="2"/>
  <c r="M391" i="2"/>
  <c r="O390" i="2"/>
  <c r="M390" i="2"/>
  <c r="O389" i="2"/>
  <c r="M389" i="2"/>
  <c r="O388" i="2"/>
  <c r="M388" i="2"/>
  <c r="O387" i="2"/>
  <c r="M387" i="2"/>
  <c r="O386" i="2"/>
  <c r="M386" i="2"/>
  <c r="O385" i="2"/>
  <c r="M385" i="2"/>
  <c r="O384" i="2"/>
  <c r="M384" i="2"/>
  <c r="O383" i="2"/>
  <c r="M383" i="2"/>
  <c r="O382" i="2"/>
  <c r="M382" i="2"/>
  <c r="O381" i="2"/>
  <c r="M381" i="2"/>
  <c r="O380" i="2"/>
  <c r="M380" i="2"/>
  <c r="O379" i="2"/>
  <c r="M379" i="2"/>
  <c r="O378" i="2"/>
  <c r="M378" i="2"/>
  <c r="O377" i="2"/>
  <c r="M377" i="2"/>
  <c r="O376" i="2"/>
  <c r="M376" i="2"/>
  <c r="O375" i="2"/>
  <c r="M375" i="2"/>
  <c r="O374" i="2"/>
  <c r="M374" i="2"/>
  <c r="O373" i="2"/>
  <c r="M373" i="2"/>
  <c r="O372" i="2"/>
  <c r="M372" i="2"/>
  <c r="O371" i="2"/>
  <c r="M371" i="2"/>
  <c r="O370" i="2"/>
  <c r="M370" i="2"/>
  <c r="O369" i="2"/>
  <c r="M369" i="2"/>
  <c r="O368" i="2"/>
  <c r="M368" i="2"/>
  <c r="O367" i="2"/>
  <c r="M367" i="2"/>
  <c r="O366" i="2"/>
  <c r="M366" i="2"/>
  <c r="O365" i="2"/>
  <c r="M365" i="2"/>
  <c r="O364" i="2"/>
  <c r="M364" i="2"/>
  <c r="O363" i="2"/>
  <c r="M363" i="2"/>
  <c r="O362" i="2"/>
  <c r="M362" i="2"/>
  <c r="O361" i="2"/>
  <c r="M361" i="2"/>
  <c r="O360" i="2"/>
  <c r="M360" i="2"/>
  <c r="O359" i="2"/>
  <c r="M359" i="2"/>
  <c r="O358" i="2"/>
  <c r="M358" i="2"/>
  <c r="O357" i="2"/>
  <c r="M357" i="2"/>
  <c r="O356" i="2"/>
  <c r="M356" i="2"/>
  <c r="O355" i="2"/>
  <c r="M355" i="2"/>
  <c r="O354" i="2"/>
  <c r="M354" i="2"/>
  <c r="O353" i="2"/>
  <c r="M353" i="2"/>
  <c r="O352" i="2"/>
  <c r="M352" i="2"/>
  <c r="O351" i="2"/>
  <c r="M351" i="2"/>
  <c r="O350" i="2"/>
  <c r="M350" i="2"/>
  <c r="O349" i="2"/>
  <c r="M349" i="2"/>
  <c r="O348" i="2"/>
  <c r="M348" i="2"/>
  <c r="O347" i="2"/>
  <c r="M347" i="2"/>
  <c r="O346" i="2"/>
  <c r="M346" i="2"/>
  <c r="O345" i="2"/>
  <c r="M345" i="2"/>
  <c r="O344" i="2"/>
  <c r="M344" i="2"/>
  <c r="O343" i="2"/>
  <c r="M343" i="2"/>
  <c r="O342" i="2"/>
  <c r="M342" i="2"/>
  <c r="O341" i="2"/>
  <c r="M341" i="2"/>
  <c r="O340" i="2"/>
  <c r="M340" i="2"/>
  <c r="O339" i="2"/>
  <c r="M339" i="2"/>
  <c r="O338" i="2"/>
  <c r="M338" i="2"/>
  <c r="O337" i="2"/>
  <c r="M337" i="2"/>
  <c r="O336" i="2"/>
  <c r="M336" i="2"/>
  <c r="O335" i="2"/>
  <c r="M335" i="2"/>
  <c r="O334" i="2"/>
  <c r="M334" i="2"/>
  <c r="O333" i="2"/>
  <c r="M333" i="2"/>
  <c r="O332" i="2"/>
  <c r="M332" i="2"/>
  <c r="O331" i="2"/>
  <c r="M331" i="2"/>
  <c r="O330" i="2"/>
  <c r="M330" i="2"/>
  <c r="O329" i="2"/>
  <c r="M329" i="2"/>
  <c r="O328" i="2"/>
  <c r="M328" i="2"/>
  <c r="O327" i="2"/>
  <c r="M327" i="2"/>
  <c r="O326" i="2"/>
  <c r="M326" i="2"/>
  <c r="O325" i="2"/>
  <c r="M325" i="2"/>
  <c r="O324" i="2"/>
  <c r="M324" i="2"/>
  <c r="O323" i="2"/>
  <c r="M323" i="2"/>
  <c r="O322" i="2"/>
  <c r="M322" i="2"/>
  <c r="O321" i="2"/>
  <c r="M321" i="2"/>
  <c r="O320" i="2"/>
  <c r="M320" i="2"/>
  <c r="O319" i="2"/>
  <c r="M319" i="2"/>
  <c r="O318" i="2"/>
  <c r="M318" i="2"/>
  <c r="O317" i="2"/>
  <c r="M317" i="2"/>
  <c r="O316" i="2"/>
  <c r="M316" i="2"/>
  <c r="O315" i="2"/>
  <c r="M315" i="2"/>
  <c r="O314" i="2"/>
  <c r="M314" i="2"/>
  <c r="O313" i="2"/>
  <c r="M313" i="2"/>
  <c r="O312" i="2"/>
  <c r="M312" i="2"/>
  <c r="O311" i="2"/>
  <c r="M311" i="2"/>
  <c r="O310" i="2"/>
  <c r="M310" i="2"/>
  <c r="O309" i="2"/>
  <c r="M309" i="2"/>
  <c r="O308" i="2"/>
  <c r="M308" i="2"/>
  <c r="O307" i="2"/>
  <c r="M307" i="2"/>
  <c r="O306" i="2"/>
  <c r="M306" i="2"/>
  <c r="O305" i="2"/>
  <c r="M305" i="2"/>
  <c r="O304" i="2"/>
  <c r="M304" i="2"/>
  <c r="O303" i="2"/>
  <c r="M303" i="2"/>
  <c r="O302" i="2"/>
  <c r="M302" i="2"/>
  <c r="O301" i="2"/>
  <c r="M301" i="2"/>
  <c r="O300" i="2"/>
  <c r="M300" i="2"/>
  <c r="O299" i="2"/>
  <c r="M299" i="2"/>
  <c r="O298" i="2"/>
  <c r="M298" i="2"/>
  <c r="O297" i="2"/>
  <c r="M297" i="2"/>
  <c r="O296" i="2"/>
  <c r="M296" i="2"/>
  <c r="O295" i="2"/>
  <c r="M295" i="2"/>
  <c r="O294" i="2"/>
  <c r="M294" i="2"/>
  <c r="O293" i="2"/>
  <c r="M293" i="2"/>
  <c r="O292" i="2"/>
  <c r="M292" i="2"/>
  <c r="O291" i="2"/>
  <c r="M291" i="2"/>
  <c r="O290" i="2"/>
  <c r="M290" i="2"/>
  <c r="O289" i="2"/>
  <c r="M289" i="2"/>
  <c r="O288" i="2"/>
  <c r="M288" i="2"/>
  <c r="O287" i="2"/>
  <c r="M287" i="2"/>
  <c r="O286" i="2"/>
  <c r="M286" i="2"/>
  <c r="O285" i="2"/>
  <c r="O284" i="2"/>
  <c r="O283" i="2"/>
  <c r="O282" i="2"/>
  <c r="O281" i="2"/>
  <c r="O280" i="2"/>
  <c r="O279" i="2"/>
  <c r="M279" i="2"/>
  <c r="O278" i="2"/>
  <c r="M278" i="2"/>
  <c r="O277" i="2"/>
  <c r="O276" i="2"/>
  <c r="O275" i="2"/>
  <c r="M275" i="2"/>
  <c r="O274" i="2"/>
  <c r="O273" i="2"/>
  <c r="O272" i="2"/>
  <c r="M272" i="2"/>
  <c r="O271" i="2"/>
  <c r="M271" i="2"/>
  <c r="O270" i="2"/>
  <c r="O269" i="2"/>
  <c r="O268" i="2"/>
  <c r="M268" i="2"/>
  <c r="O267" i="2"/>
  <c r="O266" i="2"/>
  <c r="O265" i="2"/>
  <c r="O264" i="2"/>
  <c r="M264" i="2"/>
  <c r="O263" i="2"/>
  <c r="O262" i="2"/>
  <c r="O261" i="2"/>
  <c r="O260" i="2"/>
  <c r="M260" i="2"/>
  <c r="O259" i="2"/>
  <c r="M259" i="2"/>
  <c r="O258" i="2"/>
  <c r="M258" i="2"/>
  <c r="O257" i="2"/>
  <c r="M257" i="2"/>
  <c r="O256" i="2"/>
  <c r="M256" i="2"/>
  <c r="O255" i="2"/>
  <c r="M255" i="2"/>
  <c r="O254" i="2"/>
  <c r="O253" i="2"/>
  <c r="O252" i="2"/>
  <c r="M252" i="2"/>
  <c r="O251" i="2"/>
  <c r="O250" i="2"/>
  <c r="O249" i="2"/>
  <c r="O248" i="2"/>
  <c r="O247" i="2"/>
  <c r="O246" i="2"/>
  <c r="O245" i="2"/>
  <c r="M245" i="2"/>
  <c r="O244" i="2"/>
  <c r="M244" i="2"/>
  <c r="O243" i="2"/>
  <c r="M243" i="2"/>
  <c r="O242" i="2"/>
  <c r="O241" i="2"/>
  <c r="O240" i="2"/>
  <c r="O239" i="2"/>
  <c r="O238" i="2"/>
  <c r="O237" i="2"/>
  <c r="O236" i="2"/>
  <c r="O235" i="2"/>
  <c r="M235" i="2"/>
  <c r="O234" i="2"/>
  <c r="M234" i="2"/>
  <c r="O233" i="2"/>
  <c r="M233" i="2"/>
  <c r="O232" i="2"/>
  <c r="M232" i="2"/>
  <c r="O231" i="2"/>
  <c r="M231" i="2"/>
  <c r="O230" i="2"/>
  <c r="M230" i="2"/>
  <c r="O229" i="2"/>
  <c r="M229" i="2"/>
  <c r="O228" i="2"/>
  <c r="M228" i="2"/>
  <c r="O227" i="2"/>
  <c r="M227" i="2"/>
  <c r="O226" i="2"/>
  <c r="M226" i="2"/>
  <c r="O225" i="2"/>
  <c r="M225" i="2"/>
  <c r="O224" i="2"/>
  <c r="M224" i="2"/>
  <c r="O223" i="2"/>
  <c r="M223" i="2"/>
  <c r="O222" i="2"/>
  <c r="M222" i="2"/>
  <c r="O221" i="2"/>
  <c r="M221" i="2"/>
  <c r="O220" i="2"/>
  <c r="M220" i="2"/>
  <c r="O219" i="2"/>
  <c r="M219" i="2"/>
  <c r="O218" i="2"/>
  <c r="M218" i="2"/>
  <c r="O217" i="2"/>
  <c r="M217" i="2"/>
  <c r="O216" i="2"/>
  <c r="M216" i="2"/>
  <c r="O215" i="2"/>
  <c r="M215" i="2"/>
  <c r="O214" i="2"/>
  <c r="M214" i="2"/>
  <c r="O213" i="2"/>
  <c r="M213" i="2"/>
  <c r="O212" i="2"/>
  <c r="M212" i="2"/>
  <c r="O211" i="2"/>
  <c r="M211" i="2"/>
  <c r="O210" i="2"/>
  <c r="M210" i="2"/>
  <c r="O209" i="2"/>
  <c r="M209" i="2"/>
  <c r="O208" i="2"/>
  <c r="O207" i="2"/>
  <c r="O206" i="2"/>
  <c r="O205" i="2"/>
  <c r="O204" i="2"/>
  <c r="O203" i="2"/>
  <c r="M203" i="2"/>
  <c r="O202" i="2"/>
  <c r="O201" i="2"/>
  <c r="M201" i="2"/>
  <c r="O200" i="2"/>
  <c r="O199" i="2"/>
  <c r="M199" i="2"/>
  <c r="O198" i="2"/>
  <c r="M198" i="2"/>
  <c r="O197" i="2"/>
  <c r="O196" i="2"/>
  <c r="O195" i="2"/>
  <c r="O194" i="2"/>
  <c r="M194" i="2"/>
  <c r="O193" i="2"/>
  <c r="O192" i="2"/>
  <c r="O191" i="2"/>
  <c r="O190" i="2"/>
  <c r="O189" i="2"/>
  <c r="M189" i="2"/>
  <c r="O188" i="2"/>
  <c r="O187" i="2"/>
  <c r="O186" i="2"/>
  <c r="O185" i="2"/>
  <c r="O184" i="2"/>
  <c r="M184" i="2"/>
  <c r="O183" i="2"/>
  <c r="M183" i="2"/>
  <c r="O182" i="2"/>
  <c r="O181" i="2"/>
  <c r="O180" i="2"/>
  <c r="O179" i="2"/>
  <c r="O178" i="2"/>
  <c r="O177" i="2"/>
  <c r="O176" i="2"/>
  <c r="O175" i="2"/>
  <c r="O174" i="2"/>
  <c r="O173" i="2"/>
  <c r="M173" i="2"/>
  <c r="O172" i="2"/>
  <c r="M172" i="2"/>
  <c r="O171" i="2"/>
  <c r="O170" i="2"/>
  <c r="M170" i="2"/>
  <c r="O169" i="2"/>
  <c r="M169" i="2"/>
  <c r="O168" i="2"/>
  <c r="M168" i="2"/>
  <c r="O167" i="2"/>
  <c r="M167" i="2"/>
  <c r="O166" i="2"/>
  <c r="O165" i="2"/>
  <c r="O164" i="2"/>
  <c r="O163" i="2"/>
  <c r="M163" i="2"/>
  <c r="O162" i="2"/>
  <c r="M162" i="2"/>
  <c r="O161" i="2"/>
  <c r="M161" i="2"/>
  <c r="O160" i="2"/>
  <c r="M160" i="2"/>
  <c r="O159" i="2"/>
  <c r="O158" i="2"/>
  <c r="O157" i="2"/>
  <c r="O156" i="2"/>
  <c r="O155" i="2"/>
  <c r="O154" i="2"/>
  <c r="M154" i="2"/>
  <c r="O153" i="2"/>
  <c r="M153" i="2"/>
  <c r="O152" i="2"/>
  <c r="M152" i="2"/>
  <c r="O151" i="2"/>
  <c r="M151" i="2"/>
  <c r="O150" i="2"/>
  <c r="M150" i="2"/>
  <c r="O149" i="2"/>
  <c r="M149" i="2"/>
  <c r="O148" i="2"/>
  <c r="M148" i="2"/>
  <c r="O147" i="2"/>
  <c r="M147" i="2"/>
  <c r="O146" i="2"/>
  <c r="M146" i="2"/>
  <c r="O145" i="2"/>
  <c r="M145" i="2"/>
  <c r="O144" i="2"/>
  <c r="M144" i="2"/>
  <c r="O143" i="2"/>
  <c r="M143" i="2"/>
  <c r="O142" i="2"/>
  <c r="M142" i="2"/>
  <c r="O141" i="2"/>
  <c r="M141" i="2"/>
  <c r="O140" i="2"/>
  <c r="M140" i="2"/>
  <c r="O139" i="2"/>
  <c r="M139" i="2"/>
  <c r="O138" i="2"/>
  <c r="M138" i="2"/>
  <c r="O137" i="2"/>
  <c r="M137" i="2"/>
  <c r="O136" i="2"/>
  <c r="M136" i="2"/>
  <c r="O135" i="2"/>
  <c r="M135" i="2"/>
  <c r="O134" i="2"/>
  <c r="M134" i="2"/>
  <c r="O133" i="2"/>
  <c r="M133" i="2"/>
  <c r="O132" i="2"/>
  <c r="M132" i="2"/>
  <c r="O131" i="2"/>
  <c r="M131" i="2"/>
  <c r="O130" i="2"/>
  <c r="M130" i="2"/>
  <c r="O129" i="2"/>
  <c r="M129" i="2"/>
  <c r="O128" i="2"/>
  <c r="O127" i="2"/>
  <c r="O126" i="2"/>
  <c r="O125" i="2"/>
  <c r="O124" i="2"/>
  <c r="O123" i="2"/>
  <c r="O122" i="2"/>
  <c r="O121" i="2"/>
  <c r="M121" i="2"/>
  <c r="O120" i="2"/>
  <c r="M120" i="2"/>
  <c r="O119" i="2"/>
  <c r="M119" i="2"/>
  <c r="O118" i="2"/>
  <c r="M118" i="2"/>
  <c r="O117" i="2"/>
  <c r="M117" i="2"/>
  <c r="O116" i="2"/>
  <c r="M116" i="2"/>
  <c r="O115" i="2"/>
  <c r="M115" i="2"/>
  <c r="O114" i="2"/>
  <c r="M114" i="2"/>
  <c r="O113" i="2"/>
  <c r="M113" i="2"/>
  <c r="O112" i="2"/>
  <c r="M112" i="2"/>
  <c r="O111" i="2"/>
  <c r="M111" i="2"/>
  <c r="O110" i="2"/>
  <c r="M110" i="2"/>
  <c r="O109" i="2"/>
  <c r="M109" i="2"/>
  <c r="O108" i="2"/>
  <c r="M108" i="2"/>
  <c r="O107" i="2"/>
  <c r="M107" i="2"/>
  <c r="O106" i="2"/>
  <c r="M106" i="2"/>
  <c r="O105" i="2"/>
  <c r="M105" i="2"/>
  <c r="O104" i="2"/>
  <c r="M104" i="2"/>
  <c r="O103" i="2"/>
  <c r="M103" i="2"/>
  <c r="O102" i="2"/>
  <c r="M102" i="2"/>
  <c r="O101" i="2"/>
  <c r="M101" i="2"/>
  <c r="O100" i="2"/>
  <c r="M100" i="2"/>
  <c r="O99" i="2"/>
  <c r="M99" i="2"/>
  <c r="O98" i="2"/>
  <c r="O97" i="2"/>
  <c r="O96" i="2"/>
  <c r="O95" i="2"/>
  <c r="O94" i="2"/>
  <c r="O93" i="2"/>
  <c r="O92" i="2"/>
  <c r="M92" i="2"/>
  <c r="O91" i="2"/>
  <c r="M91" i="2"/>
  <c r="O90" i="2"/>
  <c r="M90" i="2"/>
  <c r="O89" i="2"/>
  <c r="M89" i="2"/>
  <c r="O88" i="2"/>
  <c r="M88" i="2"/>
  <c r="O87" i="2"/>
  <c r="M87" i="2"/>
  <c r="O86" i="2"/>
  <c r="M86" i="2"/>
  <c r="O85" i="2"/>
  <c r="M85" i="2"/>
  <c r="O84" i="2"/>
  <c r="M84" i="2"/>
  <c r="O83" i="2"/>
  <c r="M83" i="2"/>
  <c r="O82" i="2"/>
  <c r="M82" i="2"/>
  <c r="O81" i="2"/>
  <c r="M81" i="2"/>
  <c r="O80" i="2"/>
  <c r="M80" i="2"/>
  <c r="O79" i="2"/>
  <c r="M79" i="2"/>
  <c r="O78" i="2"/>
  <c r="M78" i="2"/>
  <c r="O77" i="2"/>
  <c r="M77" i="2"/>
  <c r="O76" i="2"/>
  <c r="M76" i="2"/>
  <c r="O75" i="2"/>
  <c r="M75" i="2"/>
  <c r="O74" i="2"/>
  <c r="M74" i="2"/>
  <c r="O73" i="2"/>
  <c r="M73" i="2"/>
  <c r="O72" i="2"/>
  <c r="M72" i="2"/>
  <c r="O71" i="2"/>
  <c r="M71" i="2"/>
  <c r="O70" i="2"/>
  <c r="M70" i="2"/>
  <c r="O69" i="2"/>
  <c r="M69" i="2"/>
  <c r="O68" i="2"/>
  <c r="M68" i="2"/>
  <c r="O67" i="2"/>
  <c r="M67" i="2"/>
  <c r="O66" i="2"/>
  <c r="M66" i="2"/>
  <c r="O65" i="2"/>
  <c r="M65" i="2"/>
  <c r="O64" i="2"/>
  <c r="M64" i="2"/>
  <c r="O63" i="2"/>
  <c r="M63" i="2"/>
  <c r="O62" i="2"/>
  <c r="M62" i="2"/>
  <c r="O61" i="2"/>
  <c r="M61" i="2"/>
  <c r="O60" i="2"/>
  <c r="M60" i="2"/>
  <c r="O59" i="2"/>
  <c r="M59" i="2"/>
  <c r="O58" i="2"/>
  <c r="M58" i="2"/>
  <c r="O57" i="2"/>
  <c r="M57" i="2"/>
  <c r="O56" i="2"/>
  <c r="M56" i="2"/>
  <c r="O55" i="2"/>
  <c r="M55" i="2"/>
  <c r="O54" i="2"/>
  <c r="M54" i="2"/>
  <c r="O53" i="2"/>
  <c r="M53" i="2"/>
  <c r="O52" i="2"/>
  <c r="M52" i="2"/>
  <c r="O51" i="2"/>
  <c r="M51" i="2"/>
  <c r="O50" i="2"/>
  <c r="M50" i="2"/>
  <c r="O49" i="2"/>
  <c r="M49" i="2"/>
  <c r="O48" i="2"/>
  <c r="M48" i="2"/>
  <c r="O47" i="2"/>
  <c r="M47" i="2"/>
  <c r="O46" i="2"/>
  <c r="M46" i="2"/>
  <c r="O45" i="2"/>
  <c r="M45" i="2"/>
  <c r="O44" i="2"/>
  <c r="M44" i="2"/>
  <c r="O43" i="2"/>
  <c r="M43" i="2"/>
  <c r="O42" i="2"/>
  <c r="M42" i="2"/>
  <c r="O41" i="2"/>
  <c r="M41" i="2"/>
  <c r="O40" i="2"/>
  <c r="M40" i="2"/>
  <c r="O39" i="2"/>
  <c r="M39" i="2"/>
  <c r="O38" i="2"/>
  <c r="M38" i="2"/>
  <c r="O37" i="2"/>
  <c r="M37" i="2"/>
  <c r="O36" i="2"/>
  <c r="M36" i="2"/>
  <c r="O35" i="2"/>
  <c r="M35" i="2"/>
  <c r="O34" i="2"/>
  <c r="M34" i="2"/>
  <c r="O33" i="2"/>
  <c r="M33" i="2"/>
  <c r="O32" i="2"/>
  <c r="M32" i="2"/>
  <c r="O31" i="2"/>
  <c r="M31" i="2"/>
  <c r="O30" i="2"/>
  <c r="M30" i="2"/>
  <c r="O29" i="2"/>
  <c r="M29" i="2"/>
  <c r="O28" i="2"/>
  <c r="M28" i="2"/>
  <c r="O27" i="2"/>
  <c r="M27" i="2"/>
  <c r="O26" i="2"/>
  <c r="M26" i="2"/>
  <c r="O25" i="2"/>
  <c r="M25" i="2"/>
  <c r="O24" i="2"/>
  <c r="M24" i="2"/>
  <c r="O23" i="2"/>
  <c r="M23" i="2"/>
  <c r="O22" i="2"/>
  <c r="M22" i="2"/>
  <c r="O21" i="2"/>
  <c r="M21" i="2"/>
  <c r="O20" i="2"/>
  <c r="M20" i="2"/>
  <c r="O19" i="2"/>
  <c r="M19" i="2"/>
  <c r="O18" i="2"/>
  <c r="M18" i="2"/>
  <c r="O17" i="2"/>
  <c r="M17" i="2"/>
  <c r="O16" i="2"/>
  <c r="M16" i="2"/>
  <c r="O15" i="2"/>
  <c r="M15" i="2"/>
  <c r="O14" i="2"/>
  <c r="M14" i="2"/>
  <c r="O13" i="2"/>
  <c r="M13" i="2"/>
  <c r="O12" i="2"/>
  <c r="M12" i="2"/>
  <c r="O11" i="2"/>
  <c r="M11" i="2"/>
  <c r="O10" i="2"/>
  <c r="M10" i="2"/>
  <c r="O9" i="2"/>
  <c r="M9" i="2"/>
  <c r="O8" i="2"/>
  <c r="M8" i="2"/>
  <c r="O7" i="2"/>
  <c r="M7" i="2"/>
  <c r="O6" i="2"/>
  <c r="M6" i="2"/>
  <c r="O5" i="2"/>
  <c r="M5" i="2"/>
  <c r="I22" i="6"/>
  <c r="G22" i="6"/>
  <c r="F22" i="6"/>
  <c r="E22" i="6"/>
  <c r="D22" i="6"/>
  <c r="C22" i="6"/>
  <c r="I21" i="6"/>
  <c r="G21" i="6"/>
  <c r="F21" i="6"/>
  <c r="E21" i="6"/>
  <c r="D21" i="6"/>
  <c r="C21" i="6"/>
  <c r="I20" i="6"/>
  <c r="G20" i="6"/>
  <c r="F20" i="6"/>
  <c r="E20" i="6"/>
  <c r="D20" i="6"/>
  <c r="C20" i="6"/>
  <c r="I19" i="6"/>
  <c r="G19" i="6"/>
  <c r="F19" i="6"/>
  <c r="E19" i="6"/>
  <c r="D19" i="6"/>
  <c r="C19" i="6"/>
  <c r="I18" i="6"/>
  <c r="G18" i="6"/>
  <c r="F18" i="6"/>
  <c r="E18" i="6"/>
  <c r="D18" i="6"/>
  <c r="C18" i="6"/>
  <c r="I17" i="6"/>
  <c r="G17" i="6"/>
  <c r="F17" i="6"/>
  <c r="E17" i="6"/>
  <c r="D17" i="6"/>
  <c r="C17" i="6"/>
  <c r="I16" i="6"/>
  <c r="G16" i="6"/>
  <c r="F16" i="6"/>
  <c r="E16" i="6"/>
  <c r="D16" i="6"/>
  <c r="C16" i="6"/>
  <c r="I15" i="6"/>
  <c r="G15" i="6"/>
  <c r="F15" i="6"/>
  <c r="E15" i="6"/>
  <c r="D15" i="6"/>
  <c r="C15" i="6"/>
  <c r="I14" i="6"/>
  <c r="G14" i="6"/>
  <c r="F14" i="6"/>
  <c r="E14" i="6"/>
  <c r="D14" i="6"/>
  <c r="C14" i="6"/>
  <c r="I13" i="6"/>
  <c r="G13" i="6"/>
  <c r="F13" i="6"/>
  <c r="E13" i="6"/>
  <c r="D13" i="6"/>
  <c r="C13" i="6"/>
  <c r="I12" i="6"/>
  <c r="G12" i="6"/>
  <c r="F12" i="6"/>
  <c r="E12" i="6"/>
  <c r="D12" i="6"/>
  <c r="C12" i="6"/>
  <c r="I11" i="6"/>
  <c r="G11" i="6"/>
  <c r="F11" i="6"/>
  <c r="E11" i="6"/>
  <c r="D11" i="6"/>
  <c r="C11" i="6"/>
  <c r="I10" i="6"/>
  <c r="G10" i="6"/>
  <c r="F10" i="6"/>
  <c r="E10" i="6"/>
  <c r="D10" i="6"/>
  <c r="C10" i="6"/>
  <c r="I9" i="6"/>
  <c r="G9" i="6"/>
  <c r="F9" i="6"/>
  <c r="E9" i="6"/>
  <c r="D9" i="6"/>
  <c r="C9" i="6"/>
  <c r="I8" i="6"/>
  <c r="G8" i="6"/>
  <c r="F8" i="6"/>
  <c r="E8" i="6"/>
  <c r="D8" i="6"/>
  <c r="C8" i="6"/>
  <c r="I7" i="6"/>
  <c r="G7" i="6"/>
  <c r="F7" i="6"/>
  <c r="E7" i="6"/>
  <c r="D7" i="6"/>
  <c r="C7" i="6"/>
  <c r="H4" i="6"/>
  <c r="E4" i="6"/>
  <c r="B4" i="6"/>
  <c r="G23" i="6" l="1"/>
  <c r="H23" i="6"/>
  <c r="F23" i="6"/>
  <c r="A143" i="3"/>
  <c r="A201" i="3"/>
  <c r="A204" i="3"/>
  <c r="B204" i="3" s="1"/>
  <c r="A207" i="3"/>
  <c r="E207" i="3" s="1"/>
  <c r="A210" i="3"/>
  <c r="A213" i="3"/>
  <c r="A217" i="3"/>
  <c r="G217" i="3" s="1"/>
  <c r="A220" i="3"/>
  <c r="B220" i="3" s="1"/>
  <c r="A222" i="3"/>
  <c r="B222" i="3" s="1"/>
  <c r="A225" i="3"/>
  <c r="C225" i="3" s="1"/>
  <c r="A227" i="3"/>
  <c r="A230" i="3"/>
  <c r="D230" i="3" s="1"/>
  <c r="A235" i="3"/>
  <c r="A5" i="3"/>
  <c r="B5" i="3" s="1"/>
  <c r="A76" i="3"/>
  <c r="A77" i="3"/>
  <c r="G77" i="3" s="1"/>
  <c r="A78" i="3"/>
  <c r="A79" i="3"/>
  <c r="C79" i="3" s="1"/>
  <c r="A80" i="3"/>
  <c r="D80" i="3" s="1"/>
  <c r="A81" i="3"/>
  <c r="E81" i="3" s="1"/>
  <c r="A82" i="3"/>
  <c r="B82" i="3" s="1"/>
  <c r="A83" i="3"/>
  <c r="B83" i="3" s="1"/>
  <c r="A84" i="3"/>
  <c r="D84" i="3" s="1"/>
  <c r="A86" i="3"/>
  <c r="B86" i="3" s="1"/>
  <c r="A87" i="3"/>
  <c r="A88" i="3"/>
  <c r="A89" i="3"/>
  <c r="E89" i="3" s="1"/>
  <c r="A90" i="3"/>
  <c r="B90" i="3" s="1"/>
  <c r="A91" i="3"/>
  <c r="A92" i="3"/>
  <c r="A93" i="3"/>
  <c r="A94" i="3"/>
  <c r="G94" i="3" s="1"/>
  <c r="A95" i="3"/>
  <c r="E95" i="3" s="1"/>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99" i="3"/>
  <c r="A144" i="3"/>
  <c r="A145" i="3"/>
  <c r="A146" i="3"/>
  <c r="A147" i="3"/>
  <c r="A148" i="3"/>
  <c r="A149" i="3"/>
  <c r="A150"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202" i="3"/>
  <c r="A205" i="3"/>
  <c r="A208" i="3"/>
  <c r="A212" i="3"/>
  <c r="A215" i="3"/>
  <c r="A219" i="3"/>
  <c r="A223" i="3"/>
  <c r="A226" i="3"/>
  <c r="A229" i="3"/>
  <c r="A232" i="3"/>
  <c r="A234" i="3"/>
  <c r="A237" i="3"/>
  <c r="A236" i="3"/>
  <c r="A233" i="3"/>
  <c r="A231" i="3"/>
  <c r="A228" i="3"/>
  <c r="A224" i="3"/>
  <c r="A221" i="3"/>
  <c r="A218" i="3"/>
  <c r="A214" i="3"/>
  <c r="A211" i="3"/>
  <c r="A209" i="3"/>
  <c r="A206" i="3"/>
  <c r="A203" i="3"/>
  <c r="A200" i="3"/>
  <c r="A198" i="3"/>
  <c r="A151" i="5"/>
  <c r="F151" i="5" s="1"/>
  <c r="A8" i="5"/>
  <c r="A145" i="5"/>
  <c r="A144" i="5"/>
  <c r="A143" i="5"/>
  <c r="A142" i="5"/>
  <c r="A141" i="5"/>
  <c r="A140" i="5"/>
  <c r="A139" i="5"/>
  <c r="A138" i="5"/>
  <c r="A137" i="5"/>
  <c r="A136" i="5"/>
  <c r="A5" i="5"/>
  <c r="A7" i="5"/>
  <c r="A9" i="5"/>
  <c r="A10" i="5"/>
  <c r="A12" i="5"/>
  <c r="A14" i="5"/>
  <c r="A27" i="5"/>
  <c r="A28" i="5"/>
  <c r="A30" i="5"/>
  <c r="A32" i="5"/>
  <c r="A34" i="5"/>
  <c r="A36" i="5"/>
  <c r="A38" i="5"/>
  <c r="A40" i="5"/>
  <c r="A42" i="5"/>
  <c r="A46" i="5"/>
  <c r="A60" i="5"/>
  <c r="A135" i="5"/>
  <c r="A134" i="5"/>
  <c r="A133" i="5"/>
  <c r="A132" i="5"/>
  <c r="A131" i="5"/>
  <c r="A130" i="5"/>
  <c r="A129" i="5"/>
  <c r="A128" i="5"/>
  <c r="A127" i="5"/>
  <c r="A126" i="5"/>
  <c r="A125"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6"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6" i="5"/>
  <c r="A150" i="5"/>
  <c r="A65" i="5"/>
  <c r="A146" i="5"/>
  <c r="A64" i="5"/>
  <c r="A63" i="5"/>
  <c r="A62" i="5"/>
  <c r="A61" i="5"/>
  <c r="A59" i="5"/>
  <c r="A58" i="5"/>
  <c r="A57" i="5"/>
  <c r="A56" i="5"/>
  <c r="A55" i="5"/>
  <c r="A54" i="5"/>
  <c r="A53" i="5"/>
  <c r="A52" i="5"/>
  <c r="A51" i="5"/>
  <c r="A50" i="5"/>
  <c r="A49" i="5"/>
  <c r="A48" i="5"/>
  <c r="A47" i="5"/>
  <c r="A45" i="5"/>
  <c r="A44" i="5"/>
  <c r="A43" i="5"/>
  <c r="A41" i="5"/>
  <c r="A39" i="5"/>
  <c r="A37" i="5"/>
  <c r="A35" i="5"/>
  <c r="A33" i="5"/>
  <c r="A31" i="5"/>
  <c r="A29" i="5"/>
  <c r="A15" i="5"/>
  <c r="A13" i="5"/>
  <c r="A11" i="5"/>
  <c r="A97" i="5"/>
  <c r="A205" i="4"/>
  <c r="A65" i="4"/>
  <c r="A30" i="4"/>
  <c r="A29" i="4"/>
  <c r="A28" i="4"/>
  <c r="A27" i="4"/>
  <c r="A26" i="4"/>
  <c r="A25" i="4"/>
  <c r="A24" i="4"/>
  <c r="A23" i="4"/>
  <c r="A22" i="4"/>
  <c r="A21" i="4"/>
  <c r="A20" i="4"/>
  <c r="A19" i="4"/>
  <c r="A18" i="4"/>
  <c r="A17" i="4"/>
  <c r="A16" i="4"/>
  <c r="A15" i="4"/>
  <c r="A14" i="4"/>
  <c r="A13" i="4"/>
  <c r="A12" i="4"/>
  <c r="A11" i="4"/>
  <c r="A10" i="4"/>
  <c r="A9" i="4"/>
  <c r="A8" i="4"/>
  <c r="A7" i="4"/>
  <c r="A6" i="4"/>
  <c r="A5" i="4"/>
  <c r="A166" i="4"/>
  <c r="A168" i="4"/>
  <c r="A170" i="4"/>
  <c r="A172" i="4"/>
  <c r="A174" i="4"/>
  <c r="A176" i="4"/>
  <c r="A178" i="4"/>
  <c r="A181" i="4"/>
  <c r="A183" i="4"/>
  <c r="A185" i="4"/>
  <c r="A187" i="4"/>
  <c r="A189" i="4"/>
  <c r="A191" i="4"/>
  <c r="A193" i="4"/>
  <c r="A195" i="4"/>
  <c r="A197" i="4"/>
  <c r="A199" i="4"/>
  <c r="A201" i="4"/>
  <c r="A203" i="4"/>
  <c r="A163" i="4"/>
  <c r="A207" i="4"/>
  <c r="A209" i="4"/>
  <c r="A211" i="4"/>
  <c r="A213" i="4"/>
  <c r="A215" i="4"/>
  <c r="A218" i="4"/>
  <c r="A220" i="4"/>
  <c r="A222" i="4"/>
  <c r="A224" i="4"/>
  <c r="A226" i="4"/>
  <c r="A229" i="4"/>
  <c r="A231" i="4"/>
  <c r="A32" i="4"/>
  <c r="A33" i="4"/>
  <c r="A34" i="4"/>
  <c r="A35" i="4"/>
  <c r="A36" i="4"/>
  <c r="A37" i="4"/>
  <c r="A38" i="4"/>
  <c r="A39" i="4"/>
  <c r="A40" i="4"/>
  <c r="A41" i="4"/>
  <c r="A42" i="4"/>
  <c r="A43" i="4"/>
  <c r="A44" i="4"/>
  <c r="A45" i="4"/>
  <c r="A46" i="4"/>
  <c r="A47" i="4"/>
  <c r="A48" i="4"/>
  <c r="B48" i="4" s="1"/>
  <c r="A49" i="4"/>
  <c r="A50" i="4"/>
  <c r="A51" i="4"/>
  <c r="A52" i="4"/>
  <c r="A53" i="4"/>
  <c r="A54" i="4"/>
  <c r="A55" i="4"/>
  <c r="A56" i="4"/>
  <c r="A57" i="4"/>
  <c r="A58" i="4"/>
  <c r="A59" i="4"/>
  <c r="A60" i="4"/>
  <c r="A61" i="4"/>
  <c r="A62" i="4"/>
  <c r="A63" i="4"/>
  <c r="A164" i="4"/>
  <c r="A67" i="4"/>
  <c r="A68" i="4"/>
  <c r="A69" i="4"/>
  <c r="A70" i="4"/>
  <c r="A71" i="4"/>
  <c r="A72" i="4"/>
  <c r="A73" i="4"/>
  <c r="A74" i="4"/>
  <c r="A75" i="4"/>
  <c r="A76" i="4"/>
  <c r="A77" i="4"/>
  <c r="A78" i="4"/>
  <c r="A79" i="4"/>
  <c r="A80" i="4"/>
  <c r="A81" i="4"/>
  <c r="A82" i="4"/>
  <c r="A83" i="4"/>
  <c r="A84" i="4"/>
  <c r="A85" i="4"/>
  <c r="A86" i="4"/>
  <c r="A31" i="4"/>
  <c r="A88" i="4"/>
  <c r="A89" i="4"/>
  <c r="A90" i="4"/>
  <c r="A91" i="4"/>
  <c r="A92" i="4"/>
  <c r="A93" i="4"/>
  <c r="A94" i="4"/>
  <c r="A95" i="4"/>
  <c r="A96" i="4"/>
  <c r="A97" i="4"/>
  <c r="A98" i="4"/>
  <c r="A99" i="4"/>
  <c r="A100" i="4"/>
  <c r="A101" i="4"/>
  <c r="A102" i="4"/>
  <c r="A103" i="4"/>
  <c r="A104" i="4"/>
  <c r="A105" i="4"/>
  <c r="A106" i="4"/>
  <c r="A107" i="4"/>
  <c r="A108" i="4"/>
  <c r="A109" i="4"/>
  <c r="A110" i="4"/>
  <c r="A111" i="4"/>
  <c r="A112"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230" i="4"/>
  <c r="A228" i="4"/>
  <c r="A227" i="4"/>
  <c r="A225" i="4"/>
  <c r="A223" i="4"/>
  <c r="A221" i="4"/>
  <c r="A219" i="4"/>
  <c r="A217" i="4"/>
  <c r="A216" i="4"/>
  <c r="A214" i="4"/>
  <c r="A212" i="4"/>
  <c r="A210" i="4"/>
  <c r="A208" i="4"/>
  <c r="A206" i="4"/>
  <c r="A204" i="4"/>
  <c r="A202" i="4"/>
  <c r="A200" i="4"/>
  <c r="A198" i="4"/>
  <c r="A196" i="4"/>
  <c r="A194" i="4"/>
  <c r="A192" i="4"/>
  <c r="A190" i="4"/>
  <c r="A188" i="4"/>
  <c r="A186" i="4"/>
  <c r="A184" i="4"/>
  <c r="A182" i="4"/>
  <c r="A180" i="4"/>
  <c r="A177" i="4"/>
  <c r="A175" i="4"/>
  <c r="A173" i="4"/>
  <c r="A171" i="4"/>
  <c r="A169" i="4"/>
  <c r="A167" i="4"/>
  <c r="A165" i="4"/>
  <c r="A153" i="4"/>
  <c r="A154" i="4"/>
  <c r="A155" i="4"/>
  <c r="A156" i="4"/>
  <c r="A157" i="4"/>
  <c r="A158" i="4"/>
  <c r="A159" i="4"/>
  <c r="A160" i="4"/>
  <c r="A161" i="4"/>
  <c r="A162" i="4"/>
  <c r="A64" i="4"/>
  <c r="A66" i="4"/>
  <c r="A87" i="4"/>
  <c r="D23" i="6"/>
  <c r="E23" i="6"/>
  <c r="I23" i="6"/>
  <c r="A237" i="4"/>
  <c r="A232" i="4"/>
  <c r="A233" i="4"/>
  <c r="A234" i="4"/>
  <c r="A235" i="4"/>
  <c r="A236" i="4"/>
  <c r="A154" i="5"/>
  <c r="A234" i="5"/>
  <c r="F234" i="5" s="1"/>
  <c r="A172" i="5"/>
  <c r="A169" i="5"/>
  <c r="A165" i="5"/>
  <c r="A161" i="5"/>
  <c r="A157" i="5"/>
  <c r="A152" i="5"/>
  <c r="A147" i="5"/>
  <c r="A26" i="5"/>
  <c r="A25" i="5"/>
  <c r="A24" i="5"/>
  <c r="A23" i="5"/>
  <c r="A22" i="5"/>
  <c r="A21" i="5"/>
  <c r="A20" i="5"/>
  <c r="A19" i="5"/>
  <c r="A18" i="5"/>
  <c r="A17" i="5"/>
  <c r="A16" i="5"/>
  <c r="A182" i="5"/>
  <c r="A186" i="5"/>
  <c r="A189" i="5"/>
  <c r="A193" i="5"/>
  <c r="A197" i="5"/>
  <c r="A201" i="5"/>
  <c r="A205" i="5"/>
  <c r="A209" i="5"/>
  <c r="A213" i="5"/>
  <c r="A217" i="5"/>
  <c r="A220" i="5"/>
  <c r="A166" i="5"/>
  <c r="A170" i="5"/>
  <c r="A174" i="5"/>
  <c r="A178" i="5"/>
  <c r="A183" i="5"/>
  <c r="A187" i="5"/>
  <c r="A191" i="5"/>
  <c r="A195" i="5"/>
  <c r="A199" i="5"/>
  <c r="A203" i="5"/>
  <c r="A208" i="5"/>
  <c r="A212" i="5"/>
  <c r="A216" i="5"/>
  <c r="A219" i="5"/>
  <c r="A222" i="5"/>
  <c r="C222" i="5" s="1"/>
  <c r="A226" i="5"/>
  <c r="C226" i="5" s="1"/>
  <c r="A230" i="5"/>
  <c r="F230" i="5" s="1"/>
  <c r="A233" i="5"/>
  <c r="B233" i="5" s="1"/>
  <c r="A232" i="5"/>
  <c r="F232" i="5" s="1"/>
  <c r="A149" i="5"/>
  <c r="A155" i="5"/>
  <c r="A159" i="5"/>
  <c r="A163" i="5"/>
  <c r="A167" i="5"/>
  <c r="A171" i="5"/>
  <c r="A175" i="5"/>
  <c r="A179" i="5"/>
  <c r="A184" i="5"/>
  <c r="A188" i="5"/>
  <c r="A192" i="5"/>
  <c r="A196" i="5"/>
  <c r="A200" i="5"/>
  <c r="A204" i="5"/>
  <c r="A207" i="5"/>
  <c r="A211" i="5"/>
  <c r="A215" i="5"/>
  <c r="A218" i="5"/>
  <c r="A221" i="5"/>
  <c r="E221" i="5" s="1"/>
  <c r="A225" i="5"/>
  <c r="H225" i="5" s="1"/>
  <c r="A229" i="5"/>
  <c r="H229" i="5" s="1"/>
  <c r="A231" i="5"/>
  <c r="H231" i="5" s="1"/>
  <c r="A228" i="5"/>
  <c r="G228" i="5" s="1"/>
  <c r="A148" i="5"/>
  <c r="A153" i="5"/>
  <c r="A156" i="5"/>
  <c r="A158" i="5"/>
  <c r="A235" i="5"/>
  <c r="G235" i="5" s="1"/>
  <c r="A162" i="5"/>
  <c r="A160" i="5"/>
  <c r="A164" i="5"/>
  <c r="A168" i="5"/>
  <c r="A173" i="5"/>
  <c r="A176" i="5"/>
  <c r="A177" i="5"/>
  <c r="A180" i="5"/>
  <c r="A185" i="5"/>
  <c r="A190" i="5"/>
  <c r="A194" i="5"/>
  <c r="A198" i="5"/>
  <c r="A202" i="5"/>
  <c r="A206" i="5"/>
  <c r="A210" i="5"/>
  <c r="A214" i="5"/>
  <c r="A223" i="5"/>
  <c r="D223" i="5" s="1"/>
  <c r="A227" i="5"/>
  <c r="G227" i="5" s="1"/>
  <c r="A224" i="5"/>
  <c r="E224" i="5" s="1"/>
  <c r="A22" i="3"/>
  <c r="A29" i="3"/>
  <c r="A7" i="3"/>
  <c r="A6" i="3"/>
  <c r="A9" i="3"/>
  <c r="A10" i="3"/>
  <c r="A11" i="3"/>
  <c r="A12" i="3"/>
  <c r="A13" i="3"/>
  <c r="A14" i="3"/>
  <c r="A15" i="3"/>
  <c r="A16" i="3"/>
  <c r="A17" i="3"/>
  <c r="A18" i="3"/>
  <c r="A19" i="3"/>
  <c r="A20" i="3"/>
  <c r="A21" i="3"/>
  <c r="A23" i="3"/>
  <c r="A24" i="3"/>
  <c r="A25" i="3"/>
  <c r="A26" i="3"/>
  <c r="A27"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28" i="3"/>
  <c r="A30" i="3"/>
  <c r="A8" i="3"/>
  <c r="G232" i="5"/>
  <c r="E220" i="5"/>
  <c r="D220" i="5"/>
  <c r="C220" i="5"/>
  <c r="B220" i="5"/>
  <c r="H220" i="5"/>
  <c r="G220" i="5"/>
  <c r="F220" i="5"/>
  <c r="G235" i="3"/>
  <c r="F235" i="3"/>
  <c r="E235" i="3"/>
  <c r="D235" i="3"/>
  <c r="C235" i="3"/>
  <c r="B235" i="3"/>
  <c r="E230" i="3"/>
  <c r="G227" i="3"/>
  <c r="F227" i="3"/>
  <c r="E227" i="3"/>
  <c r="D227" i="3"/>
  <c r="C227" i="3"/>
  <c r="B227" i="3"/>
  <c r="F225" i="3"/>
  <c r="E225" i="3"/>
  <c r="G204" i="3"/>
  <c r="F204" i="3"/>
  <c r="E204" i="3"/>
  <c r="D204" i="3"/>
  <c r="C204" i="3"/>
  <c r="D201" i="3"/>
  <c r="C201" i="3"/>
  <c r="B201" i="3"/>
  <c r="G201" i="3"/>
  <c r="F201" i="3"/>
  <c r="E201" i="3"/>
  <c r="F143" i="3"/>
  <c r="G143" i="3"/>
  <c r="D143" i="3"/>
  <c r="C143" i="3"/>
  <c r="B143" i="3"/>
  <c r="E143" i="3"/>
  <c r="E92" i="3"/>
  <c r="D92" i="3"/>
  <c r="C92" i="3"/>
  <c r="B92" i="3"/>
  <c r="G92" i="3"/>
  <c r="F92" i="3"/>
  <c r="E91" i="3"/>
  <c r="D91" i="3"/>
  <c r="C91" i="3"/>
  <c r="B91" i="3"/>
  <c r="G91" i="3"/>
  <c r="F91" i="3"/>
  <c r="E90" i="3"/>
  <c r="D90" i="3"/>
  <c r="C90" i="3"/>
  <c r="F89" i="3"/>
  <c r="C88" i="3"/>
  <c r="B88" i="3"/>
  <c r="E88" i="3"/>
  <c r="D88" i="3"/>
  <c r="G88" i="3"/>
  <c r="F88" i="3"/>
  <c r="G87" i="3"/>
  <c r="F87" i="3"/>
  <c r="E87" i="3"/>
  <c r="D87" i="3"/>
  <c r="C87" i="3"/>
  <c r="B87" i="3"/>
  <c r="E86" i="3"/>
  <c r="D86" i="3"/>
  <c r="C86" i="3"/>
  <c r="G84" i="3"/>
  <c r="F84" i="3"/>
  <c r="E84" i="3"/>
  <c r="D78" i="3"/>
  <c r="C78" i="3"/>
  <c r="B78" i="3"/>
  <c r="G78" i="3"/>
  <c r="F77" i="3"/>
  <c r="E77" i="3"/>
  <c r="D77" i="3"/>
  <c r="C77" i="3"/>
  <c r="B77" i="3"/>
  <c r="C76" i="3"/>
  <c r="B76" i="3"/>
  <c r="D76" i="3"/>
  <c r="E76" i="3"/>
  <c r="F76" i="3"/>
  <c r="G76" i="3"/>
  <c r="A238" i="4"/>
  <c r="A113" i="4"/>
  <c r="A179" i="4"/>
  <c r="A85" i="3"/>
  <c r="A216" i="3"/>
  <c r="A238" i="3"/>
  <c r="A151" i="3"/>
  <c r="A236" i="5"/>
  <c r="A237" i="5"/>
  <c r="A67" i="5"/>
  <c r="A238" i="5"/>
  <c r="A181" i="5"/>
  <c r="A124" i="5"/>
  <c r="J22" i="6"/>
  <c r="K22" i="6" s="1"/>
  <c r="J21" i="6"/>
  <c r="K21" i="6" s="1"/>
  <c r="J20" i="6"/>
  <c r="K20" i="6" s="1"/>
  <c r="J19" i="6"/>
  <c r="K19" i="6" s="1"/>
  <c r="J18" i="6"/>
  <c r="K18" i="6" s="1"/>
  <c r="J17" i="6"/>
  <c r="K17" i="6" s="1"/>
  <c r="J16" i="6"/>
  <c r="K16" i="6" s="1"/>
  <c r="J15" i="6"/>
  <c r="K15" i="6" s="1"/>
  <c r="J14" i="6"/>
  <c r="K14" i="6" s="1"/>
  <c r="J13" i="6"/>
  <c r="K13" i="6" s="1"/>
  <c r="J12" i="6"/>
  <c r="K12" i="6" s="1"/>
  <c r="J11" i="6"/>
  <c r="K11" i="6" s="1"/>
  <c r="J10" i="6"/>
  <c r="K10" i="6" s="1"/>
  <c r="J9" i="6"/>
  <c r="K9" i="6" s="1"/>
  <c r="J8" i="6"/>
  <c r="K8" i="6" s="1"/>
  <c r="C23" i="6"/>
  <c r="J7" i="6"/>
  <c r="K7" i="6" s="1"/>
  <c r="H232" i="5" l="1"/>
  <c r="C5" i="3"/>
  <c r="D5" i="3"/>
  <c r="E5" i="3"/>
  <c r="F5" i="3"/>
  <c r="G5" i="3"/>
  <c r="F207" i="3"/>
  <c r="G207" i="3"/>
  <c r="B207" i="3"/>
  <c r="C207" i="3"/>
  <c r="F90" i="3"/>
  <c r="G90" i="3"/>
  <c r="D207" i="3"/>
  <c r="B94" i="3"/>
  <c r="G79" i="3"/>
  <c r="D94" i="3"/>
  <c r="F79" i="3"/>
  <c r="E94" i="3"/>
  <c r="C94" i="3"/>
  <c r="B79" i="3"/>
  <c r="G81" i="3"/>
  <c r="G82" i="3"/>
  <c r="E82" i="3"/>
  <c r="D82" i="3"/>
  <c r="C82" i="3"/>
  <c r="G95" i="3"/>
  <c r="E80" i="3"/>
  <c r="F80" i="3"/>
  <c r="C221" i="5"/>
  <c r="F217" i="3"/>
  <c r="F82" i="3"/>
  <c r="F95" i="3"/>
  <c r="B95" i="3"/>
  <c r="G80" i="3"/>
  <c r="F221" i="5"/>
  <c r="B81" i="3"/>
  <c r="C225" i="5"/>
  <c r="G83" i="3"/>
  <c r="C80" i="3"/>
  <c r="C95" i="3"/>
  <c r="B80" i="3"/>
  <c r="D95" i="3"/>
  <c r="G230" i="5"/>
  <c r="H230" i="5"/>
  <c r="B230" i="5"/>
  <c r="F86" i="3"/>
  <c r="G86" i="3"/>
  <c r="C222" i="3"/>
  <c r="G234" i="5"/>
  <c r="F83" i="3"/>
  <c r="D222" i="3"/>
  <c r="E83" i="3"/>
  <c r="E222" i="3"/>
  <c r="H221" i="5"/>
  <c r="C81" i="3"/>
  <c r="D83" i="3"/>
  <c r="F222" i="3"/>
  <c r="B221" i="5"/>
  <c r="D81" i="3"/>
  <c r="C83" i="3"/>
  <c r="G222" i="3"/>
  <c r="G221" i="5"/>
  <c r="F81" i="3"/>
  <c r="F94" i="3"/>
  <c r="D221" i="5"/>
  <c r="B84" i="3"/>
  <c r="D225" i="3"/>
  <c r="D48" i="4"/>
  <c r="H227" i="5"/>
  <c r="D226" i="5"/>
  <c r="E226" i="5"/>
  <c r="F226" i="5"/>
  <c r="H234" i="5"/>
  <c r="B227" i="5"/>
  <c r="B234" i="5"/>
  <c r="C227" i="5"/>
  <c r="D227" i="5"/>
  <c r="E227" i="5"/>
  <c r="F227" i="5"/>
  <c r="C223" i="5"/>
  <c r="H228" i="5"/>
  <c r="B223" i="5"/>
  <c r="E228" i="5"/>
  <c r="E223" i="5"/>
  <c r="B228" i="5"/>
  <c r="B231" i="5"/>
  <c r="C228" i="5"/>
  <c r="C231" i="5"/>
  <c r="D228" i="5"/>
  <c r="D231" i="5"/>
  <c r="F228" i="5"/>
  <c r="E231" i="5"/>
  <c r="F231" i="5"/>
  <c r="G229" i="5"/>
  <c r="F229" i="5"/>
  <c r="E229" i="5"/>
  <c r="H223" i="5"/>
  <c r="D229" i="5"/>
  <c r="G223" i="5"/>
  <c r="C229" i="5"/>
  <c r="F223" i="5"/>
  <c r="B229" i="5"/>
  <c r="F220" i="3"/>
  <c r="G220" i="3"/>
  <c r="D220" i="3"/>
  <c r="C220" i="3"/>
  <c r="C48" i="4"/>
  <c r="E220" i="3"/>
  <c r="H222" i="5"/>
  <c r="G89" i="3"/>
  <c r="F222" i="5"/>
  <c r="E225" i="5"/>
  <c r="B89" i="3"/>
  <c r="B230" i="3"/>
  <c r="D222" i="5"/>
  <c r="F225" i="5"/>
  <c r="C89" i="3"/>
  <c r="C230" i="3"/>
  <c r="B222" i="5"/>
  <c r="G225" i="5"/>
  <c r="J23" i="6"/>
  <c r="K23" i="6" s="1"/>
  <c r="E79" i="3"/>
  <c r="D89" i="3"/>
  <c r="G225" i="3"/>
  <c r="G230" i="3"/>
  <c r="G222" i="5"/>
  <c r="B225" i="5"/>
  <c r="D79" i="3"/>
  <c r="C84" i="3"/>
  <c r="B225" i="3"/>
  <c r="F230" i="3"/>
  <c r="E222" i="5"/>
  <c r="D225" i="5"/>
  <c r="G48" i="4"/>
  <c r="F48" i="4"/>
  <c r="E48" i="4"/>
  <c r="F224" i="5"/>
  <c r="G224" i="5"/>
  <c r="H224" i="5"/>
  <c r="B232" i="5"/>
  <c r="C233" i="5"/>
  <c r="H235" i="5"/>
  <c r="D233" i="5"/>
  <c r="B235" i="5"/>
  <c r="D151" i="5"/>
  <c r="E233" i="5"/>
  <c r="C235" i="5"/>
  <c r="G151" i="5"/>
  <c r="F233" i="5"/>
  <c r="D235" i="5"/>
  <c r="H151" i="5"/>
  <c r="G233" i="5"/>
  <c r="E235" i="5"/>
  <c r="E151" i="5"/>
  <c r="G231" i="5"/>
  <c r="H233" i="5"/>
  <c r="F235" i="5"/>
  <c r="B224" i="5"/>
  <c r="G226" i="5"/>
  <c r="C230" i="5"/>
  <c r="C232" i="5"/>
  <c r="C234" i="5"/>
  <c r="C224" i="5"/>
  <c r="H226" i="5"/>
  <c r="D230" i="5"/>
  <c r="D232" i="5"/>
  <c r="D234" i="5"/>
  <c r="D224" i="5"/>
  <c r="B226" i="5"/>
  <c r="E230" i="5"/>
  <c r="E232" i="5"/>
  <c r="E234" i="5"/>
  <c r="F210" i="3"/>
  <c r="E210" i="3"/>
  <c r="D210" i="3"/>
  <c r="C210" i="3"/>
  <c r="B210" i="3"/>
  <c r="G210" i="3"/>
  <c r="D213" i="3"/>
  <c r="C213" i="3"/>
  <c r="B213" i="3"/>
  <c r="G213" i="3"/>
  <c r="F213" i="3"/>
  <c r="E213" i="3"/>
  <c r="E217" i="3"/>
  <c r="D217" i="3"/>
  <c r="C217" i="3"/>
  <c r="B217" i="3"/>
  <c r="E78" i="3"/>
  <c r="F78" i="3"/>
  <c r="F93" i="3"/>
  <c r="G93" i="3"/>
  <c r="B93" i="3"/>
  <c r="D93" i="3"/>
  <c r="E93" i="3"/>
  <c r="C93" i="3"/>
  <c r="F96" i="3"/>
  <c r="G96" i="3"/>
  <c r="D96" i="3"/>
  <c r="C96" i="3"/>
  <c r="B96" i="3"/>
  <c r="E96" i="3"/>
  <c r="C97" i="3"/>
  <c r="D97" i="3"/>
  <c r="E97" i="3"/>
  <c r="B97" i="3"/>
  <c r="F97" i="3"/>
  <c r="G97" i="3"/>
  <c r="B98" i="3"/>
  <c r="C98" i="3"/>
  <c r="D98" i="3"/>
  <c r="E98" i="3"/>
  <c r="F98" i="3"/>
  <c r="G98" i="3"/>
  <c r="G99" i="3"/>
  <c r="F99" i="3"/>
  <c r="E99" i="3"/>
  <c r="D99" i="3"/>
  <c r="B99" i="3"/>
  <c r="C99" i="3"/>
  <c r="G100" i="3"/>
  <c r="B100" i="3"/>
  <c r="C100" i="3"/>
  <c r="D100" i="3"/>
  <c r="E100" i="3"/>
  <c r="F100" i="3"/>
  <c r="G101" i="3"/>
  <c r="F101" i="3"/>
  <c r="B101" i="3"/>
  <c r="C101" i="3"/>
  <c r="D101" i="3"/>
  <c r="E101" i="3"/>
  <c r="B102" i="3"/>
  <c r="C102" i="3"/>
  <c r="D102" i="3"/>
  <c r="E102" i="3"/>
  <c r="F102" i="3"/>
  <c r="G102" i="3"/>
  <c r="F103" i="3"/>
  <c r="G103" i="3"/>
  <c r="E103" i="3"/>
  <c r="B103" i="3"/>
  <c r="C103" i="3"/>
  <c r="D103" i="3"/>
  <c r="G104" i="3"/>
  <c r="E104" i="3"/>
  <c r="F104" i="3"/>
  <c r="B104" i="3"/>
  <c r="C104" i="3"/>
  <c r="D104" i="3"/>
  <c r="B105" i="3"/>
  <c r="C105" i="3"/>
  <c r="D105" i="3"/>
  <c r="E105" i="3"/>
  <c r="F105" i="3"/>
  <c r="G105" i="3"/>
  <c r="G106" i="3"/>
  <c r="B106" i="3"/>
  <c r="C106" i="3"/>
  <c r="D106" i="3"/>
  <c r="E106" i="3"/>
  <c r="F106" i="3"/>
  <c r="E107" i="3"/>
  <c r="B107" i="3"/>
  <c r="F107" i="3"/>
  <c r="G107" i="3"/>
  <c r="C107" i="3"/>
  <c r="D107" i="3"/>
  <c r="B108" i="3"/>
  <c r="G108" i="3"/>
  <c r="F108" i="3"/>
  <c r="E108" i="3"/>
  <c r="D108" i="3"/>
  <c r="C108" i="3"/>
  <c r="F109" i="3"/>
  <c r="C109" i="3"/>
  <c r="B109" i="3"/>
  <c r="D109" i="3"/>
  <c r="E109" i="3"/>
  <c r="G109" i="3"/>
  <c r="D110" i="3"/>
  <c r="G110" i="3"/>
  <c r="C110" i="3"/>
  <c r="F110" i="3"/>
  <c r="B110" i="3"/>
  <c r="E110" i="3"/>
  <c r="D111" i="3"/>
  <c r="G111" i="3"/>
  <c r="C111" i="3"/>
  <c r="B111" i="3"/>
  <c r="E111" i="3"/>
  <c r="F111" i="3"/>
  <c r="F112" i="3"/>
  <c r="E112" i="3"/>
  <c r="G112" i="3"/>
  <c r="B112" i="3"/>
  <c r="C112" i="3"/>
  <c r="D112" i="3"/>
  <c r="B113" i="3"/>
  <c r="C113" i="3"/>
  <c r="D113" i="3"/>
  <c r="E113" i="3"/>
  <c r="F113" i="3"/>
  <c r="G113" i="3"/>
  <c r="E114" i="3"/>
  <c r="C114" i="3"/>
  <c r="D114" i="3"/>
  <c r="B114" i="3"/>
  <c r="F114" i="3"/>
  <c r="G114" i="3"/>
  <c r="B115" i="3"/>
  <c r="C115" i="3"/>
  <c r="D115" i="3"/>
  <c r="E115" i="3"/>
  <c r="F115" i="3"/>
  <c r="G115" i="3"/>
  <c r="B116" i="3"/>
  <c r="C116" i="3"/>
  <c r="D116" i="3"/>
  <c r="E116" i="3"/>
  <c r="F116" i="3"/>
  <c r="G116" i="3"/>
  <c r="E117" i="3"/>
  <c r="C117" i="3"/>
  <c r="G117" i="3"/>
  <c r="B117" i="3"/>
  <c r="F117" i="3"/>
  <c r="D117" i="3"/>
  <c r="B118" i="3"/>
  <c r="C118" i="3"/>
  <c r="D118" i="3"/>
  <c r="E118" i="3"/>
  <c r="F118" i="3"/>
  <c r="G118" i="3"/>
  <c r="B119" i="3"/>
  <c r="C119" i="3"/>
  <c r="D119" i="3"/>
  <c r="E119" i="3"/>
  <c r="F119" i="3"/>
  <c r="G119" i="3"/>
  <c r="B120" i="3"/>
  <c r="C120" i="3"/>
  <c r="G120" i="3"/>
  <c r="E120" i="3"/>
  <c r="F120" i="3"/>
  <c r="D120" i="3"/>
  <c r="B121" i="3"/>
  <c r="C121" i="3"/>
  <c r="D121" i="3"/>
  <c r="E121" i="3"/>
  <c r="F121" i="3"/>
  <c r="G121" i="3"/>
  <c r="B122" i="3"/>
  <c r="C122" i="3"/>
  <c r="G122" i="3"/>
  <c r="E122" i="3"/>
  <c r="F122" i="3"/>
  <c r="D122" i="3"/>
  <c r="D123" i="3"/>
  <c r="E123" i="3"/>
  <c r="F123" i="3"/>
  <c r="G123" i="3"/>
  <c r="C123" i="3"/>
  <c r="B123" i="3"/>
  <c r="G124" i="3"/>
  <c r="B124" i="3"/>
  <c r="C124" i="3"/>
  <c r="D124" i="3"/>
  <c r="E124" i="3"/>
  <c r="F124" i="3"/>
  <c r="G125" i="3"/>
  <c r="C125" i="3"/>
  <c r="D125" i="3"/>
  <c r="B125" i="3"/>
  <c r="E125" i="3"/>
  <c r="F125" i="3"/>
  <c r="G126" i="3"/>
  <c r="E126" i="3"/>
  <c r="D126" i="3"/>
  <c r="B126" i="3"/>
  <c r="C126" i="3"/>
  <c r="F126" i="3"/>
  <c r="E127" i="3"/>
  <c r="F127" i="3"/>
  <c r="G127" i="3"/>
  <c r="D127" i="3"/>
  <c r="B127" i="3"/>
  <c r="C127" i="3"/>
  <c r="G128" i="3"/>
  <c r="C128" i="3"/>
  <c r="D128" i="3"/>
  <c r="E128" i="3"/>
  <c r="F128" i="3"/>
  <c r="B128" i="3"/>
  <c r="E129" i="3"/>
  <c r="D129" i="3"/>
  <c r="C129" i="3"/>
  <c r="F129" i="3"/>
  <c r="B129" i="3"/>
  <c r="G129" i="3"/>
  <c r="D130" i="3"/>
  <c r="E130" i="3"/>
  <c r="G130" i="3"/>
  <c r="C130" i="3"/>
  <c r="F130" i="3"/>
  <c r="B130" i="3"/>
  <c r="D131" i="3"/>
  <c r="C131" i="3"/>
  <c r="F131" i="3"/>
  <c r="G131" i="3"/>
  <c r="B131" i="3"/>
  <c r="E131" i="3"/>
  <c r="E132" i="3"/>
  <c r="B132" i="3"/>
  <c r="C132" i="3"/>
  <c r="F132" i="3"/>
  <c r="G132" i="3"/>
  <c r="D132" i="3"/>
  <c r="C133" i="3"/>
  <c r="E133" i="3"/>
  <c r="D133" i="3"/>
  <c r="F133" i="3"/>
  <c r="B133" i="3"/>
  <c r="G133" i="3"/>
  <c r="C134" i="3"/>
  <c r="B134" i="3"/>
  <c r="D134" i="3"/>
  <c r="G134" i="3"/>
  <c r="F134" i="3"/>
  <c r="E134" i="3"/>
  <c r="G135" i="3"/>
  <c r="D135" i="3"/>
  <c r="F135" i="3"/>
  <c r="B135" i="3"/>
  <c r="C135" i="3"/>
  <c r="E135" i="3"/>
  <c r="C136" i="3"/>
  <c r="E136" i="3"/>
  <c r="F136" i="3"/>
  <c r="G136" i="3"/>
  <c r="B136" i="3"/>
  <c r="D136" i="3"/>
  <c r="G137" i="3"/>
  <c r="F137" i="3"/>
  <c r="B137" i="3"/>
  <c r="C137" i="3"/>
  <c r="D137" i="3"/>
  <c r="E137" i="3"/>
  <c r="C138" i="3"/>
  <c r="D138" i="3"/>
  <c r="E138" i="3"/>
  <c r="F138" i="3"/>
  <c r="G138" i="3"/>
  <c r="B138" i="3"/>
  <c r="B139" i="3"/>
  <c r="G139" i="3"/>
  <c r="F139" i="3"/>
  <c r="E139" i="3"/>
  <c r="D139" i="3"/>
  <c r="C139" i="3"/>
  <c r="F140" i="3"/>
  <c r="G140" i="3"/>
  <c r="C140" i="3"/>
  <c r="B140" i="3"/>
  <c r="D140" i="3"/>
  <c r="E140" i="3"/>
  <c r="G141" i="3"/>
  <c r="F141" i="3"/>
  <c r="E141" i="3"/>
  <c r="D141" i="3"/>
  <c r="C141" i="3"/>
  <c r="B141" i="3"/>
  <c r="G142" i="3"/>
  <c r="F142" i="3"/>
  <c r="E142" i="3"/>
  <c r="D142" i="3"/>
  <c r="C142" i="3"/>
  <c r="B142" i="3"/>
  <c r="C199" i="3"/>
  <c r="E199" i="3"/>
  <c r="F199" i="3"/>
  <c r="G199" i="3"/>
  <c r="B199" i="3"/>
  <c r="D199" i="3"/>
  <c r="G144" i="3"/>
  <c r="E144" i="3"/>
  <c r="D144" i="3"/>
  <c r="C144" i="3"/>
  <c r="B144" i="3"/>
  <c r="F144" i="3"/>
  <c r="F145" i="3"/>
  <c r="E145" i="3"/>
  <c r="D145" i="3"/>
  <c r="C145" i="3"/>
  <c r="B145" i="3"/>
  <c r="G145" i="3"/>
  <c r="B146" i="3"/>
  <c r="C146" i="3"/>
  <c r="D146" i="3"/>
  <c r="E146" i="3"/>
  <c r="F146" i="3"/>
  <c r="G146" i="3"/>
  <c r="G147" i="3"/>
  <c r="E147" i="3"/>
  <c r="F147" i="3"/>
  <c r="D147" i="3"/>
  <c r="B147" i="3"/>
  <c r="C147" i="3"/>
  <c r="C148" i="3"/>
  <c r="D148" i="3"/>
  <c r="F148" i="3"/>
  <c r="G148" i="3"/>
  <c r="B148" i="3"/>
  <c r="E148" i="3"/>
  <c r="B149" i="3"/>
  <c r="G149" i="3"/>
  <c r="F149" i="3"/>
  <c r="E149" i="3"/>
  <c r="D149" i="3"/>
  <c r="C149" i="3"/>
  <c r="F150" i="3"/>
  <c r="B150" i="3"/>
  <c r="C150" i="3"/>
  <c r="D150" i="3"/>
  <c r="E150" i="3"/>
  <c r="G150" i="3"/>
  <c r="C152" i="3"/>
  <c r="D152" i="3"/>
  <c r="E152" i="3"/>
  <c r="F152" i="3"/>
  <c r="G152" i="3"/>
  <c r="B152" i="3"/>
  <c r="G153" i="3"/>
  <c r="B153" i="3"/>
  <c r="C153" i="3"/>
  <c r="D153" i="3"/>
  <c r="E153" i="3"/>
  <c r="F153" i="3"/>
  <c r="B154" i="3"/>
  <c r="D154" i="3"/>
  <c r="E154" i="3"/>
  <c r="F154" i="3"/>
  <c r="G154" i="3"/>
  <c r="C154" i="3"/>
  <c r="F155" i="3"/>
  <c r="G155" i="3"/>
  <c r="E155" i="3"/>
  <c r="B155" i="3"/>
  <c r="D155" i="3"/>
  <c r="C155" i="3"/>
  <c r="C156" i="3"/>
  <c r="B156" i="3"/>
  <c r="G156" i="3"/>
  <c r="D156" i="3"/>
  <c r="F156" i="3"/>
  <c r="E156" i="3"/>
  <c r="B157" i="3"/>
  <c r="G157" i="3"/>
  <c r="F157" i="3"/>
  <c r="E157" i="3"/>
  <c r="D157" i="3"/>
  <c r="C157" i="3"/>
  <c r="F158" i="3"/>
  <c r="E158" i="3"/>
  <c r="D158" i="3"/>
  <c r="C158" i="3"/>
  <c r="B158" i="3"/>
  <c r="G158" i="3"/>
  <c r="B159" i="3"/>
  <c r="G159" i="3"/>
  <c r="F159" i="3"/>
  <c r="E159" i="3"/>
  <c r="D159" i="3"/>
  <c r="C159" i="3"/>
  <c r="E160" i="3"/>
  <c r="D160" i="3"/>
  <c r="B160" i="3"/>
  <c r="G160" i="3"/>
  <c r="C160" i="3"/>
  <c r="F160" i="3"/>
  <c r="G161" i="3"/>
  <c r="B161" i="3"/>
  <c r="C161" i="3"/>
  <c r="D161" i="3"/>
  <c r="E161" i="3"/>
  <c r="F161" i="3"/>
  <c r="B162" i="3"/>
  <c r="E162" i="3"/>
  <c r="C162" i="3"/>
  <c r="F162" i="3"/>
  <c r="D162" i="3"/>
  <c r="G162" i="3"/>
  <c r="G163" i="3"/>
  <c r="B163" i="3"/>
  <c r="C163" i="3"/>
  <c r="D163" i="3"/>
  <c r="E163" i="3"/>
  <c r="F163" i="3"/>
  <c r="G164" i="3"/>
  <c r="D164" i="3"/>
  <c r="E164" i="3"/>
  <c r="B164" i="3"/>
  <c r="C164" i="3"/>
  <c r="F164" i="3"/>
  <c r="E165" i="3"/>
  <c r="D165" i="3"/>
  <c r="G165" i="3"/>
  <c r="B165" i="3"/>
  <c r="C165" i="3"/>
  <c r="F165" i="3"/>
  <c r="E166" i="3"/>
  <c r="B166" i="3"/>
  <c r="C166" i="3"/>
  <c r="D166" i="3"/>
  <c r="G166" i="3"/>
  <c r="F166" i="3"/>
  <c r="G167" i="3"/>
  <c r="E167" i="3"/>
  <c r="D167" i="3"/>
  <c r="C167" i="3"/>
  <c r="B167" i="3"/>
  <c r="F167" i="3"/>
  <c r="C168" i="3"/>
  <c r="E168" i="3"/>
  <c r="D168" i="3"/>
  <c r="F168" i="3"/>
  <c r="B168" i="3"/>
  <c r="G168" i="3"/>
  <c r="B169" i="3"/>
  <c r="F169" i="3"/>
  <c r="C169" i="3"/>
  <c r="D169" i="3"/>
  <c r="E169" i="3"/>
  <c r="G169" i="3"/>
  <c r="G170" i="3"/>
  <c r="B170" i="3"/>
  <c r="C170" i="3"/>
  <c r="D170" i="3"/>
  <c r="E170" i="3"/>
  <c r="F170" i="3"/>
  <c r="E171" i="3"/>
  <c r="D171" i="3"/>
  <c r="B171" i="3"/>
  <c r="G171" i="3"/>
  <c r="C171" i="3"/>
  <c r="F171" i="3"/>
  <c r="G172" i="3"/>
  <c r="F172" i="3"/>
  <c r="E172" i="3"/>
  <c r="D172" i="3"/>
  <c r="B172" i="3"/>
  <c r="C172" i="3"/>
  <c r="B173" i="3"/>
  <c r="D173" i="3"/>
  <c r="E173" i="3"/>
  <c r="F173" i="3"/>
  <c r="G173" i="3"/>
  <c r="C173" i="3"/>
  <c r="G174" i="3"/>
  <c r="E174" i="3"/>
  <c r="D174" i="3"/>
  <c r="C174" i="3"/>
  <c r="B174" i="3"/>
  <c r="F174" i="3"/>
  <c r="C175" i="3"/>
  <c r="E175" i="3"/>
  <c r="B175" i="3"/>
  <c r="D175" i="3"/>
  <c r="G175" i="3"/>
  <c r="F175" i="3"/>
  <c r="G176" i="3"/>
  <c r="D176" i="3"/>
  <c r="B176" i="3"/>
  <c r="C176" i="3"/>
  <c r="E176" i="3"/>
  <c r="F176" i="3"/>
  <c r="B177" i="3"/>
  <c r="G177" i="3"/>
  <c r="F177" i="3"/>
  <c r="E177" i="3"/>
  <c r="D177" i="3"/>
  <c r="C177" i="3"/>
  <c r="C178" i="3"/>
  <c r="D178" i="3"/>
  <c r="F178" i="3"/>
  <c r="E178" i="3"/>
  <c r="G178" i="3"/>
  <c r="B178" i="3"/>
  <c r="E179" i="3"/>
  <c r="F179" i="3"/>
  <c r="G179" i="3"/>
  <c r="D179" i="3"/>
  <c r="C179" i="3"/>
  <c r="B179" i="3"/>
  <c r="E180" i="3"/>
  <c r="F180" i="3"/>
  <c r="G180" i="3"/>
  <c r="D180" i="3"/>
  <c r="C180" i="3"/>
  <c r="B180" i="3"/>
  <c r="F181" i="3"/>
  <c r="G181" i="3"/>
  <c r="B181" i="3"/>
  <c r="C181" i="3"/>
  <c r="D181" i="3"/>
  <c r="E181" i="3"/>
  <c r="E182" i="3"/>
  <c r="F182" i="3"/>
  <c r="G182" i="3"/>
  <c r="B182" i="3"/>
  <c r="C182" i="3"/>
  <c r="D182" i="3"/>
  <c r="E183" i="3"/>
  <c r="F183" i="3"/>
  <c r="G183" i="3"/>
  <c r="B183" i="3"/>
  <c r="C183" i="3"/>
  <c r="D183" i="3"/>
  <c r="F184" i="3"/>
  <c r="G184" i="3"/>
  <c r="B184" i="3"/>
  <c r="C184" i="3"/>
  <c r="D184" i="3"/>
  <c r="E184" i="3"/>
  <c r="E185" i="3"/>
  <c r="F185" i="3"/>
  <c r="G185" i="3"/>
  <c r="B185" i="3"/>
  <c r="C185" i="3"/>
  <c r="D185" i="3"/>
  <c r="E186" i="3"/>
  <c r="F186" i="3"/>
  <c r="G186" i="3"/>
  <c r="B186" i="3"/>
  <c r="C186" i="3"/>
  <c r="D186" i="3"/>
  <c r="F187" i="3"/>
  <c r="G187" i="3"/>
  <c r="B187" i="3"/>
  <c r="C187" i="3"/>
  <c r="D187" i="3"/>
  <c r="E187" i="3"/>
  <c r="E188" i="3"/>
  <c r="F188" i="3"/>
  <c r="G188" i="3"/>
  <c r="B188" i="3"/>
  <c r="C188" i="3"/>
  <c r="D188" i="3"/>
  <c r="E189" i="3"/>
  <c r="F189" i="3"/>
  <c r="G189" i="3"/>
  <c r="C189" i="3"/>
  <c r="D189" i="3"/>
  <c r="B189" i="3"/>
  <c r="F190" i="3"/>
  <c r="B190" i="3"/>
  <c r="D190" i="3"/>
  <c r="C190" i="3"/>
  <c r="G190" i="3"/>
  <c r="E190" i="3"/>
  <c r="B191" i="3"/>
  <c r="C191" i="3"/>
  <c r="D191" i="3"/>
  <c r="E191" i="3"/>
  <c r="F191" i="3"/>
  <c r="G191" i="3"/>
  <c r="B192" i="3"/>
  <c r="C192" i="3"/>
  <c r="D192" i="3"/>
  <c r="E192" i="3"/>
  <c r="G192" i="3"/>
  <c r="F192" i="3"/>
  <c r="B193" i="3"/>
  <c r="C193" i="3"/>
  <c r="G193" i="3"/>
  <c r="F193" i="3"/>
  <c r="E193" i="3"/>
  <c r="D193" i="3"/>
  <c r="E194" i="3"/>
  <c r="F194" i="3"/>
  <c r="G194" i="3"/>
  <c r="B194" i="3"/>
  <c r="C194" i="3"/>
  <c r="D194" i="3"/>
  <c r="E195" i="3"/>
  <c r="F195" i="3"/>
  <c r="G195" i="3"/>
  <c r="B195" i="3"/>
  <c r="C195" i="3"/>
  <c r="D195" i="3"/>
  <c r="D196" i="3"/>
  <c r="C196" i="3"/>
  <c r="G196" i="3"/>
  <c r="F196" i="3"/>
  <c r="E196" i="3"/>
  <c r="B196" i="3"/>
  <c r="E197" i="3"/>
  <c r="B197" i="3"/>
  <c r="G197" i="3"/>
  <c r="F197" i="3"/>
  <c r="C197" i="3"/>
  <c r="D197" i="3"/>
  <c r="F202" i="3"/>
  <c r="C202" i="3"/>
  <c r="B202" i="3"/>
  <c r="D202" i="3"/>
  <c r="G202" i="3"/>
  <c r="E202" i="3"/>
  <c r="B205" i="3"/>
  <c r="C205" i="3"/>
  <c r="E205" i="3"/>
  <c r="F205" i="3"/>
  <c r="G205" i="3"/>
  <c r="D205" i="3"/>
  <c r="C208" i="3"/>
  <c r="D208" i="3"/>
  <c r="B208" i="3"/>
  <c r="G208" i="3"/>
  <c r="E208" i="3"/>
  <c r="F208" i="3"/>
  <c r="G212" i="3"/>
  <c r="B212" i="3"/>
  <c r="C212" i="3"/>
  <c r="D212" i="3"/>
  <c r="F212" i="3"/>
  <c r="E212" i="3"/>
  <c r="F215" i="3"/>
  <c r="B215" i="3"/>
  <c r="C215" i="3"/>
  <c r="G215" i="3"/>
  <c r="E215" i="3"/>
  <c r="D215" i="3"/>
  <c r="C219" i="3"/>
  <c r="F219" i="3"/>
  <c r="B219" i="3"/>
  <c r="D219" i="3"/>
  <c r="E219" i="3"/>
  <c r="G219" i="3"/>
  <c r="D223" i="3"/>
  <c r="G223" i="3"/>
  <c r="B223" i="3"/>
  <c r="C223" i="3"/>
  <c r="E223" i="3"/>
  <c r="F223" i="3"/>
  <c r="C226" i="3"/>
  <c r="G226" i="3"/>
  <c r="B226" i="3"/>
  <c r="D226" i="3"/>
  <c r="E226" i="3"/>
  <c r="F226" i="3"/>
  <c r="G229" i="3"/>
  <c r="B229" i="3"/>
  <c r="C229" i="3"/>
  <c r="D229" i="3"/>
  <c r="E229" i="3"/>
  <c r="F229" i="3"/>
  <c r="F232" i="3"/>
  <c r="C232" i="3"/>
  <c r="D232" i="3"/>
  <c r="E232" i="3"/>
  <c r="G232" i="3"/>
  <c r="B232" i="3"/>
  <c r="D234" i="3"/>
  <c r="C234" i="3"/>
  <c r="E234" i="3"/>
  <c r="F234" i="3"/>
  <c r="B234" i="3"/>
  <c r="G234" i="3"/>
  <c r="D237" i="3"/>
  <c r="B237" i="3"/>
  <c r="C237" i="3"/>
  <c r="F237" i="3"/>
  <c r="G237" i="3"/>
  <c r="E237" i="3"/>
  <c r="F236" i="3"/>
  <c r="C236" i="3"/>
  <c r="G236" i="3"/>
  <c r="E236" i="3"/>
  <c r="D236" i="3"/>
  <c r="B236" i="3"/>
  <c r="B233" i="3"/>
  <c r="C233" i="3"/>
  <c r="D233" i="3"/>
  <c r="E233" i="3"/>
  <c r="F233" i="3"/>
  <c r="G233" i="3"/>
  <c r="D231" i="3"/>
  <c r="C231" i="3"/>
  <c r="B231" i="3"/>
  <c r="G231" i="3"/>
  <c r="F231" i="3"/>
  <c r="E231" i="3"/>
  <c r="C228" i="3"/>
  <c r="B228" i="3"/>
  <c r="G228" i="3"/>
  <c r="E228" i="3"/>
  <c r="F228" i="3"/>
  <c r="D228" i="3"/>
  <c r="C224" i="3"/>
  <c r="D224" i="3"/>
  <c r="E224" i="3"/>
  <c r="F224" i="3"/>
  <c r="B224" i="3"/>
  <c r="G224" i="3"/>
  <c r="F221" i="3"/>
  <c r="G221" i="3"/>
  <c r="C221" i="3"/>
  <c r="E221" i="3"/>
  <c r="B221" i="3"/>
  <c r="D221" i="3"/>
  <c r="F218" i="3"/>
  <c r="D218" i="3"/>
  <c r="E218" i="3"/>
  <c r="G218" i="3"/>
  <c r="B218" i="3"/>
  <c r="C218" i="3"/>
  <c r="E214" i="3"/>
  <c r="F214" i="3"/>
  <c r="G214" i="3"/>
  <c r="C214" i="3"/>
  <c r="B214" i="3"/>
  <c r="D214" i="3"/>
  <c r="B211" i="3"/>
  <c r="D211" i="3"/>
  <c r="C211" i="3"/>
  <c r="E211" i="3"/>
  <c r="F211" i="3"/>
  <c r="G211" i="3"/>
  <c r="E209" i="3"/>
  <c r="F209" i="3"/>
  <c r="G209" i="3"/>
  <c r="B209" i="3"/>
  <c r="C209" i="3"/>
  <c r="D209" i="3"/>
  <c r="E206" i="3"/>
  <c r="F206" i="3"/>
  <c r="C206" i="3"/>
  <c r="B206" i="3"/>
  <c r="D206" i="3"/>
  <c r="G206" i="3"/>
  <c r="D203" i="3"/>
  <c r="B203" i="3"/>
  <c r="C203" i="3"/>
  <c r="E203" i="3"/>
  <c r="F203" i="3"/>
  <c r="G203" i="3"/>
  <c r="C200" i="3"/>
  <c r="D200" i="3"/>
  <c r="B200" i="3"/>
  <c r="G200" i="3"/>
  <c r="F200" i="3"/>
  <c r="E200" i="3"/>
  <c r="B198" i="3"/>
  <c r="F198" i="3"/>
  <c r="G198" i="3"/>
  <c r="E198" i="3"/>
  <c r="C198" i="3"/>
  <c r="D198" i="3"/>
  <c r="B151" i="5"/>
  <c r="C151" i="5"/>
  <c r="C8" i="5"/>
  <c r="D8" i="5"/>
  <c r="E8" i="5"/>
  <c r="F8" i="5"/>
  <c r="B8" i="5"/>
  <c r="H8" i="5"/>
  <c r="G8" i="5"/>
  <c r="G145" i="5"/>
  <c r="B145" i="5"/>
  <c r="C145" i="5"/>
  <c r="D145" i="5"/>
  <c r="E145" i="5"/>
  <c r="H145" i="5"/>
  <c r="F145" i="5"/>
  <c r="F144" i="5"/>
  <c r="E144" i="5"/>
  <c r="D144" i="5"/>
  <c r="C144" i="5"/>
  <c r="H144" i="5"/>
  <c r="B144" i="5"/>
  <c r="G144" i="5"/>
  <c r="D143" i="5"/>
  <c r="E143" i="5"/>
  <c r="H143" i="5"/>
  <c r="G143" i="5"/>
  <c r="B143" i="5"/>
  <c r="C143" i="5"/>
  <c r="F143" i="5"/>
  <c r="D142" i="5"/>
  <c r="C142" i="5"/>
  <c r="B142" i="5"/>
  <c r="E142" i="5"/>
  <c r="F142" i="5"/>
  <c r="G142" i="5"/>
  <c r="H142" i="5"/>
  <c r="B141" i="5"/>
  <c r="E141" i="5"/>
  <c r="H141" i="5"/>
  <c r="C141" i="5"/>
  <c r="G141" i="5"/>
  <c r="D141" i="5"/>
  <c r="F141" i="5"/>
  <c r="D140" i="5"/>
  <c r="F140" i="5"/>
  <c r="H140" i="5"/>
  <c r="E140" i="5"/>
  <c r="G140" i="5"/>
  <c r="B140" i="5"/>
  <c r="C140" i="5"/>
  <c r="D139" i="5"/>
  <c r="B139" i="5"/>
  <c r="C139" i="5"/>
  <c r="G139" i="5"/>
  <c r="H139" i="5"/>
  <c r="E139" i="5"/>
  <c r="F139" i="5"/>
  <c r="B138" i="5"/>
  <c r="H138" i="5"/>
  <c r="F138" i="5"/>
  <c r="C138" i="5"/>
  <c r="D138" i="5"/>
  <c r="E138" i="5"/>
  <c r="G138" i="5"/>
  <c r="F137" i="5"/>
  <c r="G137" i="5"/>
  <c r="E137" i="5"/>
  <c r="D137" i="5"/>
  <c r="C137" i="5"/>
  <c r="B137" i="5"/>
  <c r="H137" i="5"/>
  <c r="D136" i="5"/>
  <c r="B136" i="5"/>
  <c r="H136" i="5"/>
  <c r="G136" i="5"/>
  <c r="F136" i="5"/>
  <c r="E136" i="5"/>
  <c r="C136" i="5"/>
  <c r="H5" i="5"/>
  <c r="B5" i="5"/>
  <c r="D5" i="5"/>
  <c r="E5" i="5"/>
  <c r="F5" i="5"/>
  <c r="G5" i="5"/>
  <c r="C5" i="5"/>
  <c r="B7" i="5"/>
  <c r="C7" i="5"/>
  <c r="D7" i="5"/>
  <c r="E7" i="5"/>
  <c r="F7" i="5"/>
  <c r="G7" i="5"/>
  <c r="H7" i="5"/>
  <c r="F9" i="5"/>
  <c r="C9" i="5"/>
  <c r="D9" i="5"/>
  <c r="E9" i="5"/>
  <c r="G9" i="5"/>
  <c r="H9" i="5"/>
  <c r="B9" i="5"/>
  <c r="B10" i="5"/>
  <c r="D10" i="5"/>
  <c r="C10" i="5"/>
  <c r="E10" i="5"/>
  <c r="F10" i="5"/>
  <c r="G10" i="5"/>
  <c r="H10" i="5"/>
  <c r="E12" i="5"/>
  <c r="C12" i="5"/>
  <c r="D12" i="5"/>
  <c r="B12" i="5"/>
  <c r="H12" i="5"/>
  <c r="G12" i="5"/>
  <c r="F12" i="5"/>
  <c r="B14" i="5"/>
  <c r="H14" i="5"/>
  <c r="D14" i="5"/>
  <c r="C14" i="5"/>
  <c r="G14" i="5"/>
  <c r="F14" i="5"/>
  <c r="E14" i="5"/>
  <c r="G27" i="5"/>
  <c r="F27" i="5"/>
  <c r="E27" i="5"/>
  <c r="D27" i="5"/>
  <c r="C27" i="5"/>
  <c r="B27" i="5"/>
  <c r="H27" i="5"/>
  <c r="F28" i="5"/>
  <c r="E28" i="5"/>
  <c r="H28" i="5"/>
  <c r="C28" i="5"/>
  <c r="B28" i="5"/>
  <c r="D28" i="5"/>
  <c r="G28" i="5"/>
  <c r="G30" i="5"/>
  <c r="F30" i="5"/>
  <c r="B30" i="5"/>
  <c r="C30" i="5"/>
  <c r="D30" i="5"/>
  <c r="E30" i="5"/>
  <c r="H30" i="5"/>
  <c r="D32" i="5"/>
  <c r="F32" i="5"/>
  <c r="B32" i="5"/>
  <c r="E32" i="5"/>
  <c r="G32" i="5"/>
  <c r="H32" i="5"/>
  <c r="C32" i="5"/>
  <c r="H34" i="5"/>
  <c r="G34" i="5"/>
  <c r="F34" i="5"/>
  <c r="B34" i="5"/>
  <c r="E34" i="5"/>
  <c r="D34" i="5"/>
  <c r="C34" i="5"/>
  <c r="H36" i="5"/>
  <c r="G36" i="5"/>
  <c r="F36" i="5"/>
  <c r="E36" i="5"/>
  <c r="D36" i="5"/>
  <c r="C36" i="5"/>
  <c r="B36" i="5"/>
  <c r="B38" i="5"/>
  <c r="C38" i="5"/>
  <c r="D38" i="5"/>
  <c r="E38" i="5"/>
  <c r="G38" i="5"/>
  <c r="H38" i="5"/>
  <c r="F38" i="5"/>
  <c r="F40" i="5"/>
  <c r="H40" i="5"/>
  <c r="B40" i="5"/>
  <c r="C40" i="5"/>
  <c r="D40" i="5"/>
  <c r="E40" i="5"/>
  <c r="G40" i="5"/>
  <c r="B42" i="5"/>
  <c r="H42" i="5"/>
  <c r="G42" i="5"/>
  <c r="F42" i="5"/>
  <c r="E42" i="5"/>
  <c r="D42" i="5"/>
  <c r="C42" i="5"/>
  <c r="H46" i="5"/>
  <c r="G46" i="5"/>
  <c r="F46" i="5"/>
  <c r="E46" i="5"/>
  <c r="D46" i="5"/>
  <c r="C46" i="5"/>
  <c r="B46" i="5"/>
  <c r="E60" i="5"/>
  <c r="C60" i="5"/>
  <c r="F60" i="5"/>
  <c r="G60" i="5"/>
  <c r="D60" i="5"/>
  <c r="H60" i="5"/>
  <c r="B60" i="5"/>
  <c r="E135" i="5"/>
  <c r="G135" i="5"/>
  <c r="D135" i="5"/>
  <c r="H135" i="5"/>
  <c r="C135" i="5"/>
  <c r="F135" i="5"/>
  <c r="B135" i="5"/>
  <c r="G134" i="5"/>
  <c r="D134" i="5"/>
  <c r="C134" i="5"/>
  <c r="B134" i="5"/>
  <c r="H134" i="5"/>
  <c r="E134" i="5"/>
  <c r="F134" i="5"/>
  <c r="C133" i="5"/>
  <c r="H133" i="5"/>
  <c r="B133" i="5"/>
  <c r="D133" i="5"/>
  <c r="F133" i="5"/>
  <c r="G133" i="5"/>
  <c r="E133" i="5"/>
  <c r="D132" i="5"/>
  <c r="B132" i="5"/>
  <c r="C132" i="5"/>
  <c r="E132" i="5"/>
  <c r="F132" i="5"/>
  <c r="H132" i="5"/>
  <c r="G132" i="5"/>
  <c r="F131" i="5"/>
  <c r="H131" i="5"/>
  <c r="G131" i="5"/>
  <c r="E131" i="5"/>
  <c r="D131" i="5"/>
  <c r="C131" i="5"/>
  <c r="B131" i="5"/>
  <c r="B130" i="5"/>
  <c r="C130" i="5"/>
  <c r="D130" i="5"/>
  <c r="E130" i="5"/>
  <c r="F130" i="5"/>
  <c r="G130" i="5"/>
  <c r="H130" i="5"/>
  <c r="F129" i="5"/>
  <c r="G129" i="5"/>
  <c r="B129" i="5"/>
  <c r="H129" i="5"/>
  <c r="C129" i="5"/>
  <c r="D129" i="5"/>
  <c r="E129" i="5"/>
  <c r="F128" i="5"/>
  <c r="G128" i="5"/>
  <c r="E128" i="5"/>
  <c r="D128" i="5"/>
  <c r="H128" i="5"/>
  <c r="C128" i="5"/>
  <c r="B128" i="5"/>
  <c r="E127" i="5"/>
  <c r="F127" i="5"/>
  <c r="G127" i="5"/>
  <c r="B127" i="5"/>
  <c r="D127" i="5"/>
  <c r="H127" i="5"/>
  <c r="C127" i="5"/>
  <c r="G126" i="5"/>
  <c r="D126" i="5"/>
  <c r="H126" i="5"/>
  <c r="F126" i="5"/>
  <c r="E126" i="5"/>
  <c r="C126" i="5"/>
  <c r="B126" i="5"/>
  <c r="C125" i="5"/>
  <c r="E125" i="5"/>
  <c r="H125" i="5"/>
  <c r="D125" i="5"/>
  <c r="G125" i="5"/>
  <c r="B125" i="5"/>
  <c r="F125" i="5"/>
  <c r="B123" i="5"/>
  <c r="C123" i="5"/>
  <c r="D123" i="5"/>
  <c r="E123" i="5"/>
  <c r="F123" i="5"/>
  <c r="G123" i="5"/>
  <c r="H123" i="5"/>
  <c r="B122" i="5"/>
  <c r="C122" i="5"/>
  <c r="H122" i="5"/>
  <c r="G122" i="5"/>
  <c r="F122" i="5"/>
  <c r="E122" i="5"/>
  <c r="D122" i="5"/>
  <c r="G121" i="5"/>
  <c r="F121" i="5"/>
  <c r="E121" i="5"/>
  <c r="B121" i="5"/>
  <c r="C121" i="5"/>
  <c r="H121" i="5"/>
  <c r="D121" i="5"/>
  <c r="H120" i="5"/>
  <c r="C120" i="5"/>
  <c r="E120" i="5"/>
  <c r="F120" i="5"/>
  <c r="G120" i="5"/>
  <c r="B120" i="5"/>
  <c r="D120" i="5"/>
  <c r="G119" i="5"/>
  <c r="H119" i="5"/>
  <c r="E119" i="5"/>
  <c r="F119" i="5"/>
  <c r="C119" i="5"/>
  <c r="B119" i="5"/>
  <c r="D119" i="5"/>
  <c r="E118" i="5"/>
  <c r="D118" i="5"/>
  <c r="C118" i="5"/>
  <c r="B118" i="5"/>
  <c r="F118" i="5"/>
  <c r="G118" i="5"/>
  <c r="H118" i="5"/>
  <c r="E117" i="5"/>
  <c r="F117" i="5"/>
  <c r="H117" i="5"/>
  <c r="G117" i="5"/>
  <c r="C117" i="5"/>
  <c r="B117" i="5"/>
  <c r="D117" i="5"/>
  <c r="F116" i="5"/>
  <c r="H116" i="5"/>
  <c r="G116" i="5"/>
  <c r="E116" i="5"/>
  <c r="D116" i="5"/>
  <c r="C116" i="5"/>
  <c r="B116" i="5"/>
  <c r="G115" i="5"/>
  <c r="F115" i="5"/>
  <c r="E115" i="5"/>
  <c r="D115" i="5"/>
  <c r="C115" i="5"/>
  <c r="B115" i="5"/>
  <c r="H115" i="5"/>
  <c r="H114" i="5"/>
  <c r="G114" i="5"/>
  <c r="F114" i="5"/>
  <c r="E114" i="5"/>
  <c r="D114" i="5"/>
  <c r="C114" i="5"/>
  <c r="B114" i="5"/>
  <c r="H113" i="5"/>
  <c r="B113" i="5"/>
  <c r="C113" i="5"/>
  <c r="D113" i="5"/>
  <c r="E113" i="5"/>
  <c r="F113" i="5"/>
  <c r="G113" i="5"/>
  <c r="B112" i="5"/>
  <c r="F112" i="5"/>
  <c r="H112" i="5"/>
  <c r="E112" i="5"/>
  <c r="D112" i="5"/>
  <c r="G112" i="5"/>
  <c r="C112" i="5"/>
  <c r="B111" i="5"/>
  <c r="E111" i="5"/>
  <c r="H111" i="5"/>
  <c r="C111" i="5"/>
  <c r="D111" i="5"/>
  <c r="F111" i="5"/>
  <c r="G111" i="5"/>
  <c r="B110" i="5"/>
  <c r="C110" i="5"/>
  <c r="D110" i="5"/>
  <c r="E110" i="5"/>
  <c r="F110" i="5"/>
  <c r="G110" i="5"/>
  <c r="H110" i="5"/>
  <c r="G109" i="5"/>
  <c r="E109" i="5"/>
  <c r="D109" i="5"/>
  <c r="C109" i="5"/>
  <c r="B109" i="5"/>
  <c r="H109" i="5"/>
  <c r="F109" i="5"/>
  <c r="E108" i="5"/>
  <c r="D108" i="5"/>
  <c r="C108" i="5"/>
  <c r="B108" i="5"/>
  <c r="F108" i="5"/>
  <c r="G108" i="5"/>
  <c r="H108" i="5"/>
  <c r="B107" i="5"/>
  <c r="C107" i="5"/>
  <c r="D107" i="5"/>
  <c r="E107" i="5"/>
  <c r="F107" i="5"/>
  <c r="G107" i="5"/>
  <c r="H107" i="5"/>
  <c r="B106" i="5"/>
  <c r="H106" i="5"/>
  <c r="G106" i="5"/>
  <c r="F106" i="5"/>
  <c r="D106" i="5"/>
  <c r="C106" i="5"/>
  <c r="E106" i="5"/>
  <c r="E105" i="5"/>
  <c r="C105" i="5"/>
  <c r="B105" i="5"/>
  <c r="D105" i="5"/>
  <c r="H105" i="5"/>
  <c r="F105" i="5"/>
  <c r="G105" i="5"/>
  <c r="B104" i="5"/>
  <c r="F104" i="5"/>
  <c r="H104" i="5"/>
  <c r="G104" i="5"/>
  <c r="C104" i="5"/>
  <c r="D104" i="5"/>
  <c r="E104" i="5"/>
  <c r="B103" i="5"/>
  <c r="E103" i="5"/>
  <c r="F103" i="5"/>
  <c r="H103" i="5"/>
  <c r="C103" i="5"/>
  <c r="D103" i="5"/>
  <c r="G103" i="5"/>
  <c r="D102" i="5"/>
  <c r="B102" i="5"/>
  <c r="F102" i="5"/>
  <c r="G102" i="5"/>
  <c r="E102" i="5"/>
  <c r="C102" i="5"/>
  <c r="H102" i="5"/>
  <c r="C101" i="5"/>
  <c r="D101" i="5"/>
  <c r="E101" i="5"/>
  <c r="F101" i="5"/>
  <c r="G101" i="5"/>
  <c r="H101" i="5"/>
  <c r="B101" i="5"/>
  <c r="D100" i="5"/>
  <c r="E100" i="5"/>
  <c r="F100" i="5"/>
  <c r="G100" i="5"/>
  <c r="H100" i="5"/>
  <c r="C100" i="5"/>
  <c r="B100" i="5"/>
  <c r="H99" i="5"/>
  <c r="B99" i="5"/>
  <c r="C99" i="5"/>
  <c r="D99" i="5"/>
  <c r="E99" i="5"/>
  <c r="F99" i="5"/>
  <c r="G99" i="5"/>
  <c r="H98" i="5"/>
  <c r="G98" i="5"/>
  <c r="F98" i="5"/>
  <c r="E98" i="5"/>
  <c r="D98" i="5"/>
  <c r="C98" i="5"/>
  <c r="B98" i="5"/>
  <c r="G6" i="5"/>
  <c r="D6" i="5"/>
  <c r="E6" i="5"/>
  <c r="B6" i="5"/>
  <c r="H6" i="5"/>
  <c r="F6" i="5"/>
  <c r="C6" i="5"/>
  <c r="C96" i="5"/>
  <c r="G96" i="5"/>
  <c r="H96" i="5"/>
  <c r="F96" i="5"/>
  <c r="E96" i="5"/>
  <c r="D96" i="5"/>
  <c r="B96" i="5"/>
  <c r="G95" i="5"/>
  <c r="F95" i="5"/>
  <c r="D95" i="5"/>
  <c r="B95" i="5"/>
  <c r="E95" i="5"/>
  <c r="C95" i="5"/>
  <c r="H95" i="5"/>
  <c r="G94" i="5"/>
  <c r="C94" i="5"/>
  <c r="B94" i="5"/>
  <c r="D94" i="5"/>
  <c r="E94" i="5"/>
  <c r="F94" i="5"/>
  <c r="H94" i="5"/>
  <c r="G93" i="5"/>
  <c r="F93" i="5"/>
  <c r="E93" i="5"/>
  <c r="D93" i="5"/>
  <c r="C93" i="5"/>
  <c r="H93" i="5"/>
  <c r="B93" i="5"/>
  <c r="B92" i="5"/>
  <c r="H92" i="5"/>
  <c r="G92" i="5"/>
  <c r="F92" i="5"/>
  <c r="E92" i="5"/>
  <c r="D92" i="5"/>
  <c r="C92" i="5"/>
  <c r="C91" i="5"/>
  <c r="E91" i="5"/>
  <c r="B91" i="5"/>
  <c r="F91" i="5"/>
  <c r="G91" i="5"/>
  <c r="H91" i="5"/>
  <c r="D91" i="5"/>
  <c r="D90" i="5"/>
  <c r="E90" i="5"/>
  <c r="B90" i="5"/>
  <c r="C90" i="5"/>
  <c r="F90" i="5"/>
  <c r="G90" i="5"/>
  <c r="H90" i="5"/>
  <c r="D89" i="5"/>
  <c r="C89" i="5"/>
  <c r="B89" i="5"/>
  <c r="G89" i="5"/>
  <c r="F89" i="5"/>
  <c r="E89" i="5"/>
  <c r="H89" i="5"/>
  <c r="H88" i="5"/>
  <c r="B88" i="5"/>
  <c r="F88" i="5"/>
  <c r="C88" i="5"/>
  <c r="E88" i="5"/>
  <c r="D88" i="5"/>
  <c r="G88" i="5"/>
  <c r="G87" i="5"/>
  <c r="B87" i="5"/>
  <c r="E87" i="5"/>
  <c r="C87" i="5"/>
  <c r="D87" i="5"/>
  <c r="F87" i="5"/>
  <c r="H87" i="5"/>
  <c r="H86" i="5"/>
  <c r="F86" i="5"/>
  <c r="E86" i="5"/>
  <c r="D86" i="5"/>
  <c r="C86" i="5"/>
  <c r="B86" i="5"/>
  <c r="G86" i="5"/>
  <c r="G85" i="5"/>
  <c r="H85" i="5"/>
  <c r="B85" i="5"/>
  <c r="C85" i="5"/>
  <c r="D85" i="5"/>
  <c r="E85" i="5"/>
  <c r="F85" i="5"/>
  <c r="C84" i="5"/>
  <c r="B84" i="5"/>
  <c r="D84" i="5"/>
  <c r="E84" i="5"/>
  <c r="G84" i="5"/>
  <c r="F84" i="5"/>
  <c r="H84" i="5"/>
  <c r="H83" i="5"/>
  <c r="F83" i="5"/>
  <c r="C83" i="5"/>
  <c r="B83" i="5"/>
  <c r="D83" i="5"/>
  <c r="E83" i="5"/>
  <c r="G83" i="5"/>
  <c r="D82" i="5"/>
  <c r="F82" i="5"/>
  <c r="C82" i="5"/>
  <c r="B82" i="5"/>
  <c r="E82" i="5"/>
  <c r="H82" i="5"/>
  <c r="G82" i="5"/>
  <c r="H81" i="5"/>
  <c r="G81" i="5"/>
  <c r="F81" i="5"/>
  <c r="E81" i="5"/>
  <c r="C81" i="5"/>
  <c r="B81" i="5"/>
  <c r="D81" i="5"/>
  <c r="G80" i="5"/>
  <c r="B80" i="5"/>
  <c r="H80" i="5"/>
  <c r="D80" i="5"/>
  <c r="E80" i="5"/>
  <c r="F80" i="5"/>
  <c r="C80" i="5"/>
  <c r="B79" i="5"/>
  <c r="C79" i="5"/>
  <c r="F79" i="5"/>
  <c r="G79" i="5"/>
  <c r="H79" i="5"/>
  <c r="E79" i="5"/>
  <c r="D79" i="5"/>
  <c r="D78" i="5"/>
  <c r="H78" i="5"/>
  <c r="B78" i="5"/>
  <c r="C78" i="5"/>
  <c r="E78" i="5"/>
  <c r="F78" i="5"/>
  <c r="G78" i="5"/>
  <c r="C77" i="5"/>
  <c r="H77" i="5"/>
  <c r="G77" i="5"/>
  <c r="F77" i="5"/>
  <c r="E77" i="5"/>
  <c r="D77" i="5"/>
  <c r="B77" i="5"/>
  <c r="D76" i="5"/>
  <c r="H76" i="5"/>
  <c r="C76" i="5"/>
  <c r="G76" i="5"/>
  <c r="E76" i="5"/>
  <c r="B76" i="5"/>
  <c r="F76" i="5"/>
  <c r="D75" i="5"/>
  <c r="E75" i="5"/>
  <c r="F75" i="5"/>
  <c r="G75" i="5"/>
  <c r="H75" i="5"/>
  <c r="B75" i="5"/>
  <c r="C75" i="5"/>
  <c r="E74" i="5"/>
  <c r="F74" i="5"/>
  <c r="G74" i="5"/>
  <c r="H74" i="5"/>
  <c r="D74" i="5"/>
  <c r="C74" i="5"/>
  <c r="B74" i="5"/>
  <c r="E73" i="5"/>
  <c r="C73" i="5"/>
  <c r="F73" i="5"/>
  <c r="B73" i="5"/>
  <c r="H73" i="5"/>
  <c r="G73" i="5"/>
  <c r="D73" i="5"/>
  <c r="F72" i="5"/>
  <c r="D72" i="5"/>
  <c r="C72" i="5"/>
  <c r="G72" i="5"/>
  <c r="H72" i="5"/>
  <c r="B72" i="5"/>
  <c r="E72" i="5"/>
  <c r="C71" i="5"/>
  <c r="F71" i="5"/>
  <c r="B71" i="5"/>
  <c r="D71" i="5"/>
  <c r="E71" i="5"/>
  <c r="H71" i="5"/>
  <c r="G71" i="5"/>
  <c r="B70" i="5"/>
  <c r="D70" i="5"/>
  <c r="G70" i="5"/>
  <c r="F70" i="5"/>
  <c r="E70" i="5"/>
  <c r="C70" i="5"/>
  <c r="H70" i="5"/>
  <c r="H69" i="5"/>
  <c r="F69" i="5"/>
  <c r="E69" i="5"/>
  <c r="G69" i="5"/>
  <c r="C69" i="5"/>
  <c r="B69" i="5"/>
  <c r="D69" i="5"/>
  <c r="B68" i="5"/>
  <c r="D68" i="5"/>
  <c r="H68" i="5"/>
  <c r="C68" i="5"/>
  <c r="G68" i="5"/>
  <c r="F68" i="5"/>
  <c r="E68" i="5"/>
  <c r="E66" i="5"/>
  <c r="F66" i="5"/>
  <c r="G66" i="5"/>
  <c r="H66" i="5"/>
  <c r="B66" i="5"/>
  <c r="D66" i="5"/>
  <c r="C66" i="5"/>
  <c r="D150" i="5"/>
  <c r="F150" i="5"/>
  <c r="B150" i="5"/>
  <c r="C150" i="5"/>
  <c r="H150" i="5"/>
  <c r="G150" i="5"/>
  <c r="E150" i="5"/>
  <c r="G65" i="5"/>
  <c r="H65" i="5"/>
  <c r="F65" i="5"/>
  <c r="E65" i="5"/>
  <c r="D65" i="5"/>
  <c r="C65" i="5"/>
  <c r="B65" i="5"/>
  <c r="B146" i="5"/>
  <c r="C146" i="5"/>
  <c r="D146" i="5"/>
  <c r="E146" i="5"/>
  <c r="F146" i="5"/>
  <c r="G146" i="5"/>
  <c r="H146" i="5"/>
  <c r="D64" i="5"/>
  <c r="B64" i="5"/>
  <c r="C64" i="5"/>
  <c r="E64" i="5"/>
  <c r="F64" i="5"/>
  <c r="G64" i="5"/>
  <c r="H64" i="5"/>
  <c r="B63" i="5"/>
  <c r="C63" i="5"/>
  <c r="F63" i="5"/>
  <c r="H63" i="5"/>
  <c r="G63" i="5"/>
  <c r="E63" i="5"/>
  <c r="D63" i="5"/>
  <c r="B62" i="5"/>
  <c r="C62" i="5"/>
  <c r="D62" i="5"/>
  <c r="E62" i="5"/>
  <c r="F62" i="5"/>
  <c r="G62" i="5"/>
  <c r="H62" i="5"/>
  <c r="G61" i="5"/>
  <c r="H61" i="5"/>
  <c r="B61" i="5"/>
  <c r="C61" i="5"/>
  <c r="D61" i="5"/>
  <c r="E61" i="5"/>
  <c r="F61" i="5"/>
  <c r="C59" i="5"/>
  <c r="H59" i="5"/>
  <c r="G59" i="5"/>
  <c r="F59" i="5"/>
  <c r="E59" i="5"/>
  <c r="B59" i="5"/>
  <c r="D59" i="5"/>
  <c r="G58" i="5"/>
  <c r="B58" i="5"/>
  <c r="C58" i="5"/>
  <c r="D58" i="5"/>
  <c r="E58" i="5"/>
  <c r="H58" i="5"/>
  <c r="F58" i="5"/>
  <c r="D57" i="5"/>
  <c r="E57" i="5"/>
  <c r="F57" i="5"/>
  <c r="G57" i="5"/>
  <c r="H57" i="5"/>
  <c r="C57" i="5"/>
  <c r="B57" i="5"/>
  <c r="E56" i="5"/>
  <c r="B56" i="5"/>
  <c r="C56" i="5"/>
  <c r="D56" i="5"/>
  <c r="H56" i="5"/>
  <c r="G56" i="5"/>
  <c r="F56" i="5"/>
  <c r="D55" i="5"/>
  <c r="B55" i="5"/>
  <c r="G55" i="5"/>
  <c r="H55" i="5"/>
  <c r="E55" i="5"/>
  <c r="C55" i="5"/>
  <c r="F55" i="5"/>
  <c r="G54" i="5"/>
  <c r="F54" i="5"/>
  <c r="B54" i="5"/>
  <c r="E54" i="5"/>
  <c r="C54" i="5"/>
  <c r="D54" i="5"/>
  <c r="H54" i="5"/>
  <c r="D53" i="5"/>
  <c r="H53" i="5"/>
  <c r="G53" i="5"/>
  <c r="E53" i="5"/>
  <c r="B53" i="5"/>
  <c r="C53" i="5"/>
  <c r="F53" i="5"/>
  <c r="F52" i="5"/>
  <c r="B52" i="5"/>
  <c r="D52" i="5"/>
  <c r="E52" i="5"/>
  <c r="C52" i="5"/>
  <c r="G52" i="5"/>
  <c r="H52" i="5"/>
  <c r="B51" i="5"/>
  <c r="C51" i="5"/>
  <c r="D51" i="5"/>
  <c r="E51" i="5"/>
  <c r="F51" i="5"/>
  <c r="G51" i="5"/>
  <c r="H51" i="5"/>
  <c r="D50" i="5"/>
  <c r="G50" i="5"/>
  <c r="H50" i="5"/>
  <c r="E50" i="5"/>
  <c r="B50" i="5"/>
  <c r="C50" i="5"/>
  <c r="F50" i="5"/>
  <c r="B49" i="5"/>
  <c r="H49" i="5"/>
  <c r="G49" i="5"/>
  <c r="C49" i="5"/>
  <c r="D49" i="5"/>
  <c r="E49" i="5"/>
  <c r="F49" i="5"/>
  <c r="F48" i="5"/>
  <c r="E48" i="5"/>
  <c r="H48" i="5"/>
  <c r="G48" i="5"/>
  <c r="D48" i="5"/>
  <c r="C48" i="5"/>
  <c r="B48" i="5"/>
  <c r="B47" i="5"/>
  <c r="E47" i="5"/>
  <c r="H47" i="5"/>
  <c r="G47" i="5"/>
  <c r="F47" i="5"/>
  <c r="D47" i="5"/>
  <c r="C47" i="5"/>
  <c r="F45" i="5"/>
  <c r="E45" i="5"/>
  <c r="D45" i="5"/>
  <c r="C45" i="5"/>
  <c r="B45" i="5"/>
  <c r="H45" i="5"/>
  <c r="G45" i="5"/>
  <c r="E44" i="5"/>
  <c r="H44" i="5"/>
  <c r="D44" i="5"/>
  <c r="C44" i="5"/>
  <c r="B44" i="5"/>
  <c r="G44" i="5"/>
  <c r="F44" i="5"/>
  <c r="H43" i="5"/>
  <c r="D43" i="5"/>
  <c r="B43" i="5"/>
  <c r="C43" i="5"/>
  <c r="E43" i="5"/>
  <c r="F43" i="5"/>
  <c r="G43" i="5"/>
  <c r="H41" i="5"/>
  <c r="B41" i="5"/>
  <c r="C41" i="5"/>
  <c r="D41" i="5"/>
  <c r="E41" i="5"/>
  <c r="G41" i="5"/>
  <c r="F41" i="5"/>
  <c r="G39" i="5"/>
  <c r="E39" i="5"/>
  <c r="F39" i="5"/>
  <c r="C39" i="5"/>
  <c r="H39" i="5"/>
  <c r="B39" i="5"/>
  <c r="D39" i="5"/>
  <c r="B37" i="5"/>
  <c r="H37" i="5"/>
  <c r="G37" i="5"/>
  <c r="F37" i="5"/>
  <c r="E37" i="5"/>
  <c r="D37" i="5"/>
  <c r="C37" i="5"/>
  <c r="D35" i="5"/>
  <c r="B35" i="5"/>
  <c r="H35" i="5"/>
  <c r="G35" i="5"/>
  <c r="F35" i="5"/>
  <c r="E35" i="5"/>
  <c r="C35" i="5"/>
  <c r="E33" i="5"/>
  <c r="B33" i="5"/>
  <c r="D33" i="5"/>
  <c r="G33" i="5"/>
  <c r="F33" i="5"/>
  <c r="C33" i="5"/>
  <c r="H33" i="5"/>
  <c r="D31" i="5"/>
  <c r="F31" i="5"/>
  <c r="C31" i="5"/>
  <c r="B31" i="5"/>
  <c r="E31" i="5"/>
  <c r="H31" i="5"/>
  <c r="G31" i="5"/>
  <c r="C29" i="5"/>
  <c r="B29" i="5"/>
  <c r="D29" i="5"/>
  <c r="E29" i="5"/>
  <c r="F29" i="5"/>
  <c r="G29" i="5"/>
  <c r="H29" i="5"/>
  <c r="B15" i="5"/>
  <c r="H15" i="5"/>
  <c r="G15" i="5"/>
  <c r="F15" i="5"/>
  <c r="E15" i="5"/>
  <c r="D15" i="5"/>
  <c r="C15" i="5"/>
  <c r="C13" i="5"/>
  <c r="G13" i="5"/>
  <c r="F13" i="5"/>
  <c r="E13" i="5"/>
  <c r="D13" i="5"/>
  <c r="B13" i="5"/>
  <c r="H13" i="5"/>
  <c r="H11" i="5"/>
  <c r="G11" i="5"/>
  <c r="C11" i="5"/>
  <c r="F11" i="5"/>
  <c r="E11" i="5"/>
  <c r="D11" i="5"/>
  <c r="B11" i="5"/>
  <c r="D97" i="5"/>
  <c r="G97" i="5"/>
  <c r="F97" i="5"/>
  <c r="E97" i="5"/>
  <c r="C97" i="5"/>
  <c r="B97" i="5"/>
  <c r="H97" i="5"/>
  <c r="G205" i="4"/>
  <c r="B205" i="4"/>
  <c r="C205" i="4"/>
  <c r="F205" i="4"/>
  <c r="D205" i="4"/>
  <c r="E205" i="4"/>
  <c r="C65" i="4"/>
  <c r="G65" i="4"/>
  <c r="F65" i="4"/>
  <c r="E65" i="4"/>
  <c r="D65" i="4"/>
  <c r="B65" i="4"/>
  <c r="E30" i="4"/>
  <c r="C30" i="4"/>
  <c r="D30" i="4"/>
  <c r="F30" i="4"/>
  <c r="G30" i="4"/>
  <c r="B30" i="4"/>
  <c r="B29" i="4"/>
  <c r="G29" i="4"/>
  <c r="F29" i="4"/>
  <c r="E29" i="4"/>
  <c r="D29" i="4"/>
  <c r="C29" i="4"/>
  <c r="C28" i="4"/>
  <c r="D28" i="4"/>
  <c r="F28" i="4"/>
  <c r="E28" i="4"/>
  <c r="G28" i="4"/>
  <c r="B28" i="4"/>
  <c r="B27" i="4"/>
  <c r="G27" i="4"/>
  <c r="E27" i="4"/>
  <c r="D27" i="4"/>
  <c r="F27" i="4"/>
  <c r="C27" i="4"/>
  <c r="B26" i="4"/>
  <c r="G26" i="4"/>
  <c r="C26" i="4"/>
  <c r="D26" i="4"/>
  <c r="E26" i="4"/>
  <c r="F26" i="4"/>
  <c r="F25" i="4"/>
  <c r="G25" i="4"/>
  <c r="C25" i="4"/>
  <c r="D25" i="4"/>
  <c r="E25" i="4"/>
  <c r="B25" i="4"/>
  <c r="B24" i="4"/>
  <c r="D24" i="4"/>
  <c r="E24" i="4"/>
  <c r="F24" i="4"/>
  <c r="G24" i="4"/>
  <c r="C24" i="4"/>
  <c r="B23" i="4"/>
  <c r="C23" i="4"/>
  <c r="D23" i="4"/>
  <c r="E23" i="4"/>
  <c r="F23" i="4"/>
  <c r="G23" i="4"/>
  <c r="C22" i="4"/>
  <c r="B22" i="4"/>
  <c r="F22" i="4"/>
  <c r="D22" i="4"/>
  <c r="G22" i="4"/>
  <c r="E22" i="4"/>
  <c r="C21" i="4"/>
  <c r="D21" i="4"/>
  <c r="E21" i="4"/>
  <c r="F21" i="4"/>
  <c r="G21" i="4"/>
  <c r="B21" i="4"/>
  <c r="B20" i="4"/>
  <c r="C20" i="4"/>
  <c r="D20" i="4"/>
  <c r="E20" i="4"/>
  <c r="F20" i="4"/>
  <c r="G20" i="4"/>
  <c r="D19" i="4"/>
  <c r="C19" i="4"/>
  <c r="B19" i="4"/>
  <c r="E19" i="4"/>
  <c r="F19" i="4"/>
  <c r="G19" i="4"/>
  <c r="B18" i="4"/>
  <c r="E18" i="4"/>
  <c r="F18" i="4"/>
  <c r="D18" i="4"/>
  <c r="G18" i="4"/>
  <c r="C18" i="4"/>
  <c r="B17" i="4"/>
  <c r="C17" i="4"/>
  <c r="D17" i="4"/>
  <c r="E17" i="4"/>
  <c r="F17" i="4"/>
  <c r="G17" i="4"/>
  <c r="E16" i="4"/>
  <c r="G16" i="4"/>
  <c r="F16" i="4"/>
  <c r="B16" i="4"/>
  <c r="C16" i="4"/>
  <c r="D16" i="4"/>
  <c r="B15" i="4"/>
  <c r="E15" i="4"/>
  <c r="G15" i="4"/>
  <c r="F15" i="4"/>
  <c r="D15" i="4"/>
  <c r="C15" i="4"/>
  <c r="G14" i="4"/>
  <c r="F14" i="4"/>
  <c r="E14" i="4"/>
  <c r="D14" i="4"/>
  <c r="C14" i="4"/>
  <c r="B14" i="4"/>
  <c r="D13" i="4"/>
  <c r="C13" i="4"/>
  <c r="B13" i="4"/>
  <c r="E13" i="4"/>
  <c r="F13" i="4"/>
  <c r="G13" i="4"/>
  <c r="F12" i="4"/>
  <c r="E12" i="4"/>
  <c r="D12" i="4"/>
  <c r="C12" i="4"/>
  <c r="B12" i="4"/>
  <c r="G12" i="4"/>
  <c r="C11" i="4"/>
  <c r="E11" i="4"/>
  <c r="D11" i="4"/>
  <c r="F11" i="4"/>
  <c r="B11" i="4"/>
  <c r="G11" i="4"/>
  <c r="E10" i="4"/>
  <c r="D10" i="4"/>
  <c r="B10" i="4"/>
  <c r="F10" i="4"/>
  <c r="G10" i="4"/>
  <c r="C10" i="4"/>
  <c r="C9" i="4"/>
  <c r="E9" i="4"/>
  <c r="D9" i="4"/>
  <c r="F9" i="4"/>
  <c r="B9" i="4"/>
  <c r="G9" i="4"/>
  <c r="G8" i="4"/>
  <c r="F8" i="4"/>
  <c r="E8" i="4"/>
  <c r="D8" i="4"/>
  <c r="B8" i="4"/>
  <c r="C8" i="4"/>
  <c r="G7" i="4"/>
  <c r="E7" i="4"/>
  <c r="F7" i="4"/>
  <c r="D7" i="4"/>
  <c r="C7" i="4"/>
  <c r="B7" i="4"/>
  <c r="F6" i="4"/>
  <c r="C6" i="4"/>
  <c r="E6" i="4"/>
  <c r="G6" i="4"/>
  <c r="B6" i="4"/>
  <c r="D6" i="4"/>
  <c r="E5" i="4"/>
  <c r="B5" i="4"/>
  <c r="C5" i="4"/>
  <c r="F5" i="4"/>
  <c r="G5" i="4"/>
  <c r="D5" i="4"/>
  <c r="B166" i="4"/>
  <c r="F166" i="4"/>
  <c r="D166" i="4"/>
  <c r="E166" i="4"/>
  <c r="G166" i="4"/>
  <c r="C166" i="4"/>
  <c r="C168" i="4"/>
  <c r="B168" i="4"/>
  <c r="D168" i="4"/>
  <c r="E168" i="4"/>
  <c r="G168" i="4"/>
  <c r="F168" i="4"/>
  <c r="B170" i="4"/>
  <c r="F170" i="4"/>
  <c r="G170" i="4"/>
  <c r="C170" i="4"/>
  <c r="E170" i="4"/>
  <c r="D170" i="4"/>
  <c r="F172" i="4"/>
  <c r="D172" i="4"/>
  <c r="B172" i="4"/>
  <c r="E172" i="4"/>
  <c r="G172" i="4"/>
  <c r="C172" i="4"/>
  <c r="F174" i="4"/>
  <c r="G174" i="4"/>
  <c r="D174" i="4"/>
  <c r="E174" i="4"/>
  <c r="B174" i="4"/>
  <c r="C174" i="4"/>
  <c r="F176" i="4"/>
  <c r="B176" i="4"/>
  <c r="G176" i="4"/>
  <c r="D176" i="4"/>
  <c r="C176" i="4"/>
  <c r="E176" i="4"/>
  <c r="G178" i="4"/>
  <c r="E178" i="4"/>
  <c r="C178" i="4"/>
  <c r="B178" i="4"/>
  <c r="F178" i="4"/>
  <c r="D178" i="4"/>
  <c r="B181" i="4"/>
  <c r="D181" i="4"/>
  <c r="F181" i="4"/>
  <c r="E181" i="4"/>
  <c r="G181" i="4"/>
  <c r="C181" i="4"/>
  <c r="F183" i="4"/>
  <c r="G183" i="4"/>
  <c r="B183" i="4"/>
  <c r="E183" i="4"/>
  <c r="C183" i="4"/>
  <c r="D183" i="4"/>
  <c r="F185" i="4"/>
  <c r="C185" i="4"/>
  <c r="D185" i="4"/>
  <c r="G185" i="4"/>
  <c r="E185" i="4"/>
  <c r="B185" i="4"/>
  <c r="D187" i="4"/>
  <c r="C187" i="4"/>
  <c r="E187" i="4"/>
  <c r="F187" i="4"/>
  <c r="G187" i="4"/>
  <c r="B187" i="4"/>
  <c r="D189" i="4"/>
  <c r="B189" i="4"/>
  <c r="C189" i="4"/>
  <c r="G189" i="4"/>
  <c r="F189" i="4"/>
  <c r="E189" i="4"/>
  <c r="B191" i="4"/>
  <c r="C191" i="4"/>
  <c r="D191" i="4"/>
  <c r="E191" i="4"/>
  <c r="F191" i="4"/>
  <c r="G191" i="4"/>
  <c r="D193" i="4"/>
  <c r="G193" i="4"/>
  <c r="F193" i="4"/>
  <c r="E193" i="4"/>
  <c r="B193" i="4"/>
  <c r="C193" i="4"/>
  <c r="G195" i="4"/>
  <c r="E195" i="4"/>
  <c r="D195" i="4"/>
  <c r="C195" i="4"/>
  <c r="B195" i="4"/>
  <c r="F195" i="4"/>
  <c r="D197" i="4"/>
  <c r="B197" i="4"/>
  <c r="G197" i="4"/>
  <c r="C197" i="4"/>
  <c r="E197" i="4"/>
  <c r="F197" i="4"/>
  <c r="F199" i="4"/>
  <c r="D199" i="4"/>
  <c r="E199" i="4"/>
  <c r="B199" i="4"/>
  <c r="C199" i="4"/>
  <c r="G199" i="4"/>
  <c r="C201" i="4"/>
  <c r="D201" i="4"/>
  <c r="F201" i="4"/>
  <c r="E201" i="4"/>
  <c r="G201" i="4"/>
  <c r="B201" i="4"/>
  <c r="F203" i="4"/>
  <c r="G203" i="4"/>
  <c r="E203" i="4"/>
  <c r="D203" i="4"/>
  <c r="B203" i="4"/>
  <c r="C203" i="4"/>
  <c r="D163" i="4"/>
  <c r="E163" i="4"/>
  <c r="C163" i="4"/>
  <c r="F163" i="4"/>
  <c r="G163" i="4"/>
  <c r="B163" i="4"/>
  <c r="E207" i="4"/>
  <c r="B207" i="4"/>
  <c r="C207" i="4"/>
  <c r="D207" i="4"/>
  <c r="F207" i="4"/>
  <c r="G207" i="4"/>
  <c r="G209" i="4"/>
  <c r="D209" i="4"/>
  <c r="E209" i="4"/>
  <c r="C209" i="4"/>
  <c r="F209" i="4"/>
  <c r="B209" i="4"/>
  <c r="F211" i="4"/>
  <c r="G211" i="4"/>
  <c r="E211" i="4"/>
  <c r="D211" i="4"/>
  <c r="C211" i="4"/>
  <c r="B211" i="4"/>
  <c r="C213" i="4"/>
  <c r="F213" i="4"/>
  <c r="G213" i="4"/>
  <c r="D213" i="4"/>
  <c r="B213" i="4"/>
  <c r="E213" i="4"/>
  <c r="B215" i="4"/>
  <c r="C215" i="4"/>
  <c r="D215" i="4"/>
  <c r="E215" i="4"/>
  <c r="F215" i="4"/>
  <c r="G215" i="4"/>
  <c r="G218" i="4"/>
  <c r="F218" i="4"/>
  <c r="E218" i="4"/>
  <c r="D218" i="4"/>
  <c r="C218" i="4"/>
  <c r="B218" i="4"/>
  <c r="C220" i="4"/>
  <c r="D220" i="4"/>
  <c r="F220" i="4"/>
  <c r="E220" i="4"/>
  <c r="B220" i="4"/>
  <c r="G220" i="4"/>
  <c r="E222" i="4"/>
  <c r="D222" i="4"/>
  <c r="B222" i="4"/>
  <c r="C222" i="4"/>
  <c r="G222" i="4"/>
  <c r="F222" i="4"/>
  <c r="G224" i="4"/>
  <c r="F224" i="4"/>
  <c r="E224" i="4"/>
  <c r="D224" i="4"/>
  <c r="C224" i="4"/>
  <c r="B224" i="4"/>
  <c r="D226" i="4"/>
  <c r="E226" i="4"/>
  <c r="B226" i="4"/>
  <c r="F226" i="4"/>
  <c r="G226" i="4"/>
  <c r="C226" i="4"/>
  <c r="B229" i="4"/>
  <c r="C229" i="4"/>
  <c r="D229" i="4"/>
  <c r="E229" i="4"/>
  <c r="G229" i="4"/>
  <c r="F229" i="4"/>
  <c r="G231" i="4"/>
  <c r="F231" i="4"/>
  <c r="E231" i="4"/>
  <c r="D231" i="4"/>
  <c r="C231" i="4"/>
  <c r="B231" i="4"/>
  <c r="G32" i="4"/>
  <c r="F32" i="4"/>
  <c r="B32" i="4"/>
  <c r="C32" i="4"/>
  <c r="D32" i="4"/>
  <c r="E32" i="4"/>
  <c r="D33" i="4"/>
  <c r="B33" i="4"/>
  <c r="C33" i="4"/>
  <c r="G33" i="4"/>
  <c r="F33" i="4"/>
  <c r="E33" i="4"/>
  <c r="F34" i="4"/>
  <c r="G34" i="4"/>
  <c r="E34" i="4"/>
  <c r="C34" i="4"/>
  <c r="B34" i="4"/>
  <c r="D34" i="4"/>
  <c r="B35" i="4"/>
  <c r="G35" i="4"/>
  <c r="C35" i="4"/>
  <c r="D35" i="4"/>
  <c r="E35" i="4"/>
  <c r="F35" i="4"/>
  <c r="F36" i="4"/>
  <c r="B36" i="4"/>
  <c r="C36" i="4"/>
  <c r="D36" i="4"/>
  <c r="E36" i="4"/>
  <c r="G36" i="4"/>
  <c r="G37" i="4"/>
  <c r="F37" i="4"/>
  <c r="C37" i="4"/>
  <c r="B37" i="4"/>
  <c r="D37" i="4"/>
  <c r="E37" i="4"/>
  <c r="G38" i="4"/>
  <c r="F38" i="4"/>
  <c r="E38" i="4"/>
  <c r="C38" i="4"/>
  <c r="B38" i="4"/>
  <c r="D38" i="4"/>
  <c r="G39" i="4"/>
  <c r="F39" i="4"/>
  <c r="E39" i="4"/>
  <c r="D39" i="4"/>
  <c r="C39" i="4"/>
  <c r="B39" i="4"/>
  <c r="G40" i="4"/>
  <c r="F40" i="4"/>
  <c r="D40" i="4"/>
  <c r="E40" i="4"/>
  <c r="C40" i="4"/>
  <c r="B40" i="4"/>
  <c r="B41" i="4"/>
  <c r="D41" i="4"/>
  <c r="F41" i="4"/>
  <c r="E41" i="4"/>
  <c r="C41" i="4"/>
  <c r="G41" i="4"/>
  <c r="B42" i="4"/>
  <c r="C42" i="4"/>
  <c r="D42" i="4"/>
  <c r="E42" i="4"/>
  <c r="F42" i="4"/>
  <c r="G42" i="4"/>
  <c r="D43" i="4"/>
  <c r="E43" i="4"/>
  <c r="F43" i="4"/>
  <c r="G43" i="4"/>
  <c r="B43" i="4"/>
  <c r="C43" i="4"/>
  <c r="D44" i="4"/>
  <c r="B44" i="4"/>
  <c r="C44" i="4"/>
  <c r="G44" i="4"/>
  <c r="E44" i="4"/>
  <c r="F44" i="4"/>
  <c r="C45" i="4"/>
  <c r="B45" i="4"/>
  <c r="F45" i="4"/>
  <c r="E45" i="4"/>
  <c r="D45" i="4"/>
  <c r="G45" i="4"/>
  <c r="F46" i="4"/>
  <c r="E46" i="4"/>
  <c r="D46" i="4"/>
  <c r="C46" i="4"/>
  <c r="B46" i="4"/>
  <c r="G46" i="4"/>
  <c r="F47" i="4"/>
  <c r="C47" i="4"/>
  <c r="E47" i="4"/>
  <c r="B47" i="4"/>
  <c r="G47" i="4"/>
  <c r="D47" i="4"/>
  <c r="G49" i="4"/>
  <c r="E49" i="4"/>
  <c r="B49" i="4"/>
  <c r="C49" i="4"/>
  <c r="D49" i="4"/>
  <c r="F49" i="4"/>
  <c r="G50" i="4"/>
  <c r="E50" i="4"/>
  <c r="D50" i="4"/>
  <c r="C50" i="4"/>
  <c r="F50" i="4"/>
  <c r="B50" i="4"/>
  <c r="C51" i="4"/>
  <c r="B51" i="4"/>
  <c r="G51" i="4"/>
  <c r="F51" i="4"/>
  <c r="E51" i="4"/>
  <c r="D51" i="4"/>
  <c r="C52" i="4"/>
  <c r="G52" i="4"/>
  <c r="D52" i="4"/>
  <c r="B52" i="4"/>
  <c r="F52" i="4"/>
  <c r="E52" i="4"/>
  <c r="D53" i="4"/>
  <c r="C53" i="4"/>
  <c r="E53" i="4"/>
  <c r="F53" i="4"/>
  <c r="B53" i="4"/>
  <c r="G53" i="4"/>
  <c r="E54" i="4"/>
  <c r="D54" i="4"/>
  <c r="G54" i="4"/>
  <c r="F54" i="4"/>
  <c r="B54" i="4"/>
  <c r="C54" i="4"/>
  <c r="G55" i="4"/>
  <c r="D55" i="4"/>
  <c r="B55" i="4"/>
  <c r="F55" i="4"/>
  <c r="E55" i="4"/>
  <c r="C55" i="4"/>
  <c r="E56" i="4"/>
  <c r="B56" i="4"/>
  <c r="F56" i="4"/>
  <c r="G56" i="4"/>
  <c r="D56" i="4"/>
  <c r="C56" i="4"/>
  <c r="C57" i="4"/>
  <c r="B57" i="4"/>
  <c r="D57" i="4"/>
  <c r="F57" i="4"/>
  <c r="G57" i="4"/>
  <c r="E57" i="4"/>
  <c r="C58" i="4"/>
  <c r="D58" i="4"/>
  <c r="G58" i="4"/>
  <c r="F58" i="4"/>
  <c r="B58" i="4"/>
  <c r="E58" i="4"/>
  <c r="F59" i="4"/>
  <c r="G59" i="4"/>
  <c r="C59" i="4"/>
  <c r="E59" i="4"/>
  <c r="B59" i="4"/>
  <c r="D59" i="4"/>
  <c r="G60" i="4"/>
  <c r="F60" i="4"/>
  <c r="E60" i="4"/>
  <c r="D60" i="4"/>
  <c r="C60" i="4"/>
  <c r="B60" i="4"/>
  <c r="F61" i="4"/>
  <c r="C61" i="4"/>
  <c r="B61" i="4"/>
  <c r="G61" i="4"/>
  <c r="D61" i="4"/>
  <c r="E61" i="4"/>
  <c r="F62" i="4"/>
  <c r="G62" i="4"/>
  <c r="E62" i="4"/>
  <c r="D62" i="4"/>
  <c r="C62" i="4"/>
  <c r="B62" i="4"/>
  <c r="G63" i="4"/>
  <c r="D63" i="4"/>
  <c r="F63" i="4"/>
  <c r="B63" i="4"/>
  <c r="C63" i="4"/>
  <c r="E63" i="4"/>
  <c r="G164" i="4"/>
  <c r="F164" i="4"/>
  <c r="E164" i="4"/>
  <c r="D164" i="4"/>
  <c r="C164" i="4"/>
  <c r="B164" i="4"/>
  <c r="D67" i="4"/>
  <c r="F67" i="4"/>
  <c r="G67" i="4"/>
  <c r="E67" i="4"/>
  <c r="B67" i="4"/>
  <c r="C67" i="4"/>
  <c r="B68" i="4"/>
  <c r="G68" i="4"/>
  <c r="F68" i="4"/>
  <c r="E68" i="4"/>
  <c r="C68" i="4"/>
  <c r="D68" i="4"/>
  <c r="E69" i="4"/>
  <c r="F69" i="4"/>
  <c r="D69" i="4"/>
  <c r="G69" i="4"/>
  <c r="C69" i="4"/>
  <c r="B69" i="4"/>
  <c r="G70" i="4"/>
  <c r="D70" i="4"/>
  <c r="C70" i="4"/>
  <c r="E70" i="4"/>
  <c r="B70" i="4"/>
  <c r="F70" i="4"/>
  <c r="G71" i="4"/>
  <c r="F71" i="4"/>
  <c r="E71" i="4"/>
  <c r="D71" i="4"/>
  <c r="B71" i="4"/>
  <c r="C71" i="4"/>
  <c r="E72" i="4"/>
  <c r="G72" i="4"/>
  <c r="C72" i="4"/>
  <c r="F72" i="4"/>
  <c r="D72" i="4"/>
  <c r="B72" i="4"/>
  <c r="B73" i="4"/>
  <c r="G73" i="4"/>
  <c r="D73" i="4"/>
  <c r="C73" i="4"/>
  <c r="E73" i="4"/>
  <c r="F73" i="4"/>
  <c r="C74" i="4"/>
  <c r="E74" i="4"/>
  <c r="D74" i="4"/>
  <c r="F74" i="4"/>
  <c r="G74" i="4"/>
  <c r="B74" i="4"/>
  <c r="B75" i="4"/>
  <c r="D75" i="4"/>
  <c r="F75" i="4"/>
  <c r="G75" i="4"/>
  <c r="E75" i="4"/>
  <c r="C75" i="4"/>
  <c r="B76" i="4"/>
  <c r="F76" i="4"/>
  <c r="G76" i="4"/>
  <c r="E76" i="4"/>
  <c r="D76" i="4"/>
  <c r="C76" i="4"/>
  <c r="C77" i="4"/>
  <c r="D77" i="4"/>
  <c r="E77" i="4"/>
  <c r="F77" i="4"/>
  <c r="G77" i="4"/>
  <c r="B77" i="4"/>
  <c r="F78" i="4"/>
  <c r="D78" i="4"/>
  <c r="B78" i="4"/>
  <c r="C78" i="4"/>
  <c r="E78" i="4"/>
  <c r="G78" i="4"/>
  <c r="E79" i="4"/>
  <c r="D79" i="4"/>
  <c r="B79" i="4"/>
  <c r="F79" i="4"/>
  <c r="G79" i="4"/>
  <c r="C79" i="4"/>
  <c r="G80" i="4"/>
  <c r="C80" i="4"/>
  <c r="D80" i="4"/>
  <c r="E80" i="4"/>
  <c r="F80" i="4"/>
  <c r="B80" i="4"/>
  <c r="F81" i="4"/>
  <c r="G81" i="4"/>
  <c r="E81" i="4"/>
  <c r="D81" i="4"/>
  <c r="B81" i="4"/>
  <c r="C81" i="4"/>
  <c r="D82" i="4"/>
  <c r="B82" i="4"/>
  <c r="E82" i="4"/>
  <c r="F82" i="4"/>
  <c r="G82" i="4"/>
  <c r="C82" i="4"/>
  <c r="C83" i="4"/>
  <c r="F83" i="4"/>
  <c r="E83" i="4"/>
  <c r="G83" i="4"/>
  <c r="B83" i="4"/>
  <c r="D83" i="4"/>
  <c r="G84" i="4"/>
  <c r="F84" i="4"/>
  <c r="E84" i="4"/>
  <c r="D84" i="4"/>
  <c r="C84" i="4"/>
  <c r="B84" i="4"/>
  <c r="B85" i="4"/>
  <c r="G85" i="4"/>
  <c r="F85" i="4"/>
  <c r="E85" i="4"/>
  <c r="D85" i="4"/>
  <c r="C85" i="4"/>
  <c r="G86" i="4"/>
  <c r="F86" i="4"/>
  <c r="E86" i="4"/>
  <c r="D86" i="4"/>
  <c r="C86" i="4"/>
  <c r="B86" i="4"/>
  <c r="B31" i="4"/>
  <c r="F31" i="4"/>
  <c r="G31" i="4"/>
  <c r="E31" i="4"/>
  <c r="D31" i="4"/>
  <c r="C31" i="4"/>
  <c r="F88" i="4"/>
  <c r="G88" i="4"/>
  <c r="B88" i="4"/>
  <c r="C88" i="4"/>
  <c r="D88" i="4"/>
  <c r="E88" i="4"/>
  <c r="D89" i="4"/>
  <c r="G89" i="4"/>
  <c r="B89" i="4"/>
  <c r="C89" i="4"/>
  <c r="F89" i="4"/>
  <c r="E89" i="4"/>
  <c r="B90" i="4"/>
  <c r="D90" i="4"/>
  <c r="E90" i="4"/>
  <c r="F90" i="4"/>
  <c r="G90" i="4"/>
  <c r="C90" i="4"/>
  <c r="E91" i="4"/>
  <c r="D91" i="4"/>
  <c r="C91" i="4"/>
  <c r="G91" i="4"/>
  <c r="B91" i="4"/>
  <c r="F91" i="4"/>
  <c r="C92" i="4"/>
  <c r="B92" i="4"/>
  <c r="G92" i="4"/>
  <c r="F92" i="4"/>
  <c r="E92" i="4"/>
  <c r="D92" i="4"/>
  <c r="G93" i="4"/>
  <c r="F93" i="4"/>
  <c r="E93" i="4"/>
  <c r="D93" i="4"/>
  <c r="C93" i="4"/>
  <c r="B93" i="4"/>
  <c r="D94" i="4"/>
  <c r="G94" i="4"/>
  <c r="F94" i="4"/>
  <c r="E94" i="4"/>
  <c r="C94" i="4"/>
  <c r="B94" i="4"/>
  <c r="B95" i="4"/>
  <c r="C95" i="4"/>
  <c r="D95" i="4"/>
  <c r="E95" i="4"/>
  <c r="F95" i="4"/>
  <c r="G95" i="4"/>
  <c r="B96" i="4"/>
  <c r="D96" i="4"/>
  <c r="F96" i="4"/>
  <c r="G96" i="4"/>
  <c r="E96" i="4"/>
  <c r="C96" i="4"/>
  <c r="E97" i="4"/>
  <c r="D97" i="4"/>
  <c r="C97" i="4"/>
  <c r="B97" i="4"/>
  <c r="G97" i="4"/>
  <c r="F97" i="4"/>
  <c r="C98" i="4"/>
  <c r="B98" i="4"/>
  <c r="D98" i="4"/>
  <c r="E98" i="4"/>
  <c r="F98" i="4"/>
  <c r="G98" i="4"/>
  <c r="F99" i="4"/>
  <c r="E99" i="4"/>
  <c r="D99" i="4"/>
  <c r="C99" i="4"/>
  <c r="B99" i="4"/>
  <c r="G99" i="4"/>
  <c r="F100" i="4"/>
  <c r="D100" i="4"/>
  <c r="G100" i="4"/>
  <c r="B100" i="4"/>
  <c r="C100" i="4"/>
  <c r="E100" i="4"/>
  <c r="F101" i="4"/>
  <c r="C101" i="4"/>
  <c r="D101" i="4"/>
  <c r="E101" i="4"/>
  <c r="B101" i="4"/>
  <c r="G101" i="4"/>
  <c r="G102" i="4"/>
  <c r="C102" i="4"/>
  <c r="D102" i="4"/>
  <c r="E102" i="4"/>
  <c r="B102" i="4"/>
  <c r="F102" i="4"/>
  <c r="G103" i="4"/>
  <c r="B103" i="4"/>
  <c r="C103" i="4"/>
  <c r="D103" i="4"/>
  <c r="E103" i="4"/>
  <c r="F103" i="4"/>
  <c r="G104" i="4"/>
  <c r="B104" i="4"/>
  <c r="C104" i="4"/>
  <c r="D104" i="4"/>
  <c r="E104" i="4"/>
  <c r="F104" i="4"/>
  <c r="C105" i="4"/>
  <c r="B105" i="4"/>
  <c r="D105" i="4"/>
  <c r="E105" i="4"/>
  <c r="G105" i="4"/>
  <c r="F105" i="4"/>
  <c r="G106" i="4"/>
  <c r="C106" i="4"/>
  <c r="D106" i="4"/>
  <c r="E106" i="4"/>
  <c r="F106" i="4"/>
  <c r="B106" i="4"/>
  <c r="G107" i="4"/>
  <c r="F107" i="4"/>
  <c r="E107" i="4"/>
  <c r="D107" i="4"/>
  <c r="C107" i="4"/>
  <c r="B107" i="4"/>
  <c r="D108" i="4"/>
  <c r="E108" i="4"/>
  <c r="F108" i="4"/>
  <c r="G108" i="4"/>
  <c r="C108" i="4"/>
  <c r="B108" i="4"/>
  <c r="E109" i="4"/>
  <c r="F109" i="4"/>
  <c r="D109" i="4"/>
  <c r="C109" i="4"/>
  <c r="B109" i="4"/>
  <c r="G109" i="4"/>
  <c r="G110" i="4"/>
  <c r="E110" i="4"/>
  <c r="D110" i="4"/>
  <c r="C110" i="4"/>
  <c r="B110" i="4"/>
  <c r="F110" i="4"/>
  <c r="G111" i="4"/>
  <c r="F111" i="4"/>
  <c r="E111" i="4"/>
  <c r="D111" i="4"/>
  <c r="C111" i="4"/>
  <c r="B111" i="4"/>
  <c r="C112" i="4"/>
  <c r="E112" i="4"/>
  <c r="B112" i="4"/>
  <c r="F112" i="4"/>
  <c r="G112" i="4"/>
  <c r="D112" i="4"/>
  <c r="G114" i="4"/>
  <c r="B114" i="4"/>
  <c r="F114" i="4"/>
  <c r="C114" i="4"/>
  <c r="D114" i="4"/>
  <c r="E114" i="4"/>
  <c r="D115" i="4"/>
  <c r="G115" i="4"/>
  <c r="F115" i="4"/>
  <c r="E115" i="4"/>
  <c r="B115" i="4"/>
  <c r="C115" i="4"/>
  <c r="E116" i="4"/>
  <c r="B116" i="4"/>
  <c r="G116" i="4"/>
  <c r="F116" i="4"/>
  <c r="C116" i="4"/>
  <c r="D116" i="4"/>
  <c r="E117" i="4"/>
  <c r="B117" i="4"/>
  <c r="C117" i="4"/>
  <c r="D117" i="4"/>
  <c r="G117" i="4"/>
  <c r="F117" i="4"/>
  <c r="G118" i="4"/>
  <c r="E118" i="4"/>
  <c r="B118" i="4"/>
  <c r="C118" i="4"/>
  <c r="D118" i="4"/>
  <c r="F118" i="4"/>
  <c r="F119" i="4"/>
  <c r="E119" i="4"/>
  <c r="D119" i="4"/>
  <c r="C119" i="4"/>
  <c r="B119" i="4"/>
  <c r="G119" i="4"/>
  <c r="G120" i="4"/>
  <c r="B120" i="4"/>
  <c r="E120" i="4"/>
  <c r="D120" i="4"/>
  <c r="C120" i="4"/>
  <c r="F120" i="4"/>
  <c r="F121" i="4"/>
  <c r="B121" i="4"/>
  <c r="C121" i="4"/>
  <c r="D121" i="4"/>
  <c r="G121" i="4"/>
  <c r="E121" i="4"/>
  <c r="G122" i="4"/>
  <c r="F122" i="4"/>
  <c r="E122" i="4"/>
  <c r="D122" i="4"/>
  <c r="C122" i="4"/>
  <c r="B122" i="4"/>
  <c r="D123" i="4"/>
  <c r="F123" i="4"/>
  <c r="E123" i="4"/>
  <c r="B123" i="4"/>
  <c r="C123" i="4"/>
  <c r="G123" i="4"/>
  <c r="C124" i="4"/>
  <c r="B124" i="4"/>
  <c r="D124" i="4"/>
  <c r="E124" i="4"/>
  <c r="F124" i="4"/>
  <c r="G124" i="4"/>
  <c r="D125" i="4"/>
  <c r="C125" i="4"/>
  <c r="E125" i="4"/>
  <c r="G125" i="4"/>
  <c r="B125" i="4"/>
  <c r="F125" i="4"/>
  <c r="C126" i="4"/>
  <c r="D126" i="4"/>
  <c r="E126" i="4"/>
  <c r="B126" i="4"/>
  <c r="F126" i="4"/>
  <c r="G126" i="4"/>
  <c r="E127" i="4"/>
  <c r="G127" i="4"/>
  <c r="D127" i="4"/>
  <c r="C127" i="4"/>
  <c r="B127" i="4"/>
  <c r="F127" i="4"/>
  <c r="B128" i="4"/>
  <c r="D128" i="4"/>
  <c r="C128" i="4"/>
  <c r="F128" i="4"/>
  <c r="E128" i="4"/>
  <c r="G128" i="4"/>
  <c r="G129" i="4"/>
  <c r="C129" i="4"/>
  <c r="B129" i="4"/>
  <c r="D129" i="4"/>
  <c r="F129" i="4"/>
  <c r="E129" i="4"/>
  <c r="C130" i="4"/>
  <c r="B130" i="4"/>
  <c r="F130" i="4"/>
  <c r="E130" i="4"/>
  <c r="D130" i="4"/>
  <c r="G130" i="4"/>
  <c r="G131" i="4"/>
  <c r="D131" i="4"/>
  <c r="C131" i="4"/>
  <c r="E131" i="4"/>
  <c r="F131" i="4"/>
  <c r="B131" i="4"/>
  <c r="E132" i="4"/>
  <c r="C132" i="4"/>
  <c r="F132" i="4"/>
  <c r="B132" i="4"/>
  <c r="G132" i="4"/>
  <c r="D132" i="4"/>
  <c r="D133" i="4"/>
  <c r="F133" i="4"/>
  <c r="E133" i="4"/>
  <c r="C133" i="4"/>
  <c r="B133" i="4"/>
  <c r="G133" i="4"/>
  <c r="B134" i="4"/>
  <c r="G134" i="4"/>
  <c r="D134" i="4"/>
  <c r="F134" i="4"/>
  <c r="C134" i="4"/>
  <c r="E134" i="4"/>
  <c r="G135" i="4"/>
  <c r="F135" i="4"/>
  <c r="C135" i="4"/>
  <c r="B135" i="4"/>
  <c r="D135" i="4"/>
  <c r="E135" i="4"/>
  <c r="G136" i="4"/>
  <c r="B136" i="4"/>
  <c r="D136" i="4"/>
  <c r="E136" i="4"/>
  <c r="F136" i="4"/>
  <c r="C136" i="4"/>
  <c r="B137" i="4"/>
  <c r="F137" i="4"/>
  <c r="C137" i="4"/>
  <c r="E137" i="4"/>
  <c r="G137" i="4"/>
  <c r="D137" i="4"/>
  <c r="D138" i="4"/>
  <c r="B138" i="4"/>
  <c r="C138" i="4"/>
  <c r="G138" i="4"/>
  <c r="F138" i="4"/>
  <c r="E138" i="4"/>
  <c r="G139" i="4"/>
  <c r="E139" i="4"/>
  <c r="D139" i="4"/>
  <c r="F139" i="4"/>
  <c r="C139" i="4"/>
  <c r="B139" i="4"/>
  <c r="E140" i="4"/>
  <c r="G140" i="4"/>
  <c r="F140" i="4"/>
  <c r="D140" i="4"/>
  <c r="C140" i="4"/>
  <c r="B140" i="4"/>
  <c r="C141" i="4"/>
  <c r="D141" i="4"/>
  <c r="E141" i="4"/>
  <c r="F141" i="4"/>
  <c r="G141" i="4"/>
  <c r="B141" i="4"/>
  <c r="C142" i="4"/>
  <c r="D142" i="4"/>
  <c r="E142" i="4"/>
  <c r="F142" i="4"/>
  <c r="G142" i="4"/>
  <c r="B142" i="4"/>
  <c r="G143" i="4"/>
  <c r="B143" i="4"/>
  <c r="C143" i="4"/>
  <c r="D143" i="4"/>
  <c r="E143" i="4"/>
  <c r="F143" i="4"/>
  <c r="E144" i="4"/>
  <c r="G144" i="4"/>
  <c r="B144" i="4"/>
  <c r="C144" i="4"/>
  <c r="F144" i="4"/>
  <c r="D144" i="4"/>
  <c r="B145" i="4"/>
  <c r="C145" i="4"/>
  <c r="D145" i="4"/>
  <c r="E145" i="4"/>
  <c r="F145" i="4"/>
  <c r="G145" i="4"/>
  <c r="F146" i="4"/>
  <c r="E146" i="4"/>
  <c r="C146" i="4"/>
  <c r="D146" i="4"/>
  <c r="B146" i="4"/>
  <c r="G146" i="4"/>
  <c r="F147" i="4"/>
  <c r="G147" i="4"/>
  <c r="E147" i="4"/>
  <c r="B147" i="4"/>
  <c r="C147" i="4"/>
  <c r="D147" i="4"/>
  <c r="E148" i="4"/>
  <c r="G148" i="4"/>
  <c r="F148" i="4"/>
  <c r="D148" i="4"/>
  <c r="C148" i="4"/>
  <c r="B148" i="4"/>
  <c r="B149" i="4"/>
  <c r="C149" i="4"/>
  <c r="D149" i="4"/>
  <c r="E149" i="4"/>
  <c r="F149" i="4"/>
  <c r="G149" i="4"/>
  <c r="B150" i="4"/>
  <c r="C150" i="4"/>
  <c r="D150" i="4"/>
  <c r="E150" i="4"/>
  <c r="F150" i="4"/>
  <c r="G150" i="4"/>
  <c r="C151" i="4"/>
  <c r="F151" i="4"/>
  <c r="G151" i="4"/>
  <c r="B151" i="4"/>
  <c r="E151" i="4"/>
  <c r="D151" i="4"/>
  <c r="B152" i="4"/>
  <c r="F152" i="4"/>
  <c r="E152" i="4"/>
  <c r="G152" i="4"/>
  <c r="D152" i="4"/>
  <c r="C152" i="4"/>
  <c r="B230" i="4"/>
  <c r="C230" i="4"/>
  <c r="D230" i="4"/>
  <c r="E230" i="4"/>
  <c r="F230" i="4"/>
  <c r="G230" i="4"/>
  <c r="B228" i="4"/>
  <c r="C228" i="4"/>
  <c r="D228" i="4"/>
  <c r="E228" i="4"/>
  <c r="F228" i="4"/>
  <c r="G228" i="4"/>
  <c r="F227" i="4"/>
  <c r="B227" i="4"/>
  <c r="C227" i="4"/>
  <c r="D227" i="4"/>
  <c r="E227" i="4"/>
  <c r="G227" i="4"/>
  <c r="G225" i="4"/>
  <c r="F225" i="4"/>
  <c r="E225" i="4"/>
  <c r="D225" i="4"/>
  <c r="C225" i="4"/>
  <c r="B225" i="4"/>
  <c r="F223" i="4"/>
  <c r="G223" i="4"/>
  <c r="B223" i="4"/>
  <c r="E223" i="4"/>
  <c r="C223" i="4"/>
  <c r="D223" i="4"/>
  <c r="C221" i="4"/>
  <c r="E221" i="4"/>
  <c r="F221" i="4"/>
  <c r="G221" i="4"/>
  <c r="D221" i="4"/>
  <c r="B221" i="4"/>
  <c r="E219" i="4"/>
  <c r="D219" i="4"/>
  <c r="C219" i="4"/>
  <c r="B219" i="4"/>
  <c r="F219" i="4"/>
  <c r="G219" i="4"/>
  <c r="F217" i="4"/>
  <c r="C217" i="4"/>
  <c r="D217" i="4"/>
  <c r="G217" i="4"/>
  <c r="E217" i="4"/>
  <c r="B217" i="4"/>
  <c r="D216" i="4"/>
  <c r="E216" i="4"/>
  <c r="C216" i="4"/>
  <c r="G216" i="4"/>
  <c r="B216" i="4"/>
  <c r="F216" i="4"/>
  <c r="E214" i="4"/>
  <c r="F214" i="4"/>
  <c r="D214" i="4"/>
  <c r="C214" i="4"/>
  <c r="B214" i="4"/>
  <c r="G214" i="4"/>
  <c r="F212" i="4"/>
  <c r="C212" i="4"/>
  <c r="D212" i="4"/>
  <c r="B212" i="4"/>
  <c r="E212" i="4"/>
  <c r="G212" i="4"/>
  <c r="B210" i="4"/>
  <c r="C210" i="4"/>
  <c r="D210" i="4"/>
  <c r="E210" i="4"/>
  <c r="F210" i="4"/>
  <c r="G210" i="4"/>
  <c r="C208" i="4"/>
  <c r="G208" i="4"/>
  <c r="F208" i="4"/>
  <c r="E208" i="4"/>
  <c r="D208" i="4"/>
  <c r="B208" i="4"/>
  <c r="G206" i="4"/>
  <c r="B206" i="4"/>
  <c r="C206" i="4"/>
  <c r="D206" i="4"/>
  <c r="E206" i="4"/>
  <c r="F206" i="4"/>
  <c r="B204" i="4"/>
  <c r="E204" i="4"/>
  <c r="G204" i="4"/>
  <c r="F204" i="4"/>
  <c r="D204" i="4"/>
  <c r="C204" i="4"/>
  <c r="C202" i="4"/>
  <c r="B202" i="4"/>
  <c r="D202" i="4"/>
  <c r="E202" i="4"/>
  <c r="F202" i="4"/>
  <c r="G202" i="4"/>
  <c r="B200" i="4"/>
  <c r="D200" i="4"/>
  <c r="E200" i="4"/>
  <c r="F200" i="4"/>
  <c r="G200" i="4"/>
  <c r="C200" i="4"/>
  <c r="G198" i="4"/>
  <c r="B198" i="4"/>
  <c r="D198" i="4"/>
  <c r="E198" i="4"/>
  <c r="F198" i="4"/>
  <c r="C198" i="4"/>
  <c r="B196" i="4"/>
  <c r="C196" i="4"/>
  <c r="E196" i="4"/>
  <c r="F196" i="4"/>
  <c r="G196" i="4"/>
  <c r="D196" i="4"/>
  <c r="C194" i="4"/>
  <c r="B194" i="4"/>
  <c r="G194" i="4"/>
  <c r="F194" i="4"/>
  <c r="E194" i="4"/>
  <c r="D194" i="4"/>
  <c r="G192" i="4"/>
  <c r="C192" i="4"/>
  <c r="B192" i="4"/>
  <c r="D192" i="4"/>
  <c r="E192" i="4"/>
  <c r="F192" i="4"/>
  <c r="F190" i="4"/>
  <c r="G190" i="4"/>
  <c r="E190" i="4"/>
  <c r="D190" i="4"/>
  <c r="C190" i="4"/>
  <c r="B190" i="4"/>
  <c r="E188" i="4"/>
  <c r="F188" i="4"/>
  <c r="G188" i="4"/>
  <c r="C188" i="4"/>
  <c r="D188" i="4"/>
  <c r="B188" i="4"/>
  <c r="F186" i="4"/>
  <c r="B186" i="4"/>
  <c r="G186" i="4"/>
  <c r="C186" i="4"/>
  <c r="E186" i="4"/>
  <c r="D186" i="4"/>
  <c r="B184" i="4"/>
  <c r="E184" i="4"/>
  <c r="F184" i="4"/>
  <c r="G184" i="4"/>
  <c r="D184" i="4"/>
  <c r="C184" i="4"/>
  <c r="G182" i="4"/>
  <c r="F182" i="4"/>
  <c r="C182" i="4"/>
  <c r="B182" i="4"/>
  <c r="D182" i="4"/>
  <c r="E182" i="4"/>
  <c r="G180" i="4"/>
  <c r="E180" i="4"/>
  <c r="B180" i="4"/>
  <c r="C180" i="4"/>
  <c r="D180" i="4"/>
  <c r="F180" i="4"/>
  <c r="D177" i="4"/>
  <c r="C177" i="4"/>
  <c r="E177" i="4"/>
  <c r="F177" i="4"/>
  <c r="B177" i="4"/>
  <c r="G177" i="4"/>
  <c r="F175" i="4"/>
  <c r="B175" i="4"/>
  <c r="E175" i="4"/>
  <c r="G175" i="4"/>
  <c r="D175" i="4"/>
  <c r="C175" i="4"/>
  <c r="E173" i="4"/>
  <c r="C173" i="4"/>
  <c r="D173" i="4"/>
  <c r="F173" i="4"/>
  <c r="G173" i="4"/>
  <c r="B173" i="4"/>
  <c r="B171" i="4"/>
  <c r="C171" i="4"/>
  <c r="D171" i="4"/>
  <c r="E171" i="4"/>
  <c r="F171" i="4"/>
  <c r="G171" i="4"/>
  <c r="C169" i="4"/>
  <c r="F169" i="4"/>
  <c r="G169" i="4"/>
  <c r="B169" i="4"/>
  <c r="E169" i="4"/>
  <c r="D169" i="4"/>
  <c r="D167" i="4"/>
  <c r="E167" i="4"/>
  <c r="G167" i="4"/>
  <c r="F167" i="4"/>
  <c r="C167" i="4"/>
  <c r="B167" i="4"/>
  <c r="G165" i="4"/>
  <c r="F165" i="4"/>
  <c r="E165" i="4"/>
  <c r="D165" i="4"/>
  <c r="C165" i="4"/>
  <c r="B165" i="4"/>
  <c r="E153" i="4"/>
  <c r="F153" i="4"/>
  <c r="G153" i="4"/>
  <c r="B153" i="4"/>
  <c r="C153" i="4"/>
  <c r="D153" i="4"/>
  <c r="G154" i="4"/>
  <c r="E154" i="4"/>
  <c r="D154" i="4"/>
  <c r="C154" i="4"/>
  <c r="B154" i="4"/>
  <c r="F154" i="4"/>
  <c r="D155" i="4"/>
  <c r="G155" i="4"/>
  <c r="B155" i="4"/>
  <c r="C155" i="4"/>
  <c r="F155" i="4"/>
  <c r="E155" i="4"/>
  <c r="D156" i="4"/>
  <c r="C156" i="4"/>
  <c r="B156" i="4"/>
  <c r="E156" i="4"/>
  <c r="F156" i="4"/>
  <c r="G156" i="4"/>
  <c r="E157" i="4"/>
  <c r="G157" i="4"/>
  <c r="D157" i="4"/>
  <c r="C157" i="4"/>
  <c r="B157" i="4"/>
  <c r="F157" i="4"/>
  <c r="C158" i="4"/>
  <c r="E158" i="4"/>
  <c r="F158" i="4"/>
  <c r="G158" i="4"/>
  <c r="D158" i="4"/>
  <c r="B158" i="4"/>
  <c r="C159" i="4"/>
  <c r="D159" i="4"/>
  <c r="F159" i="4"/>
  <c r="G159" i="4"/>
  <c r="E159" i="4"/>
  <c r="B159" i="4"/>
  <c r="D160" i="4"/>
  <c r="E160" i="4"/>
  <c r="F160" i="4"/>
  <c r="B160" i="4"/>
  <c r="C160" i="4"/>
  <c r="G160" i="4"/>
  <c r="B161" i="4"/>
  <c r="C161" i="4"/>
  <c r="D161" i="4"/>
  <c r="E161" i="4"/>
  <c r="F161" i="4"/>
  <c r="G161" i="4"/>
  <c r="E162" i="4"/>
  <c r="F162" i="4"/>
  <c r="G162" i="4"/>
  <c r="B162" i="4"/>
  <c r="C162" i="4"/>
  <c r="D162" i="4"/>
  <c r="G64" i="4"/>
  <c r="D64" i="4"/>
  <c r="F64" i="4"/>
  <c r="B64" i="4"/>
  <c r="C64" i="4"/>
  <c r="E64" i="4"/>
  <c r="E66" i="4"/>
  <c r="D66" i="4"/>
  <c r="G66" i="4"/>
  <c r="C66" i="4"/>
  <c r="F66" i="4"/>
  <c r="B66" i="4"/>
  <c r="B87" i="4"/>
  <c r="D87" i="4"/>
  <c r="E87" i="4"/>
  <c r="F87" i="4"/>
  <c r="G87" i="4"/>
  <c r="C87" i="4"/>
  <c r="B26" i="5"/>
  <c r="H26" i="5"/>
  <c r="G26" i="5"/>
  <c r="F26" i="5"/>
  <c r="E26" i="5"/>
  <c r="D26" i="5"/>
  <c r="C26" i="5"/>
  <c r="B25" i="5"/>
  <c r="F25" i="5"/>
  <c r="E25" i="5"/>
  <c r="D25" i="5"/>
  <c r="H25" i="5"/>
  <c r="C25" i="5"/>
  <c r="G25" i="5"/>
  <c r="F24" i="5"/>
  <c r="D24" i="5"/>
  <c r="H24" i="5"/>
  <c r="B24" i="5"/>
  <c r="C24" i="5"/>
  <c r="G24" i="5"/>
  <c r="E24" i="5"/>
  <c r="G23" i="5"/>
  <c r="B23" i="5"/>
  <c r="C23" i="5"/>
  <c r="F23" i="5"/>
  <c r="E23" i="5"/>
  <c r="D23" i="5"/>
  <c r="H23" i="5"/>
  <c r="E22" i="5"/>
  <c r="D22" i="5"/>
  <c r="C22" i="5"/>
  <c r="B22" i="5"/>
  <c r="H22" i="5"/>
  <c r="G22" i="5"/>
  <c r="F22" i="5"/>
  <c r="B21" i="5"/>
  <c r="C21" i="5"/>
  <c r="H21" i="5"/>
  <c r="G21" i="5"/>
  <c r="F21" i="5"/>
  <c r="D21" i="5"/>
  <c r="E21" i="5"/>
  <c r="H20" i="5"/>
  <c r="F20" i="5"/>
  <c r="E20" i="5"/>
  <c r="D20" i="5"/>
  <c r="C20" i="5"/>
  <c r="B20" i="5"/>
  <c r="G20" i="5"/>
  <c r="E19" i="5"/>
  <c r="H19" i="5"/>
  <c r="G19" i="5"/>
  <c r="F19" i="5"/>
  <c r="C19" i="5"/>
  <c r="B19" i="5"/>
  <c r="D19" i="5"/>
  <c r="H18" i="5"/>
  <c r="F18" i="5"/>
  <c r="G18" i="5"/>
  <c r="E18" i="5"/>
  <c r="D18" i="5"/>
  <c r="C18" i="5"/>
  <c r="B18" i="5"/>
  <c r="H17" i="5"/>
  <c r="G17" i="5"/>
  <c r="F17" i="5"/>
  <c r="E17" i="5"/>
  <c r="D17" i="5"/>
  <c r="C17" i="5"/>
  <c r="B17" i="5"/>
  <c r="F16" i="5"/>
  <c r="G16" i="5"/>
  <c r="H16" i="5"/>
  <c r="D16" i="5"/>
  <c r="B16" i="5"/>
  <c r="C16" i="5"/>
  <c r="E16" i="5"/>
  <c r="D20" i="3"/>
  <c r="E20" i="3"/>
  <c r="F20" i="3"/>
  <c r="G20" i="3"/>
  <c r="F237" i="4"/>
  <c r="G237" i="4"/>
  <c r="B237" i="4"/>
  <c r="C237" i="4"/>
  <c r="D237" i="4"/>
  <c r="E237" i="4"/>
  <c r="C232" i="4"/>
  <c r="D232" i="4"/>
  <c r="B232" i="4"/>
  <c r="E232" i="4"/>
  <c r="F232" i="4"/>
  <c r="G232" i="4"/>
  <c r="B233" i="4"/>
  <c r="C233" i="4"/>
  <c r="E233" i="4"/>
  <c r="F233" i="4"/>
  <c r="G233" i="4"/>
  <c r="D233" i="4"/>
  <c r="D234" i="4"/>
  <c r="E234" i="4"/>
  <c r="F234" i="4"/>
  <c r="G234" i="4"/>
  <c r="B234" i="4"/>
  <c r="C234" i="4"/>
  <c r="C235" i="4"/>
  <c r="G235" i="4"/>
  <c r="F235" i="4"/>
  <c r="E235" i="4"/>
  <c r="D235" i="4"/>
  <c r="B235" i="4"/>
  <c r="B236" i="4"/>
  <c r="C236" i="4"/>
  <c r="D236" i="4"/>
  <c r="E236" i="4"/>
  <c r="F236" i="4"/>
  <c r="G236" i="4"/>
  <c r="G154" i="5"/>
  <c r="B154" i="5"/>
  <c r="C154" i="5"/>
  <c r="D154" i="5"/>
  <c r="E154" i="5"/>
  <c r="H154" i="5"/>
  <c r="F154" i="5"/>
  <c r="F172" i="5"/>
  <c r="G172" i="5"/>
  <c r="E172" i="5"/>
  <c r="B172" i="5"/>
  <c r="H172" i="5"/>
  <c r="D172" i="5"/>
  <c r="C172" i="5"/>
  <c r="H169" i="5"/>
  <c r="F169" i="5"/>
  <c r="G169" i="5"/>
  <c r="B169" i="5"/>
  <c r="C169" i="5"/>
  <c r="D169" i="5"/>
  <c r="E169" i="5"/>
  <c r="C165" i="5"/>
  <c r="H165" i="5"/>
  <c r="G165" i="5"/>
  <c r="F165" i="5"/>
  <c r="E165" i="5"/>
  <c r="D165" i="5"/>
  <c r="B165" i="5"/>
  <c r="F161" i="5"/>
  <c r="G161" i="5"/>
  <c r="C161" i="5"/>
  <c r="B161" i="5"/>
  <c r="H161" i="5"/>
  <c r="D161" i="5"/>
  <c r="E161" i="5"/>
  <c r="H157" i="5"/>
  <c r="G157" i="5"/>
  <c r="B157" i="5"/>
  <c r="E157" i="5"/>
  <c r="D157" i="5"/>
  <c r="C157" i="5"/>
  <c r="F157" i="5"/>
  <c r="F152" i="5"/>
  <c r="E152" i="5"/>
  <c r="G152" i="5"/>
  <c r="C152" i="5"/>
  <c r="H152" i="5"/>
  <c r="B152" i="5"/>
  <c r="D152" i="5"/>
  <c r="B147" i="5"/>
  <c r="C147" i="5"/>
  <c r="D147" i="5"/>
  <c r="G147" i="5"/>
  <c r="E147" i="5"/>
  <c r="F147" i="5"/>
  <c r="H147" i="5"/>
  <c r="B182" i="5"/>
  <c r="G182" i="5"/>
  <c r="H182" i="5"/>
  <c r="D182" i="5"/>
  <c r="C182" i="5"/>
  <c r="E182" i="5"/>
  <c r="F182" i="5"/>
  <c r="E186" i="5"/>
  <c r="G186" i="5"/>
  <c r="C186" i="5"/>
  <c r="B186" i="5"/>
  <c r="H186" i="5"/>
  <c r="D186" i="5"/>
  <c r="F186" i="5"/>
  <c r="B189" i="5"/>
  <c r="C189" i="5"/>
  <c r="D189" i="5"/>
  <c r="E189" i="5"/>
  <c r="F189" i="5"/>
  <c r="G189" i="5"/>
  <c r="H189" i="5"/>
  <c r="F193" i="5"/>
  <c r="H193" i="5"/>
  <c r="E193" i="5"/>
  <c r="B193" i="5"/>
  <c r="G193" i="5"/>
  <c r="C193" i="5"/>
  <c r="D193" i="5"/>
  <c r="E197" i="5"/>
  <c r="F197" i="5"/>
  <c r="C197" i="5"/>
  <c r="B197" i="5"/>
  <c r="D197" i="5"/>
  <c r="H197" i="5"/>
  <c r="G197" i="5"/>
  <c r="B201" i="5"/>
  <c r="C201" i="5"/>
  <c r="E201" i="5"/>
  <c r="F201" i="5"/>
  <c r="G201" i="5"/>
  <c r="H201" i="5"/>
  <c r="D201" i="5"/>
  <c r="D205" i="5"/>
  <c r="B205" i="5"/>
  <c r="C205" i="5"/>
  <c r="E205" i="5"/>
  <c r="F205" i="5"/>
  <c r="H205" i="5"/>
  <c r="G205" i="5"/>
  <c r="H209" i="5"/>
  <c r="F209" i="5"/>
  <c r="G209" i="5"/>
  <c r="D209" i="5"/>
  <c r="C209" i="5"/>
  <c r="B209" i="5"/>
  <c r="E209" i="5"/>
  <c r="C213" i="5"/>
  <c r="E213" i="5"/>
  <c r="B213" i="5"/>
  <c r="D213" i="5"/>
  <c r="H213" i="5"/>
  <c r="G213" i="5"/>
  <c r="F213" i="5"/>
  <c r="F217" i="5"/>
  <c r="E217" i="5"/>
  <c r="D217" i="5"/>
  <c r="C217" i="5"/>
  <c r="B217" i="5"/>
  <c r="H217" i="5"/>
  <c r="G217" i="5"/>
  <c r="C166" i="5"/>
  <c r="F166" i="5"/>
  <c r="G166" i="5"/>
  <c r="H166" i="5"/>
  <c r="D166" i="5"/>
  <c r="E166" i="5"/>
  <c r="B166" i="5"/>
  <c r="F170" i="5"/>
  <c r="E170" i="5"/>
  <c r="D170" i="5"/>
  <c r="C170" i="5"/>
  <c r="B170" i="5"/>
  <c r="G170" i="5"/>
  <c r="H170" i="5"/>
  <c r="G174" i="5"/>
  <c r="H174" i="5"/>
  <c r="F174" i="5"/>
  <c r="E174" i="5"/>
  <c r="D174" i="5"/>
  <c r="B174" i="5"/>
  <c r="C174" i="5"/>
  <c r="H178" i="5"/>
  <c r="F178" i="5"/>
  <c r="E178" i="5"/>
  <c r="D178" i="5"/>
  <c r="C178" i="5"/>
  <c r="B178" i="5"/>
  <c r="G178" i="5"/>
  <c r="C183" i="5"/>
  <c r="G183" i="5"/>
  <c r="H183" i="5"/>
  <c r="B183" i="5"/>
  <c r="F183" i="5"/>
  <c r="D183" i="5"/>
  <c r="E183" i="5"/>
  <c r="F187" i="5"/>
  <c r="H187" i="5"/>
  <c r="E187" i="5"/>
  <c r="C187" i="5"/>
  <c r="B187" i="5"/>
  <c r="G187" i="5"/>
  <c r="D187" i="5"/>
  <c r="H191" i="5"/>
  <c r="F191" i="5"/>
  <c r="E191" i="5"/>
  <c r="D191" i="5"/>
  <c r="C191" i="5"/>
  <c r="G191" i="5"/>
  <c r="B191" i="5"/>
  <c r="D195" i="5"/>
  <c r="F195" i="5"/>
  <c r="B195" i="5"/>
  <c r="C195" i="5"/>
  <c r="G195" i="5"/>
  <c r="E195" i="5"/>
  <c r="H195" i="5"/>
  <c r="C199" i="5"/>
  <c r="B199" i="5"/>
  <c r="D199" i="5"/>
  <c r="H199" i="5"/>
  <c r="G199" i="5"/>
  <c r="E199" i="5"/>
  <c r="F199" i="5"/>
  <c r="B203" i="5"/>
  <c r="H203" i="5"/>
  <c r="G203" i="5"/>
  <c r="C203" i="5"/>
  <c r="D203" i="5"/>
  <c r="E203" i="5"/>
  <c r="F203" i="5"/>
  <c r="H208" i="5"/>
  <c r="G208" i="5"/>
  <c r="F208" i="5"/>
  <c r="E208" i="5"/>
  <c r="D208" i="5"/>
  <c r="C208" i="5"/>
  <c r="B208" i="5"/>
  <c r="B212" i="5"/>
  <c r="E212" i="5"/>
  <c r="D212" i="5"/>
  <c r="F212" i="5"/>
  <c r="G212" i="5"/>
  <c r="H212" i="5"/>
  <c r="C212" i="5"/>
  <c r="G216" i="5"/>
  <c r="F216" i="5"/>
  <c r="B216" i="5"/>
  <c r="C216" i="5"/>
  <c r="D216" i="5"/>
  <c r="H216" i="5"/>
  <c r="E216" i="5"/>
  <c r="B219" i="5"/>
  <c r="H219" i="5"/>
  <c r="G219" i="5"/>
  <c r="C219" i="5"/>
  <c r="D219" i="5"/>
  <c r="E219" i="5"/>
  <c r="F219" i="5"/>
  <c r="B149" i="5"/>
  <c r="H149" i="5"/>
  <c r="G149" i="5"/>
  <c r="F149" i="5"/>
  <c r="E149" i="5"/>
  <c r="D149" i="5"/>
  <c r="C149" i="5"/>
  <c r="F155" i="5"/>
  <c r="G155" i="5"/>
  <c r="H155" i="5"/>
  <c r="E155" i="5"/>
  <c r="B155" i="5"/>
  <c r="C155" i="5"/>
  <c r="D155" i="5"/>
  <c r="B159" i="5"/>
  <c r="C159" i="5"/>
  <c r="G159" i="5"/>
  <c r="H159" i="5"/>
  <c r="D159" i="5"/>
  <c r="F159" i="5"/>
  <c r="E159" i="5"/>
  <c r="H163" i="5"/>
  <c r="D163" i="5"/>
  <c r="G163" i="5"/>
  <c r="C163" i="5"/>
  <c r="F163" i="5"/>
  <c r="E163" i="5"/>
  <c r="B163" i="5"/>
  <c r="E167" i="5"/>
  <c r="B167" i="5"/>
  <c r="H167" i="5"/>
  <c r="G167" i="5"/>
  <c r="F167" i="5"/>
  <c r="D167" i="5"/>
  <c r="C167" i="5"/>
  <c r="D171" i="5"/>
  <c r="H171" i="5"/>
  <c r="F171" i="5"/>
  <c r="E171" i="5"/>
  <c r="G171" i="5"/>
  <c r="B171" i="5"/>
  <c r="C171" i="5"/>
  <c r="B175" i="5"/>
  <c r="C175" i="5"/>
  <c r="F175" i="5"/>
  <c r="H175" i="5"/>
  <c r="G175" i="5"/>
  <c r="D175" i="5"/>
  <c r="E175" i="5"/>
  <c r="B179" i="5"/>
  <c r="H179" i="5"/>
  <c r="G179" i="5"/>
  <c r="F179" i="5"/>
  <c r="E179" i="5"/>
  <c r="D179" i="5"/>
  <c r="C179" i="5"/>
  <c r="F184" i="5"/>
  <c r="E184" i="5"/>
  <c r="G184" i="5"/>
  <c r="B184" i="5"/>
  <c r="D184" i="5"/>
  <c r="C184" i="5"/>
  <c r="H184" i="5"/>
  <c r="G188" i="5"/>
  <c r="H188" i="5"/>
  <c r="B188" i="5"/>
  <c r="F188" i="5"/>
  <c r="E188" i="5"/>
  <c r="D188" i="5"/>
  <c r="C188" i="5"/>
  <c r="F192" i="5"/>
  <c r="E192" i="5"/>
  <c r="D192" i="5"/>
  <c r="C192" i="5"/>
  <c r="B192" i="5"/>
  <c r="H192" i="5"/>
  <c r="G192" i="5"/>
  <c r="E196" i="5"/>
  <c r="H196" i="5"/>
  <c r="G196" i="5"/>
  <c r="F196" i="5"/>
  <c r="B196" i="5"/>
  <c r="C196" i="5"/>
  <c r="D196" i="5"/>
  <c r="G200" i="5"/>
  <c r="F200" i="5"/>
  <c r="E200" i="5"/>
  <c r="D200" i="5"/>
  <c r="C200" i="5"/>
  <c r="B200" i="5"/>
  <c r="H200" i="5"/>
  <c r="B204" i="5"/>
  <c r="H204" i="5"/>
  <c r="D204" i="5"/>
  <c r="E204" i="5"/>
  <c r="F204" i="5"/>
  <c r="C204" i="5"/>
  <c r="G204" i="5"/>
  <c r="B207" i="5"/>
  <c r="G207" i="5"/>
  <c r="F207" i="5"/>
  <c r="H207" i="5"/>
  <c r="E207" i="5"/>
  <c r="D207" i="5"/>
  <c r="C207" i="5"/>
  <c r="B211" i="5"/>
  <c r="C211" i="5"/>
  <c r="D211" i="5"/>
  <c r="E211" i="5"/>
  <c r="F211" i="5"/>
  <c r="G211" i="5"/>
  <c r="H211" i="5"/>
  <c r="D215" i="5"/>
  <c r="H215" i="5"/>
  <c r="E215" i="5"/>
  <c r="C215" i="5"/>
  <c r="B215" i="5"/>
  <c r="G215" i="5"/>
  <c r="F215" i="5"/>
  <c r="C218" i="5"/>
  <c r="B218" i="5"/>
  <c r="F218" i="5"/>
  <c r="G218" i="5"/>
  <c r="H218" i="5"/>
  <c r="E218" i="5"/>
  <c r="D218" i="5"/>
  <c r="H148" i="5"/>
  <c r="F148" i="5"/>
  <c r="B148" i="5"/>
  <c r="E148" i="5"/>
  <c r="D148" i="5"/>
  <c r="C148" i="5"/>
  <c r="G148" i="5"/>
  <c r="B153" i="5"/>
  <c r="D153" i="5"/>
  <c r="F153" i="5"/>
  <c r="G153" i="5"/>
  <c r="H153" i="5"/>
  <c r="C153" i="5"/>
  <c r="E153" i="5"/>
  <c r="G156" i="5"/>
  <c r="H156" i="5"/>
  <c r="F156" i="5"/>
  <c r="E156" i="5"/>
  <c r="D156" i="5"/>
  <c r="C156" i="5"/>
  <c r="B156" i="5"/>
  <c r="H158" i="5"/>
  <c r="G158" i="5"/>
  <c r="F158" i="5"/>
  <c r="E158" i="5"/>
  <c r="D158" i="5"/>
  <c r="B158" i="5"/>
  <c r="C158" i="5"/>
  <c r="G162" i="5"/>
  <c r="F162" i="5"/>
  <c r="E162" i="5"/>
  <c r="D162" i="5"/>
  <c r="C162" i="5"/>
  <c r="B162" i="5"/>
  <c r="H162" i="5"/>
  <c r="B160" i="5"/>
  <c r="H160" i="5"/>
  <c r="F160" i="5"/>
  <c r="E160" i="5"/>
  <c r="D160" i="5"/>
  <c r="C160" i="5"/>
  <c r="G160" i="5"/>
  <c r="D164" i="5"/>
  <c r="H164" i="5"/>
  <c r="G164" i="5"/>
  <c r="F164" i="5"/>
  <c r="E164" i="5"/>
  <c r="C164" i="5"/>
  <c r="B164" i="5"/>
  <c r="D168" i="5"/>
  <c r="G168" i="5"/>
  <c r="H168" i="5"/>
  <c r="C168" i="5"/>
  <c r="B168" i="5"/>
  <c r="E168" i="5"/>
  <c r="F168" i="5"/>
  <c r="C173" i="5"/>
  <c r="B173" i="5"/>
  <c r="D173" i="5"/>
  <c r="E173" i="5"/>
  <c r="F173" i="5"/>
  <c r="H173" i="5"/>
  <c r="G173" i="5"/>
  <c r="E176" i="5"/>
  <c r="G176" i="5"/>
  <c r="H176" i="5"/>
  <c r="B176" i="5"/>
  <c r="D176" i="5"/>
  <c r="C176" i="5"/>
  <c r="F176" i="5"/>
  <c r="D177" i="5"/>
  <c r="E177" i="5"/>
  <c r="F177" i="5"/>
  <c r="C177" i="5"/>
  <c r="H177" i="5"/>
  <c r="B177" i="5"/>
  <c r="G177" i="5"/>
  <c r="D180" i="5"/>
  <c r="B180" i="5"/>
  <c r="C180" i="5"/>
  <c r="E180" i="5"/>
  <c r="F180" i="5"/>
  <c r="H180" i="5"/>
  <c r="G180" i="5"/>
  <c r="C185" i="5"/>
  <c r="E185" i="5"/>
  <c r="F185" i="5"/>
  <c r="D185" i="5"/>
  <c r="G185" i="5"/>
  <c r="H185" i="5"/>
  <c r="B185" i="5"/>
  <c r="B190" i="5"/>
  <c r="C190" i="5"/>
  <c r="D190" i="5"/>
  <c r="E190" i="5"/>
  <c r="G190" i="5"/>
  <c r="H190" i="5"/>
  <c r="F190" i="5"/>
  <c r="H194" i="5"/>
  <c r="E194" i="5"/>
  <c r="F194" i="5"/>
  <c r="G194" i="5"/>
  <c r="D194" i="5"/>
  <c r="C194" i="5"/>
  <c r="B194" i="5"/>
  <c r="H198" i="5"/>
  <c r="F198" i="5"/>
  <c r="B198" i="5"/>
  <c r="C198" i="5"/>
  <c r="D198" i="5"/>
  <c r="G198" i="5"/>
  <c r="E198" i="5"/>
  <c r="H202" i="5"/>
  <c r="G202" i="5"/>
  <c r="F202" i="5"/>
  <c r="E202" i="5"/>
  <c r="D202" i="5"/>
  <c r="B202" i="5"/>
  <c r="C202" i="5"/>
  <c r="E206" i="5"/>
  <c r="B206" i="5"/>
  <c r="C206" i="5"/>
  <c r="F206" i="5"/>
  <c r="G206" i="5"/>
  <c r="H206" i="5"/>
  <c r="D206" i="5"/>
  <c r="G210" i="5"/>
  <c r="H210" i="5"/>
  <c r="B210" i="5"/>
  <c r="D210" i="5"/>
  <c r="E210" i="5"/>
  <c r="F210" i="5"/>
  <c r="C210" i="5"/>
  <c r="F214" i="5"/>
  <c r="D214" i="5"/>
  <c r="C214" i="5"/>
  <c r="B214" i="5"/>
  <c r="H214" i="5"/>
  <c r="G214" i="5"/>
  <c r="E214" i="5"/>
  <c r="C22" i="3"/>
  <c r="E22" i="3"/>
  <c r="F22" i="3"/>
  <c r="B22" i="3"/>
  <c r="D22" i="3"/>
  <c r="G22" i="3"/>
  <c r="C29" i="3"/>
  <c r="B29" i="3"/>
  <c r="G29" i="3"/>
  <c r="D29" i="3"/>
  <c r="E29" i="3"/>
  <c r="F29" i="3"/>
  <c r="C7" i="3"/>
  <c r="D7" i="3"/>
  <c r="E7" i="3"/>
  <c r="F7" i="3"/>
  <c r="G7" i="3"/>
  <c r="B7" i="3"/>
  <c r="G6" i="3"/>
  <c r="C6" i="3"/>
  <c r="B6" i="3"/>
  <c r="E6" i="3"/>
  <c r="F6" i="3"/>
  <c r="D6" i="3"/>
  <c r="B9" i="3"/>
  <c r="C9" i="3"/>
  <c r="D9" i="3"/>
  <c r="E9" i="3"/>
  <c r="F9" i="3"/>
  <c r="G9" i="3"/>
  <c r="F10" i="3"/>
  <c r="C10" i="3"/>
  <c r="B10" i="3"/>
  <c r="E10" i="3"/>
  <c r="G10" i="3"/>
  <c r="D10" i="3"/>
  <c r="G11" i="3"/>
  <c r="C11" i="3"/>
  <c r="D11" i="3"/>
  <c r="E11" i="3"/>
  <c r="F11" i="3"/>
  <c r="B11" i="3"/>
  <c r="G12" i="3"/>
  <c r="C12" i="3"/>
  <c r="B12" i="3"/>
  <c r="D12" i="3"/>
  <c r="E12" i="3"/>
  <c r="F12" i="3"/>
  <c r="E13" i="3"/>
  <c r="G13" i="3"/>
  <c r="F13" i="3"/>
  <c r="D13" i="3"/>
  <c r="C13" i="3"/>
  <c r="B13" i="3"/>
  <c r="F14" i="3"/>
  <c r="E14" i="3"/>
  <c r="D14" i="3"/>
  <c r="C14" i="3"/>
  <c r="B14" i="3"/>
  <c r="G14" i="3"/>
  <c r="F15" i="3"/>
  <c r="C15" i="3"/>
  <c r="D15" i="3"/>
  <c r="E15" i="3"/>
  <c r="B15" i="3"/>
  <c r="G15" i="3"/>
  <c r="G16" i="3"/>
  <c r="B16" i="3"/>
  <c r="C16" i="3"/>
  <c r="F16" i="3"/>
  <c r="D16" i="3"/>
  <c r="E16" i="3"/>
  <c r="E17" i="3"/>
  <c r="C17" i="3"/>
  <c r="D17" i="3"/>
  <c r="F17" i="3"/>
  <c r="G17" i="3"/>
  <c r="B17" i="3"/>
  <c r="G18" i="3"/>
  <c r="F18" i="3"/>
  <c r="E18" i="3"/>
  <c r="D18" i="3"/>
  <c r="B18" i="3"/>
  <c r="C18" i="3"/>
  <c r="D19" i="3"/>
  <c r="C19" i="3"/>
  <c r="F19" i="3"/>
  <c r="G19" i="3"/>
  <c r="E19" i="3"/>
  <c r="B19" i="3"/>
  <c r="B20" i="3"/>
  <c r="C20" i="3"/>
  <c r="G21" i="3"/>
  <c r="D21" i="3"/>
  <c r="E21" i="3"/>
  <c r="F21" i="3"/>
  <c r="C21" i="3"/>
  <c r="B21" i="3"/>
  <c r="B23" i="3"/>
  <c r="F23" i="3"/>
  <c r="E23" i="3"/>
  <c r="D23" i="3"/>
  <c r="C23" i="3"/>
  <c r="G23" i="3"/>
  <c r="B24" i="3"/>
  <c r="C24" i="3"/>
  <c r="G24" i="3"/>
  <c r="F24" i="3"/>
  <c r="D24" i="3"/>
  <c r="E24" i="3"/>
  <c r="F25" i="3"/>
  <c r="E25" i="3"/>
  <c r="G25" i="3"/>
  <c r="D25" i="3"/>
  <c r="B25" i="3"/>
  <c r="C25" i="3"/>
  <c r="B26" i="3"/>
  <c r="D26" i="3"/>
  <c r="F26" i="3"/>
  <c r="G26" i="3"/>
  <c r="C26" i="3"/>
  <c r="E26" i="3"/>
  <c r="F27" i="3"/>
  <c r="C27" i="3"/>
  <c r="G27" i="3"/>
  <c r="B27" i="3"/>
  <c r="D27" i="3"/>
  <c r="E27" i="3"/>
  <c r="G31" i="3"/>
  <c r="F31" i="3"/>
  <c r="E31" i="3"/>
  <c r="D31" i="3"/>
  <c r="C31" i="3"/>
  <c r="B31" i="3"/>
  <c r="D32" i="3"/>
  <c r="E32" i="3"/>
  <c r="C32" i="3"/>
  <c r="B32" i="3"/>
  <c r="F32" i="3"/>
  <c r="G32" i="3"/>
  <c r="D33" i="3"/>
  <c r="C33" i="3"/>
  <c r="G33" i="3"/>
  <c r="B33" i="3"/>
  <c r="E33" i="3"/>
  <c r="F33" i="3"/>
  <c r="F34" i="3"/>
  <c r="D34" i="3"/>
  <c r="C34" i="3"/>
  <c r="B34" i="3"/>
  <c r="G34" i="3"/>
  <c r="E34" i="3"/>
  <c r="F35" i="3"/>
  <c r="C35" i="3"/>
  <c r="G35" i="3"/>
  <c r="E35" i="3"/>
  <c r="D35" i="3"/>
  <c r="B35" i="3"/>
  <c r="F36" i="3"/>
  <c r="G36" i="3"/>
  <c r="C36" i="3"/>
  <c r="E36" i="3"/>
  <c r="D36" i="3"/>
  <c r="B36" i="3"/>
  <c r="D37" i="3"/>
  <c r="G37" i="3"/>
  <c r="F37" i="3"/>
  <c r="E37" i="3"/>
  <c r="B37" i="3"/>
  <c r="C37" i="3"/>
  <c r="B38" i="3"/>
  <c r="C38" i="3"/>
  <c r="D38" i="3"/>
  <c r="E38" i="3"/>
  <c r="F38" i="3"/>
  <c r="G38" i="3"/>
  <c r="E39" i="3"/>
  <c r="G39" i="3"/>
  <c r="B39" i="3"/>
  <c r="C39" i="3"/>
  <c r="D39" i="3"/>
  <c r="F39" i="3"/>
  <c r="G40" i="3"/>
  <c r="B40" i="3"/>
  <c r="C40" i="3"/>
  <c r="D40" i="3"/>
  <c r="E40" i="3"/>
  <c r="F40" i="3"/>
  <c r="D41" i="3"/>
  <c r="F41" i="3"/>
  <c r="G41" i="3"/>
  <c r="E41" i="3"/>
  <c r="B41" i="3"/>
  <c r="C41" i="3"/>
  <c r="D42" i="3"/>
  <c r="G42" i="3"/>
  <c r="F42" i="3"/>
  <c r="E42" i="3"/>
  <c r="B42" i="3"/>
  <c r="C42" i="3"/>
  <c r="B43" i="3"/>
  <c r="C43" i="3"/>
  <c r="D43" i="3"/>
  <c r="E43" i="3"/>
  <c r="F43" i="3"/>
  <c r="G43" i="3"/>
  <c r="C44" i="3"/>
  <c r="D44" i="3"/>
  <c r="E44" i="3"/>
  <c r="F44" i="3"/>
  <c r="G44" i="3"/>
  <c r="B44" i="3"/>
  <c r="B45" i="3"/>
  <c r="C45" i="3"/>
  <c r="D45" i="3"/>
  <c r="E45" i="3"/>
  <c r="F45" i="3"/>
  <c r="G45" i="3"/>
  <c r="D46" i="3"/>
  <c r="B46" i="3"/>
  <c r="C46" i="3"/>
  <c r="G46" i="3"/>
  <c r="F46" i="3"/>
  <c r="E46" i="3"/>
  <c r="C47" i="3"/>
  <c r="F47" i="3"/>
  <c r="B47" i="3"/>
  <c r="G47" i="3"/>
  <c r="E47" i="3"/>
  <c r="D47" i="3"/>
  <c r="B48" i="3"/>
  <c r="C48" i="3"/>
  <c r="E48" i="3"/>
  <c r="F48" i="3"/>
  <c r="G48" i="3"/>
  <c r="D48" i="3"/>
  <c r="D49" i="3"/>
  <c r="E49" i="3"/>
  <c r="F49" i="3"/>
  <c r="G49" i="3"/>
  <c r="B49" i="3"/>
  <c r="C49" i="3"/>
  <c r="G50" i="3"/>
  <c r="D50" i="3"/>
  <c r="C50" i="3"/>
  <c r="B50" i="3"/>
  <c r="F50" i="3"/>
  <c r="E50" i="3"/>
  <c r="D51" i="3"/>
  <c r="G51" i="3"/>
  <c r="F51" i="3"/>
  <c r="E51" i="3"/>
  <c r="B51" i="3"/>
  <c r="C51" i="3"/>
  <c r="C52" i="3"/>
  <c r="E52" i="3"/>
  <c r="B52" i="3"/>
  <c r="F52" i="3"/>
  <c r="G52" i="3"/>
  <c r="D52" i="3"/>
  <c r="B53" i="3"/>
  <c r="D53" i="3"/>
  <c r="C53" i="3"/>
  <c r="G53" i="3"/>
  <c r="F53" i="3"/>
  <c r="E53" i="3"/>
  <c r="G54" i="3"/>
  <c r="F54" i="3"/>
  <c r="C54" i="3"/>
  <c r="B54" i="3"/>
  <c r="E54" i="3"/>
  <c r="D54" i="3"/>
  <c r="B55" i="3"/>
  <c r="C55" i="3"/>
  <c r="D55" i="3"/>
  <c r="E55" i="3"/>
  <c r="F55" i="3"/>
  <c r="G55" i="3"/>
  <c r="D56" i="3"/>
  <c r="C56" i="3"/>
  <c r="B56" i="3"/>
  <c r="E56" i="3"/>
  <c r="G56" i="3"/>
  <c r="F56" i="3"/>
  <c r="G57" i="3"/>
  <c r="F57" i="3"/>
  <c r="E57" i="3"/>
  <c r="D57" i="3"/>
  <c r="C57" i="3"/>
  <c r="B57" i="3"/>
  <c r="E58" i="3"/>
  <c r="G58" i="3"/>
  <c r="F58" i="3"/>
  <c r="C58" i="3"/>
  <c r="D58" i="3"/>
  <c r="B58" i="3"/>
  <c r="D59" i="3"/>
  <c r="E59" i="3"/>
  <c r="F59" i="3"/>
  <c r="G59" i="3"/>
  <c r="B59" i="3"/>
  <c r="C59" i="3"/>
  <c r="B60" i="3"/>
  <c r="C60" i="3"/>
  <c r="D60" i="3"/>
  <c r="E60" i="3"/>
  <c r="F60" i="3"/>
  <c r="G60" i="3"/>
  <c r="D61" i="3"/>
  <c r="B61" i="3"/>
  <c r="G61" i="3"/>
  <c r="F61" i="3"/>
  <c r="E61" i="3"/>
  <c r="C61" i="3"/>
  <c r="C62" i="3"/>
  <c r="B62" i="3"/>
  <c r="D62" i="3"/>
  <c r="E62" i="3"/>
  <c r="F62" i="3"/>
  <c r="G62" i="3"/>
  <c r="C63" i="3"/>
  <c r="D63" i="3"/>
  <c r="E63" i="3"/>
  <c r="F63" i="3"/>
  <c r="G63" i="3"/>
  <c r="B63" i="3"/>
  <c r="C64" i="3"/>
  <c r="B64" i="3"/>
  <c r="D64" i="3"/>
  <c r="E64" i="3"/>
  <c r="F64" i="3"/>
  <c r="G64" i="3"/>
  <c r="B65" i="3"/>
  <c r="C65" i="3"/>
  <c r="D65" i="3"/>
  <c r="E65" i="3"/>
  <c r="F65" i="3"/>
  <c r="G65" i="3"/>
  <c r="E66" i="3"/>
  <c r="C66" i="3"/>
  <c r="D66" i="3"/>
  <c r="B66" i="3"/>
  <c r="G66" i="3"/>
  <c r="F66" i="3"/>
  <c r="D67" i="3"/>
  <c r="C67" i="3"/>
  <c r="E67" i="3"/>
  <c r="F67" i="3"/>
  <c r="G67" i="3"/>
  <c r="B67" i="3"/>
  <c r="E68" i="3"/>
  <c r="B68" i="3"/>
  <c r="C68" i="3"/>
  <c r="D68" i="3"/>
  <c r="F68" i="3"/>
  <c r="G68" i="3"/>
  <c r="C69" i="3"/>
  <c r="D69" i="3"/>
  <c r="E69" i="3"/>
  <c r="F69" i="3"/>
  <c r="G69" i="3"/>
  <c r="B69" i="3"/>
  <c r="E70" i="3"/>
  <c r="F70" i="3"/>
  <c r="G70" i="3"/>
  <c r="B70" i="3"/>
  <c r="C70" i="3"/>
  <c r="D70" i="3"/>
  <c r="B71" i="3"/>
  <c r="C71" i="3"/>
  <c r="D71" i="3"/>
  <c r="E71" i="3"/>
  <c r="F71" i="3"/>
  <c r="G71" i="3"/>
  <c r="E72" i="3"/>
  <c r="C72" i="3"/>
  <c r="G72" i="3"/>
  <c r="B72" i="3"/>
  <c r="F72" i="3"/>
  <c r="D72" i="3"/>
  <c r="C73" i="3"/>
  <c r="G73" i="3"/>
  <c r="F73" i="3"/>
  <c r="E73" i="3"/>
  <c r="D73" i="3"/>
  <c r="B73" i="3"/>
  <c r="G74" i="3"/>
  <c r="B74" i="3"/>
  <c r="C74" i="3"/>
  <c r="D74" i="3"/>
  <c r="E74" i="3"/>
  <c r="F74" i="3"/>
  <c r="B75" i="3"/>
  <c r="C75" i="3"/>
  <c r="D75" i="3"/>
  <c r="E75" i="3"/>
  <c r="F75" i="3"/>
  <c r="G75" i="3"/>
  <c r="G28" i="3"/>
  <c r="E28" i="3"/>
  <c r="D28" i="3"/>
  <c r="F28" i="3"/>
  <c r="C28" i="3"/>
  <c r="B28" i="3"/>
  <c r="B30" i="3"/>
  <c r="G30" i="3"/>
  <c r="F30" i="3"/>
  <c r="E30" i="3"/>
  <c r="D30" i="3"/>
  <c r="C30" i="3"/>
  <c r="F8" i="3"/>
  <c r="E8" i="3"/>
  <c r="D8" i="3"/>
  <c r="C8" i="3"/>
  <c r="B8" i="3"/>
  <c r="G8" i="3"/>
  <c r="B238" i="4"/>
  <c r="C238" i="4"/>
  <c r="D238" i="4"/>
  <c r="E238" i="4"/>
  <c r="F238" i="4"/>
  <c r="G238" i="4"/>
  <c r="B113" i="4"/>
  <c r="C113" i="4"/>
  <c r="D113" i="4"/>
  <c r="E113" i="4"/>
  <c r="F113" i="4"/>
  <c r="G113" i="4"/>
  <c r="B179" i="4"/>
  <c r="C179" i="4"/>
  <c r="D179" i="4"/>
  <c r="E179" i="4"/>
  <c r="F179" i="4"/>
  <c r="G179" i="4"/>
  <c r="B85" i="3"/>
  <c r="C85" i="3"/>
  <c r="D85" i="3"/>
  <c r="E85" i="3"/>
  <c r="F85" i="3"/>
  <c r="G85" i="3"/>
  <c r="B216" i="3"/>
  <c r="C216" i="3"/>
  <c r="D216" i="3"/>
  <c r="E216" i="3"/>
  <c r="F216" i="3"/>
  <c r="G216" i="3"/>
  <c r="B238" i="3"/>
  <c r="C238" i="3"/>
  <c r="D238" i="3"/>
  <c r="E238" i="3"/>
  <c r="F238" i="3"/>
  <c r="G238" i="3"/>
  <c r="B151" i="3"/>
  <c r="C151" i="3"/>
  <c r="D151" i="3"/>
  <c r="E151" i="3"/>
  <c r="F151" i="3"/>
  <c r="G151" i="3"/>
  <c r="B236" i="5"/>
  <c r="C236" i="5"/>
  <c r="D236" i="5"/>
  <c r="E236" i="5"/>
  <c r="F236" i="5"/>
  <c r="G236" i="5"/>
  <c r="H236" i="5"/>
  <c r="B237" i="5"/>
  <c r="C237" i="5"/>
  <c r="D237" i="5"/>
  <c r="E237" i="5"/>
  <c r="F237" i="5"/>
  <c r="G237" i="5"/>
  <c r="H237" i="5"/>
  <c r="B67" i="5"/>
  <c r="C67" i="5"/>
  <c r="D67" i="5"/>
  <c r="E67" i="5"/>
  <c r="F67" i="5"/>
  <c r="G67" i="5"/>
  <c r="H67" i="5"/>
  <c r="G238" i="5"/>
  <c r="F238" i="5"/>
  <c r="B238" i="5"/>
  <c r="C238" i="5"/>
  <c r="D238" i="5"/>
  <c r="E238" i="5"/>
  <c r="H238" i="5"/>
  <c r="B181" i="5"/>
  <c r="C181" i="5"/>
  <c r="D181" i="5"/>
  <c r="E181" i="5"/>
  <c r="F181" i="5"/>
  <c r="G181" i="5"/>
  <c r="H181" i="5"/>
  <c r="B124" i="5"/>
  <c r="C124" i="5"/>
  <c r="D124" i="5"/>
  <c r="F124" i="5"/>
  <c r="H124" i="5"/>
  <c r="E124" i="5"/>
  <c r="G12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430" authorId="0" shapeId="0" xr:uid="{00000000-0006-0000-01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A special assessment doesn't begin with a billing decision — it begins with a financial event that exposes a gap. How does the system capture and formalise that moment?</t>
        </r>
      </text>
    </comment>
    <comment ref="E435" authorId="0" shapeId="0" xr:uid="{00000000-0006-0000-01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A special assessment that skips the proper authorization chain can be legally voided by a court. How does the system enforce and document this chain?</t>
        </r>
      </text>
    </comment>
    <comment ref="E440" authorId="0" shapeId="0" xr:uid="{00000000-0006-0000-01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Special assessments are not billed at a flat rate to everyone — they follow the allocation formula embedded in each community's CC&amp;Rs. This is one of the most legally sensitive calculations in HOA finance.</t>
        </r>
      </text>
    </comment>
    <comment ref="E445" authorId="0" shapeId="0" xr:uid="{00000000-0006-0000-01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Unlike regular dues which are perpetual, a special assessment creates a time-bounded, purpose-specific billing stream. How does the system manage this alongside the existing dues schedule without creating confusion or accounting errors?</t>
        </r>
      </text>
    </comment>
    <comment ref="E450" authorId="0" shapeId="0" xr:uid="{00000000-0006-0000-0100-00000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Funds collected under a special assessment are legally restricted to the purpose for which they were levied. Commingling with operating funds is a serious breach. How does the system enforce this?</t>
        </r>
      </text>
    </comment>
    <comment ref="E454" authorId="0" shapeId="0" xr:uid="{00000000-0006-0000-0100-00000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When a property sells while a special assessment is active, the system must correctly handle one of the most legally complex moments in HOA finance — the transfer of assessment obligation between the seller and the buyer.</t>
        </r>
      </text>
    </comment>
    <comment ref="E458" authorId="0" shapeId="0" xr:uid="{00000000-0006-0000-0100-00000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Emergency assessments share the special assessment framework but operate under compressed timelines and lower governance thresholds. How does the system distinguish and accommodate this variant?</t>
        </r>
      </text>
    </comment>
    <comment ref="E461" authorId="0" shapeId="0" xr:uid="{00000000-0006-0000-0100-00000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Because special assessments can be legally voided if the authorization process is flawed, the system's ability to produce a complete, timestamped record of every decision and communication is not a reporting nice-to-have feature — it is a legal necessity.</t>
        </r>
      </text>
    </comment>
    <comment ref="E464" authorId="0" shapeId="0" xr:uid="{00000000-0006-0000-0100-00000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The real test of how well a system virtualises special assessments is how it handles the edge cases that occur frequently in practice.</t>
        </r>
      </text>
    </comment>
    <comment ref="E486" authorId="0" shapeId="0" xr:uid="{00000000-0006-0000-0100-00000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management company is essentially billing itself from funds it controls. This creates unique governance requirements that must be reflected in the system.</t>
        </r>
      </text>
    </comment>
    <comment ref="E491" authorId="0" shapeId="0" xr:uid="{00000000-0006-0000-0100-00000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The contract lifecycle creates unique one-time and transitional billing scenarios that have no equivalent in other HOA domains.</t>
        </r>
      </text>
    </comment>
    <comment ref="E496" authorId="0" shapeId="0" xr:uid="{00000000-0006-0000-0100-00000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Management fees are unique in that they simultaneously create an expense entry on the HOA's ledger and a revenue entry on the management company's ledger. If both ledgers live in the same system, this creates a uniquely sensitive accounting situation</t>
        </r>
      </text>
    </comment>
    <comment ref="E506" authorId="0" shapeId="0" xr:uid="{00000000-0006-0000-0100-00000D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Unlike other HOA domains, management fees are the management company's primary revenue stream. The system must support internal business intelligence, not just HOA accounting.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<sst xmlns="http://schemas.openxmlformats.org/spreadsheetml/2006/main" count="10723" uniqueCount="2819">
  <si>
    <t>ASSOCIA BRANCH READINESS  —  INTEGRATED ASSESSMENT  v3.0</t>
  </si>
  <si>
    <t>Branch Name</t>
  </si>
  <si>
    <t>Assessment Date</t>
  </si>
  <si>
    <t>Assessor</t>
  </si>
  <si>
    <t>Source System</t>
  </si>
  <si>
    <t>CLASSIFICATION CODES</t>
  </si>
  <si>
    <t>PC</t>
  </si>
  <si>
    <t>Process Change</t>
  </si>
  <si>
    <t>TownSq supports this natively. Branch must adapt how they work.</t>
  </si>
  <si>
    <t>Change Plan sheet</t>
  </si>
  <si>
    <t>AC</t>
  </si>
  <si>
    <t>Adoption / Config</t>
  </si>
  <si>
    <t>TownSq supports this after configuration, data setup, or training.</t>
  </si>
  <si>
    <t>Onboarding List sheet</t>
  </si>
  <si>
    <t>FB</t>
  </si>
  <si>
    <t>Feature Backlog</t>
  </si>
  <si>
    <t>TownSq cannot support this today. Must be built or put on roadmap.</t>
  </si>
  <si>
    <t>Product Backlog sheet — assign P0–P3</t>
  </si>
  <si>
    <t>NA</t>
  </si>
  <si>
    <t>Not Applicable</t>
  </si>
  <si>
    <t>Branch does not use this capability.</t>
  </si>
  <si>
    <t>Excluded from score</t>
  </si>
  <si>
    <t>HOW TO USE</t>
  </si>
  <si>
    <t>Branch</t>
  </si>
  <si>
    <t>Send to branch ops lead 3 days before the discovery session. They type their answers in the yellow Answer column.</t>
  </si>
  <si>
    <t>Auto</t>
  </si>
  <si>
    <t>The Change Plan, Onboarding List, and Product Backlog sheets auto-populate as you classify.</t>
  </si>
  <si>
    <t>FB only</t>
  </si>
  <si>
    <t>Output</t>
  </si>
  <si>
    <t>Review the three output sheets — share Change Plan with ops, Onboarding List with implementation, Backlog with product.</t>
  </si>
  <si>
    <t>BRANCH ASSESSMENT  —  One row per dimension. Branch answers → Assessor classifies.</t>
  </si>
  <si>
    <t>← READ ONLY — Do not edit columns A–F or K</t>
  </si>
  <si>
    <t>BRANCH FILLS THIS</t>
  </si>
  <si>
    <t>SME fills once — one-time exercise</t>
  </si>
  <si>
    <t>ASSESSOR NOTES</t>
  </si>
  <si>
    <t>Dom #</t>
  </si>
  <si>
    <t>Domain</t>
  </si>
  <si>
    <t>Cap #</t>
  </si>
  <si>
    <t>Capability</t>
  </si>
  <si>
    <t>Dimension</t>
  </si>
  <si>
    <t>Priority</t>
  </si>
  <si>
    <t>Discovery Question — what to ask the branch</t>
  </si>
  <si>
    <t>Branch Answer — describe your current process</t>
  </si>
  <si>
    <t>TownSq Capability
— what TownSq supports today</t>
  </si>
  <si>
    <t>Assessor Notes</t>
  </si>
  <si>
    <t>AC#</t>
  </si>
  <si>
    <t>PC#</t>
  </si>
  <si>
    <t>QID
— Dom.Cap.Seq</t>
  </si>
  <si>
    <t>UID
— permanent key</t>
  </si>
  <si>
    <t>Platform Foundation</t>
  </si>
  <si>
    <t>1.1</t>
  </si>
  <si>
    <t>General System Access</t>
  </si>
  <si>
    <t>Multi-system navigation</t>
  </si>
  <si>
    <t>P0</t>
  </si>
  <si>
    <t>How many different systems does your branch log into daily? List them ALL by name.</t>
  </si>
  <si>
    <t>After config — TownSq Business (back-office) and TownSq Community (homeowner portal) are separate logins; WorkPoints+ is the accounting core. Managers must navigate two or three interfaces daily.  ~ verify current SSO roadmap</t>
  </si>
  <si>
    <t>1.1.1</t>
  </si>
  <si>
    <t>Q0001</t>
  </si>
  <si>
    <t>User account management</t>
  </si>
  <si>
    <t>Who manages user account creation, modification and removal today? What is the process when a new employee starts?</t>
  </si>
  <si>
    <t>After config — User accounts created and managed in TownSq admin console; new-user setup requires admin role. Process differs from legacy systems.  ✓</t>
  </si>
  <si>
    <t>1.1.2</t>
  </si>
  <si>
    <t>Q0002</t>
  </si>
  <si>
    <t>Password reset / access mgmt</t>
  </si>
  <si>
    <t>What is the step-by-step process when a user is locked out or needs a password reset?</t>
  </si>
  <si>
    <t>Native — Standard email-based password reset and account recovery; no admin intervention needed for most resets.  ✓</t>
  </si>
  <si>
    <t>1.1.3</t>
  </si>
  <si>
    <t>Q0003</t>
  </si>
  <si>
    <t>Issue submission process</t>
  </si>
  <si>
    <t>P1</t>
  </si>
  <si>
    <t>When you find a system bug or need to report a technical problem, what do you do? Who do you contact and how?</t>
  </si>
  <si>
    <t>After config — Support tickets submitted via TownSq Help Center portal or Associa internal ticketing; process needs to be configured and communicated to branches.  ~</t>
  </si>
  <si>
    <t>1.1.4</t>
  </si>
  <si>
    <t>Q0004</t>
  </si>
  <si>
    <t>1.2</t>
  </si>
  <si>
    <t>User Security / Permissions</t>
  </si>
  <si>
    <t>Role-based access control</t>
  </si>
  <si>
    <t>Who is responsible for managing user security and permissions? Can you restrict what different roles can see or do?</t>
  </si>
  <si>
    <t>After config — TownSq Business supports role-based permissions (Manager, Admin, Read-Only, Accounting, etc.). Roles assigned per user; granularity varies by module.  ✓</t>
  </si>
  <si>
    <t>1.2.1</t>
  </si>
  <si>
    <t>Q0005</t>
  </si>
  <si>
    <t>Board member access</t>
  </si>
  <si>
    <t>Do any board members have direct login access to your systems today? If yes, what can they see or do?</t>
  </si>
  <si>
    <t>After config — Board members can be granted TownSq Community access to view financials, documents, and announcements. Access scoped to their association only.  ✓</t>
  </si>
  <si>
    <t>1.2.2</t>
  </si>
  <si>
    <t>Q0006</t>
  </si>
  <si>
    <t>Attorney / external access</t>
  </si>
  <si>
    <t>Do any affiliated groups — attorneys, collections agencies — have direct access to your systems to manage delinquencies?</t>
  </si>
  <si>
    <t>Partial — External users (attorneys) can be given read-only Community access but there is no dedicated attorney/legal portal or collections-agency role.  ! verify with TownSq product</t>
  </si>
  <si>
    <t>1.2.3</t>
  </si>
  <si>
    <t>Q0007</t>
  </si>
  <si>
    <t>LOA / temporary access mgmt</t>
  </si>
  <si>
    <t>P2</t>
  </si>
  <si>
    <t>Do you have a policy for user access when someone is on extended leave? Describe what happens to their access.</t>
  </si>
  <si>
    <t>Not supported — No formal LOA workflow; disabling or restricting a user during leave requires manual admin action with no automated reinstatement.  ~</t>
  </si>
  <si>
    <t>1.2.4</t>
  </si>
  <si>
    <t>Q0008</t>
  </si>
  <si>
    <t>1.3</t>
  </si>
  <si>
    <t>Data Management / Master Data</t>
  </si>
  <si>
    <t>Association record structure</t>
  </si>
  <si>
    <t>Are your association IDs consistent (all letters, all numbers, or a mix)? Provide an example. How are they assigned?</t>
  </si>
  <si>
    <t>After config — Association records structured with a unique ID, legal name, unit count, management contract details. ID format must be standardised before import.  ✓</t>
  </si>
  <si>
    <t>1.3.1</t>
  </si>
  <si>
    <t>Q0009</t>
  </si>
  <si>
    <t>Unit / lot data completeness</t>
  </si>
  <si>
    <t>Do you have a complete list showing the number of units in each association? How current and reliable is that data?</t>
  </si>
  <si>
    <t>After config — Unit/lot records imported via data migration template; completeness of incoming data drives accuracy. Post-import validation step required.  ✓</t>
  </si>
  <si>
    <t>1.3.2</t>
  </si>
  <si>
    <t>Q0010</t>
  </si>
  <si>
    <t>Tax ID / legal entity data</t>
  </si>
  <si>
    <t>Can you provide a list of Tax IDs for all associations? Are associations listed by common name or legal name?</t>
  </si>
  <si>
    <t>After config — Tax ID field exists on the association record. Must be populated as part of onboarding; not auto-populated from any external source.  ✓</t>
  </si>
  <si>
    <t>1.3.3</t>
  </si>
  <si>
    <t>Q0011</t>
  </si>
  <si>
    <t>Transition-in / out process</t>
  </si>
  <si>
    <t>Walk through your step-by-step process for setting up a new client when they transition in. Who is involved and how long does it take?</t>
  </si>
  <si>
    <t>After config — No automated transition-in wizard; new association setup is a multi-step manual process (COA, bank accounts, owner import, billing setup). Guided by implementation checklist.  ~</t>
  </si>
  <si>
    <t>1.3.4</t>
  </si>
  <si>
    <t>Q0012</t>
  </si>
  <si>
    <t>Prior owner data handling</t>
  </si>
  <si>
    <t>What is your process for setting up an account for a prior owner in cases like foreclosure or bankruptcy? How are their balances tracked?</t>
  </si>
  <si>
    <t>After config — Prior/settled owner accounts can be maintained in TownSq with outstanding balances flagged. Process for posting and tracking differs from standard owner accounts.  ~</t>
  </si>
  <si>
    <t>1.3.5</t>
  </si>
  <si>
    <t>Q0013</t>
  </si>
  <si>
    <t>Property &amp; Assoc. Mgmt</t>
  </si>
  <si>
    <t>2.1</t>
  </si>
  <si>
    <t>Property / Association Details</t>
  </si>
  <si>
    <t>Community search &amp; lookup</t>
  </si>
  <si>
    <t>How do you currently search for a community or association record? What fields can you search by?</t>
  </si>
  <si>
    <t>Native — Community search available by name, ID, or manager in TownSq Business. Search is fast and works across all associations.  ✓</t>
  </si>
  <si>
    <t>2.1.1</t>
  </si>
  <si>
    <t>Q0014</t>
  </si>
  <si>
    <t>Property facts management</t>
  </si>
  <si>
    <t>How do you view and update property facts for an association — unit counts, amenities, legal descriptions? Where does that information live?</t>
  </si>
  <si>
    <t>After config — Association profile holds key facts (unit count, fiscal year, management type). Facts must be populated during onboarding; updates are manual.  ✓</t>
  </si>
  <si>
    <t>2.1.2</t>
  </si>
  <si>
    <t>Q0015</t>
  </si>
  <si>
    <t>Advanced search / filtering</t>
  </si>
  <si>
    <t>Can you search or filter associations by criteria other than name — for example, by manager, unit count, property type, or status?</t>
  </si>
  <si>
    <t>Partial — Basic filtering by manager and status available; advanced multi-criteria filtering (e.g., by unit count range, property type, delinquency level) is limited.  ! verify advanced filter roadmap</t>
  </si>
  <si>
    <t>2.1.3</t>
  </si>
  <si>
    <t>Q0016</t>
  </si>
  <si>
    <t>Vendor list at assoc. level</t>
  </si>
  <si>
    <t>Does each association have its own approved vendor list? Where is it stored and how do managers access it?</t>
  </si>
  <si>
    <t>After config — Vendor master is shared across associations; association-specific preferred vendor lists can be maintained via notes or a custom field but there is no dedicated per-association vendor list module.  ~ confirm with product</t>
  </si>
  <si>
    <t>2.1.4</t>
  </si>
  <si>
    <t>Q0017</t>
  </si>
  <si>
    <t>2.2</t>
  </si>
  <si>
    <t>Board Management</t>
  </si>
  <si>
    <t>Board member roster mgmt</t>
  </si>
  <si>
    <t>How do you currently maintain the list of board members for each association — name, role, contact info, and term? What system holds this?</t>
  </si>
  <si>
    <t>After config — Board member contacts stored in the association record with name, role, email, and phone. Must be populated manually; no automated election feed.  ✓</t>
  </si>
  <si>
    <t>2.2.1</t>
  </si>
  <si>
    <t>Q0018</t>
  </si>
  <si>
    <t>Election / appointment tracking</t>
  </si>
  <si>
    <t>What is your process for updating board member information after an election or appointment? Who makes the change and where?</t>
  </si>
  <si>
    <t>Not supported — No election cycle or appointment tracking workflow. Board member updates after elections are manual record changes with no audit trail of term dates.  ✓</t>
  </si>
  <si>
    <t>2.2.2</t>
  </si>
  <si>
    <t>Q0019</t>
  </si>
  <si>
    <t>Certification tracking</t>
  </si>
  <si>
    <t>Do you track board member certification or training requirements (e.g., state-mandated education hours)? If yes, how and where?</t>
  </si>
  <si>
    <t>Not supported — No board member certification or state-mandated training-hours tracking module.  ✓</t>
  </si>
  <si>
    <t>2.2.3</t>
  </si>
  <si>
    <t>Q0020</t>
  </si>
  <si>
    <t>Historical board records</t>
  </si>
  <si>
    <t>P3</t>
  </si>
  <si>
    <t>Do you maintain a record of past board members and when their service ended? Is that accessible to managers?</t>
  </si>
  <si>
    <t>Partial — Historical board members can be retained in the system with an 'inactive' flag but there is no formalised historical board record or searchable tenure log.  ~</t>
  </si>
  <si>
    <t>2.2.4</t>
  </si>
  <si>
    <t>Q0021</t>
  </si>
  <si>
    <t>2.3</t>
  </si>
  <si>
    <t>Insurance Tracking</t>
  </si>
  <si>
    <t>Policy record management</t>
  </si>
  <si>
    <t>How does your branch track insurance policies for each association — what system or spreadsheet holds policy details, carrier, and coverage amounts?</t>
  </si>
  <si>
    <t>Not supported — No dedicated insurance policy tracking module. Policies are typically stored as documents in the document library with no structured fields for carrier, coverage amount, or policy number.  ✓</t>
  </si>
  <si>
    <t>2.3.1</t>
  </si>
  <si>
    <t>Q0022</t>
  </si>
  <si>
    <t>Renewal tracking</t>
  </si>
  <si>
    <t>How do you manage insurance renewal dates? How are renewal reminders sent and who is responsible for following up?</t>
  </si>
  <si>
    <t>Not supported — No renewal-date alert or automated reminder for insurance renewals. Must be managed externally (calendar reminders, spreadsheet).  ✓</t>
  </si>
  <si>
    <t>2.3.2</t>
  </si>
  <si>
    <t>Q0023</t>
  </si>
  <si>
    <t>Document storage for policies</t>
  </si>
  <si>
    <t>Where are insurance policy documents (declarations pages, certificates of insurance) stored today? How do managers access them?</t>
  </si>
  <si>
    <t>After config — Insurance policy documents (declarations pages, certificates) can be stored in the TownSq document library and restricted to managers. No structured metadata.  ✓</t>
  </si>
  <si>
    <t>2.3.3</t>
  </si>
  <si>
    <t>Q0024</t>
  </si>
  <si>
    <t>2.4</t>
  </si>
  <si>
    <t>Reserve Analysis</t>
  </si>
  <si>
    <t>Reserve line item tracking</t>
  </si>
  <si>
    <t>How do you track individual reserve line items and their remaining useful life? Is this in a system or a spreadsheet?</t>
  </si>
  <si>
    <t>Partial — Reserve line items can be entered and tracked in TownSq Business as part of the chart of accounts; depth of line-item detail depends on COA setup. No direct link to reserve study data.  ~</t>
  </si>
  <si>
    <t>2.4.1</t>
  </si>
  <si>
    <t>Q0025</t>
  </si>
  <si>
    <t>Remaining useful life data</t>
  </si>
  <si>
    <t>Does your branch maintain or track reserve studies for associations? Who provides the reserve study and how often is it updated?</t>
  </si>
  <si>
    <t>Not supported — Remaining useful life (RUL) data from reserve studies is not tracked in TownSq. Must be maintained in a separate spreadsheet or third-party reserve study software.  ✓</t>
  </si>
  <si>
    <t>2.4.2</t>
  </si>
  <si>
    <t>Q0026</t>
  </si>
  <si>
    <t>Reserve fund balance tracking</t>
  </si>
  <si>
    <t>How are reserve fund balances tracked — in the GL, in a separate spreadsheet, or both? How do managers access current reserve balances?</t>
  </si>
  <si>
    <t>After config — Reserve fund balances tracked through dedicated reserve GL accounts. Requires correct COA structure with operating vs. reserve fund separation.  ✓</t>
  </si>
  <si>
    <t>2.4.3</t>
  </si>
  <si>
    <t>Q0027</t>
  </si>
  <si>
    <t>Cash flow / straight-line rpts</t>
  </si>
  <si>
    <t>Do you produce cash flow or straight-line reserve contribution reports for boards? If yes, how and how often?</t>
  </si>
  <si>
    <t>Not supported — Cash flow projection and straight-line reserve contribution reports are not native to TownSq. Must be produced externally from reserve study software or spreadsheets.  ✓</t>
  </si>
  <si>
    <t>2.4.4</t>
  </si>
  <si>
    <t>Q0028</t>
  </si>
  <si>
    <t>Communications</t>
  </si>
  <si>
    <t>3.1</t>
  </si>
  <si>
    <t>Email / Mass Communications</t>
  </si>
  <si>
    <t>Mass email / eBlast</t>
  </si>
  <si>
    <t>How do you currently send mass emails or eBlasts to homeowners? What system or tool do you use?</t>
  </si>
  <si>
    <t>After config — TownSq Community includes a mass communication tool for eBlasts to homeowners. Requires community portal to be active and homeowner emails on file.  ✓</t>
  </si>
  <si>
    <t>3.1.1</t>
  </si>
  <si>
    <t>Q0029</t>
  </si>
  <si>
    <t>Delivery confirmation</t>
  </si>
  <si>
    <t>How do you confirm that homeowners received an important communication? Can you see open rates or bounces?</t>
  </si>
  <si>
    <t>Partial — Basic email delivery status (sent/bounced) is visible; open-rate tracking is limited compared to dedicated email tools like Constant Contact.  ~</t>
  </si>
  <si>
    <t>3.1.2</t>
  </si>
  <si>
    <t>Q0030</t>
  </si>
  <si>
    <t>Emergency text messaging</t>
  </si>
  <si>
    <t>Can you send emergency text messages to homeowners today? If yes, what tool is used and how is it triggered?</t>
  </si>
  <si>
    <t>After config — Emergency text/SMS notifications available in TownSq Community for opted-in homeowners. Requires homeowner mobile numbers on file.  ✓</t>
  </si>
  <si>
    <t>3.1.3</t>
  </si>
  <si>
    <t>Q0031</t>
  </si>
  <si>
    <t>Communication history</t>
  </si>
  <si>
    <t>Where is outbound mass communication history stored? Can a manager see what was sent to a community and when?</t>
  </si>
  <si>
    <t>Native — Outbound communication history is logged per community in TownSq. Managers can see what was sent and when.  ✓</t>
  </si>
  <si>
    <t>3.1.4</t>
  </si>
  <si>
    <t>Q0032</t>
  </si>
  <si>
    <t>3.2</t>
  </si>
  <si>
    <t>Communication Templates</t>
  </si>
  <si>
    <t>General letter templates</t>
  </si>
  <si>
    <t>Do you use templates for general correspondence letters? Where are they stored and who can modify them?</t>
  </si>
  <si>
    <t>After config — Letter template library available in TownSq. Templates must be built out during onboarding; existing branch templates need to be migrated and reformatted.  ✓</t>
  </si>
  <si>
    <t>3.2.1</t>
  </si>
  <si>
    <t>Q0033</t>
  </si>
  <si>
    <t>Violation letter templates</t>
  </si>
  <si>
    <t>Walk through your violation notice letter process — what templates exist, how many letter stages, and how are they generated?</t>
  </si>
  <si>
    <t>After config — Violation notice letter templates built into TownSq violation module with merge fields for owner name, address, violation type, and due dates. Templates must match community's enforcement policy.  ✓</t>
  </si>
  <si>
    <t>3.2.2</t>
  </si>
  <si>
    <t>Q0034</t>
  </si>
  <si>
    <t>Architectural templates</t>
  </si>
  <si>
    <t>What templates exist for architectural review (ACC) correspondence — approval, denial, conditional approval letters?</t>
  </si>
  <si>
    <t>After config — ACC/architectural correspondence templates available. Must be configured per community's ACC policy and approval language.  ✓</t>
  </si>
  <si>
    <t>3.2.3</t>
  </si>
  <si>
    <t>Q0035</t>
  </si>
  <si>
    <t>Template administration</t>
  </si>
  <si>
    <t>Who owns and maintains communication templates? What is the process to add or update a template?</t>
  </si>
  <si>
    <t>After config — Template administration is an admin-only function in TownSq. Template updates require admin access; branch staff cannot self-serve template edits.  ✓</t>
  </si>
  <si>
    <t>3.2.4</t>
  </si>
  <si>
    <t>Q0036</t>
  </si>
  <si>
    <t>3.3</t>
  </si>
  <si>
    <t>Homeowner Communications</t>
  </si>
  <si>
    <t>1:1 homeowner communication</t>
  </si>
  <si>
    <t>How does a manager handle an individual homeowner inquiry today — by phone, email, or through a system? How is it logged?</t>
  </si>
  <si>
    <t>Native — Managers can send 1:1 messages to homeowners via CommunityCare or the TownSq messaging module. History is retained per homeowner.  ✓</t>
  </si>
  <si>
    <t>3.3.1</t>
  </si>
  <si>
    <t>Q0037</t>
  </si>
  <si>
    <t>Communication history log</t>
  </si>
  <si>
    <t>How do you view a complete history of all communications with a specific homeowner? Is that accessible from their account?</t>
  </si>
  <si>
    <t>Native — Full communication history accessible from the homeowner's account record. Includes emails, letters, and system-generated notices.  ✓</t>
  </si>
  <si>
    <t>3.3.2</t>
  </si>
  <si>
    <t>Q0038</t>
  </si>
  <si>
    <t>CommunityCare integration</t>
  </si>
  <si>
    <t>Do you currently use CommunityCare for homeowner service requests and interactions? How is it used day-to-day?</t>
  </si>
  <si>
    <t>After config — CommunityCare is TownSq's homeowner service module; it requires activation and routing configuration to connect inbound requests to the right manager queue.  ✓</t>
  </si>
  <si>
    <t>3.3.3</t>
  </si>
  <si>
    <t>Q0039</t>
  </si>
  <si>
    <t>Communication reporting</t>
  </si>
  <si>
    <t>What communication volume or response-time reports do you produce for boards or branch leadership?</t>
  </si>
  <si>
    <t>Partial — Basic communication volume reports available; detailed response-time SLA reporting is limited.  ! verify with product team</t>
  </si>
  <si>
    <t>3.3.4</t>
  </si>
  <si>
    <t>Q0040</t>
  </si>
  <si>
    <t>3.4</t>
  </si>
  <si>
    <t>Required Comms Tracking</t>
  </si>
  <si>
    <t>Compliance communications log</t>
  </si>
  <si>
    <t>How do you track required board communications — weekly check-ins, monthly updates, or compliance notifications? Is there a log?</t>
  </si>
  <si>
    <t>Partial — Manager notes and activity log entries can serve as a compliance communications log but there is no structured weekly/monthly board-communication checklist or automated compliance reminder.  ~</t>
  </si>
  <si>
    <t>3.4.1</t>
  </si>
  <si>
    <t>Q0041</t>
  </si>
  <si>
    <t>Service promise tracking</t>
  </si>
  <si>
    <t>How do you track commitments or promises made to a board or homeowner (e.g., 'we'll get back to you by Friday')?</t>
  </si>
  <si>
    <t>Not supported — No service promise or commitment-tracking module. Promises made to boards or homeowners must be tracked manually (task, note, or calendar).  ✓</t>
  </si>
  <si>
    <t>3.4.2</t>
  </si>
  <si>
    <t>Q0042</t>
  </si>
  <si>
    <t>Manual entry capability</t>
  </si>
  <si>
    <t>Can managers manually add notes or entries to a homeowner's communication log — for example, to record a phone call?</t>
  </si>
  <si>
    <t>Native — Manual note/log entries can be added to any homeowner or community record by managers at any time.  ✓</t>
  </si>
  <si>
    <t>3.4.3</t>
  </si>
  <si>
    <t>Q0043</t>
  </si>
  <si>
    <t>3.5</t>
  </si>
  <si>
    <t>Mass Mailing</t>
  </si>
  <si>
    <t>Physical mail management</t>
  </si>
  <si>
    <t>Which third-party vendor does your branch use to mail statements and coupons? Walk through how a mailing job is created and submitted.</t>
  </si>
  <si>
    <t>After config — TownSq integrates with third-party statement and coupon mailing vendors. Branch's existing vendor relationship transfers; integration setup required during onboarding.  ✓</t>
  </si>
  <si>
    <t>3.5.1</t>
  </si>
  <si>
    <t>Q0044</t>
  </si>
  <si>
    <t>Mailing history / tracking</t>
  </si>
  <si>
    <t>How do you view and track the history of physical mailings — what was sent, to which community, and on what date?</t>
  </si>
  <si>
    <t>After config — Mailing job history tracked in the billing/statement module. Accessible to managers and admins.  ✓</t>
  </si>
  <si>
    <t>3.5.2</t>
  </si>
  <si>
    <t>Q0045</t>
  </si>
  <si>
    <t>Proof approval workflow</t>
  </si>
  <si>
    <t>Who reviews and approves the proofs for statements and coupons before they go to print? What is the sign-off process?</t>
  </si>
  <si>
    <t>After config — Proof approval workflow routes through the statement vendor's portal. TownSq triggers the job; approval is outside TownSq.  ~</t>
  </si>
  <si>
    <t>3.5.3</t>
  </si>
  <si>
    <t>Q0046</t>
  </si>
  <si>
    <t>Homeowner Management</t>
  </si>
  <si>
    <t>4.1</t>
  </si>
  <si>
    <t>Homeowner Profile Management</t>
  </si>
  <si>
    <t>Homeowner search / lookup</t>
  </si>
  <si>
    <t>How do you currently search for a homeowner record — by name, address, account number? What system do you use?</t>
  </si>
  <si>
    <t>Native — Homeowner search by name, address, unit, and account number available in TownSq Business and Community. Fast and reliable.  ✓</t>
  </si>
  <si>
    <t>4.1.1</t>
  </si>
  <si>
    <t>Q0047</t>
  </si>
  <si>
    <t>Contact information mgmt</t>
  </si>
  <si>
    <t>How do you update a homeowner's contact information — address, phone, email? Who can make changes and where?</t>
  </si>
  <si>
    <t>Native — Homeowner contact details (name, email, phone, mailing address) editable in TownSq by authorised staff. Change history retained.  ✓</t>
  </si>
  <si>
    <t>4.1.2</t>
  </si>
  <si>
    <t>Q0048</t>
  </si>
  <si>
    <t>Cross-association search</t>
  </si>
  <si>
    <t>Can you search for a homeowner across multiple associations at once? (For example, an owner who has units in two communities.)</t>
  </si>
  <si>
    <t>Not supported — Cross-association search (finding a homeowner who owns units in two different communities) is not native. Requires separate searches per community.  ✓</t>
  </si>
  <si>
    <t>4.1.3</t>
  </si>
  <si>
    <t>Q0049</t>
  </si>
  <si>
    <t>Portal registration tracking</t>
  </si>
  <si>
    <t>How do you track whether a homeowner has registered for the online portal? Can you see portal enrollment by association?</t>
  </si>
  <si>
    <t>After config — Portal registration status visible on the homeowner account. TownSq tracks whether an owner has activated their Community portal account.  ✓</t>
  </si>
  <si>
    <t>4.1.4</t>
  </si>
  <si>
    <t>Q0050</t>
  </si>
  <si>
    <t>Autopay enrollment status</t>
  </si>
  <si>
    <t>How do you view whether a specific homeowner is enrolled in autopay or direct debit? Is that visible on their account?</t>
  </si>
  <si>
    <t>After config — ACH/direct-debit enrollment status visible on the homeowner account. Shows enrollment date and bank on file.  ✓</t>
  </si>
  <si>
    <t>4.1.5</t>
  </si>
  <si>
    <t>Q0051</t>
  </si>
  <si>
    <t>4.2</t>
  </si>
  <si>
    <t>Homeowner Ledger / Account History</t>
  </si>
  <si>
    <t>Account balance visibility</t>
  </si>
  <si>
    <t>How do you view a homeowner's current account balance and payment history? What system shows this?</t>
  </si>
  <si>
    <t>Native — Current account balance, payment history, and open charges visible on homeowner account in TownSq Business.  ✓</t>
  </si>
  <si>
    <t>4.2.1</t>
  </si>
  <si>
    <t>Q0052</t>
  </si>
  <si>
    <t>Statement generation</t>
  </si>
  <si>
    <t>How do you generate or reprint an account statement for a homeowner? Can you email it directly from the system?</t>
  </si>
  <si>
    <t>After config — Account statement generation available in TownSq; can be emailed directly from the system. Requires email on file.  ✓</t>
  </si>
  <si>
    <t>4.2.2</t>
  </si>
  <si>
    <t>Q0053</t>
  </si>
  <si>
    <t>Delinquency status display</t>
  </si>
  <si>
    <t>How do you see a homeowner's delinquency status in the system — what does their account look like when they are past due?</t>
  </si>
  <si>
    <t>After config — Delinquency status codes visible on homeowner account. Status set by the delinquency workflow engine.  ✓</t>
  </si>
  <si>
    <t>4.2.3</t>
  </si>
  <si>
    <t>Q0054</t>
  </si>
  <si>
    <t>Coupon / statement replacement</t>
  </si>
  <si>
    <t>How do you order replacement coupons or statements for a homeowner who lost theirs? How long does the replacement take?</t>
  </si>
  <si>
    <t>After config — Replacement statement or coupon orders placed through the statement vendor integration from within TownSq.  ~</t>
  </si>
  <si>
    <t>4.2.4</t>
  </si>
  <si>
    <t>Q0055</t>
  </si>
  <si>
    <t>4.3</t>
  </si>
  <si>
    <t>Violations</t>
  </si>
  <si>
    <t>Violation creation &amp; tracking</t>
  </si>
  <si>
    <t>How do you currently identify and log a violation — drive-by inspection, homeowner complaint, or technology? Walk through creating a violation record.</t>
  </si>
  <si>
    <t>After config — Full violation creation and tracking module native to TownSq. Violation record includes date, type, unit, description, and status.  ✓</t>
  </si>
  <si>
    <t>4.3.1</t>
  </si>
  <si>
    <t>Q0056</t>
  </si>
  <si>
    <t>Violation letter generation</t>
  </si>
  <si>
    <t>Walk through your violation notice process from first observation through final resolution — how many letter stages, who generates them, and how?</t>
  </si>
  <si>
    <t>After config — Violation letters generated from templates in TownSq with merge fields. Multi-stage escalation letters configurable per community enforcement policy.  ✓</t>
  </si>
  <si>
    <t>4.3.2</t>
  </si>
  <si>
    <t>Q0057</t>
  </si>
  <si>
    <t>Batch letter processing</t>
  </si>
  <si>
    <t>Do you use batch processing to send violation letters? If yes, how often do you run batches and what triggers a batch?</t>
  </si>
  <si>
    <t>After config — Batch violation letter processing available; multiple violations across a community can be processed and mailed in a single run.  ✓</t>
  </si>
  <si>
    <t>4.3.3</t>
  </si>
  <si>
    <t>Q0058</t>
  </si>
  <si>
    <t>Photo / document attachment</t>
  </si>
  <si>
    <t>How do photos or supporting documents get attached to a violation record today? Where are they stored?</t>
  </si>
  <si>
    <t>After config — Photos and supporting documents can be attached to a violation record in TownSq Community. Storage included.  ✓</t>
  </si>
  <si>
    <t>4.3.4</t>
  </si>
  <si>
    <t>Q0059</t>
  </si>
  <si>
    <t>Violation reporting</t>
  </si>
  <si>
    <t>How do you currently report on open, resolved, or repeat violations to boards? What reports are produced and how often?</t>
  </si>
  <si>
    <t>After config — Violation reports (open, closed, by type, by community) available in TownSq reporting module.  ✓</t>
  </si>
  <si>
    <t>4.3.5</t>
  </si>
  <si>
    <t>Q0060</t>
  </si>
  <si>
    <t>Violation status workflow</t>
  </si>
  <si>
    <t>How do you track violation status from start to finish — pending, notice issued, compliant, fined, escalated to legal?</t>
  </si>
  <si>
    <t>After config — Violation status workflow configurable: draft → issued → pending compliance → resolved / fined / escalated. Statuses and transitions set up during onboarding.  ✓</t>
  </si>
  <si>
    <t>4.3.6</t>
  </si>
  <si>
    <t>Q0061</t>
  </si>
  <si>
    <t>4.4</t>
  </si>
  <si>
    <t>Architectural Reviews</t>
  </si>
  <si>
    <t>Application intake</t>
  </si>
  <si>
    <t>How are ACC / architectural review applications submitted today — online form, paper, email, or in person?</t>
  </si>
  <si>
    <t>After config — ACC application intake module available in TownSq Community. Homeowners can submit applications online with attachments.  ✓</t>
  </si>
  <si>
    <t>4.4.1</t>
  </si>
  <si>
    <t>Q0062</t>
  </si>
  <si>
    <t>Board approval workflow</t>
  </si>
  <si>
    <t>Who has authority to approve ACC applications — the community manager, an ACC committee, or the full board? Walk through the approval steps.</t>
  </si>
  <si>
    <t>After config — Board approval workflow for ACC applications in TownSq. Manager routes to board for decision; approval tracked in the record.  ✓</t>
  </si>
  <si>
    <t>4.4.2</t>
  </si>
  <si>
    <t>Q0063</t>
  </si>
  <si>
    <t>Application correspondence</t>
  </si>
  <si>
    <t>How is the board's feedback or conditions of approval communicated back to the homeowner after an ACC decision?</t>
  </si>
  <si>
    <t>After config — Approval, denial, and conditional-approval letters sent from TownSq ACC module using configured templates.  ✓</t>
  </si>
  <si>
    <t>4.4.3</t>
  </si>
  <si>
    <t>Q0064</t>
  </si>
  <si>
    <t>Photo / doc management</t>
  </si>
  <si>
    <t>What types of documents or photos do applicants submit with an ACC request? Where are they stored and how are they retrieved?</t>
  </si>
  <si>
    <t>After config — Photos and supporting documents attached to ACC application records in TownSq.  ✓</t>
  </si>
  <si>
    <t>4.4.4</t>
  </si>
  <si>
    <t>Q0065</t>
  </si>
  <si>
    <t>ACC reporting</t>
  </si>
  <si>
    <t>How do you track ACC application status, review deadlines, and decision outcomes for board reporting?</t>
  </si>
  <si>
    <t>After config — ACC status and decision history reports available. Basic ACC pipeline reporting included.  ✓</t>
  </si>
  <si>
    <t>4.4.5</t>
  </si>
  <si>
    <t>Q0066</t>
  </si>
  <si>
    <t>Operations &amp; Tasks</t>
  </si>
  <si>
    <t>5.1</t>
  </si>
  <si>
    <t>Task Management</t>
  </si>
  <si>
    <t>Task creation &amp; assignment</t>
  </si>
  <si>
    <t>How does your branch currently track action items and tasks for community managers — spreadsheet, email flags, or a system module?</t>
  </si>
  <si>
    <t>After config — Task management module in TownSq Business allows creation and assignment of action items to managers. Requires setup of task categories.  ✓</t>
  </si>
  <si>
    <t>5.1.1</t>
  </si>
  <si>
    <t>Q0067</t>
  </si>
  <si>
    <t>Recurring task setup</t>
  </si>
  <si>
    <t>Do you use recurring tasks such as monthly site inspections or quarterly financial reviews? If yes, how are they set up and tracked?</t>
  </si>
  <si>
    <t>After config — Recurring tasks can be configured with a frequency and assigned manager in TownSq.  ~</t>
  </si>
  <si>
    <t>5.1.2</t>
  </si>
  <si>
    <t>Q0068</t>
  </si>
  <si>
    <t>Property visit tracking</t>
  </si>
  <si>
    <t>How do you track property visit activity — are visit notes recorded and associated with a specific community?</t>
  </si>
  <si>
    <t>After config — Property inspection visits can be logged as tasks with notes attached to a community record.  ~</t>
  </si>
  <si>
    <t>5.1.3</t>
  </si>
  <si>
    <t>Q0069</t>
  </si>
  <si>
    <t>Task reporting</t>
  </si>
  <si>
    <t>What task or action-item reports do you produce for managers or leadership? How do you know what is overdue?</t>
  </si>
  <si>
    <t>Partial — Task reports available but limited to basic lists; advanced overdue-task aging or cross-manager workload reporting is limited.  ! verify</t>
  </si>
  <si>
    <t>5.1.4</t>
  </si>
  <si>
    <t>Q0070</t>
  </si>
  <si>
    <t>Task templates</t>
  </si>
  <si>
    <t>Does your branch use task templates for common workflows such as a new-client onboarding checklist or a transition-out checklist?</t>
  </si>
  <si>
    <t>After config — Task templates available for common workflows. Template library must be built out during onboarding.  ~</t>
  </si>
  <si>
    <t>5.1.5</t>
  </si>
  <si>
    <t>Q0071</t>
  </si>
  <si>
    <t>5.2</t>
  </si>
  <si>
    <t>Maintenance / Work Orders</t>
  </si>
  <si>
    <t>Work order creation / dispatch</t>
  </si>
  <si>
    <t>How are maintenance requests or work orders submitted at your branch — by managers, homeowners, or onsite staff? Walk through the full process.</t>
  </si>
  <si>
    <t>After config — Work order module available in TownSq (Metrix integration or native work orders). Submission, dispatch, and tracking supported.  ✓</t>
  </si>
  <si>
    <t>5.2.1</t>
  </si>
  <si>
    <t>Q0072</t>
  </si>
  <si>
    <t>Crew / technician assignment</t>
  </si>
  <si>
    <t>How are work orders dispatched to maintenance crews or vendors? Who is responsible for that dispatch and how do crews receive instructions?</t>
  </si>
  <si>
    <t>After config — Work orders can be assigned to internal crew or external vendor in TownSq. Dispatch notification via email.  ✓</t>
  </si>
  <si>
    <t>5.2.2</t>
  </si>
  <si>
    <t>Q0073</t>
  </si>
  <si>
    <t>Internal billing for work</t>
  </si>
  <si>
    <t>How is internal labor for branch maintenance staff billed back to the association? Is there a separate billing step?</t>
  </si>
  <si>
    <t>Not supported — Internal labour billing (billing a branch technician's time back to an association at a defined rate) is not a native TownSq module.  ! verify with product</t>
  </si>
  <si>
    <t>5.2.3</t>
  </si>
  <si>
    <t>Q0074</t>
  </si>
  <si>
    <t>Work order reporting</t>
  </si>
  <si>
    <t>How do you track open work orders and confirm they have been completed and signed off?</t>
  </si>
  <si>
    <t>After config — Work order status and completion reports available in TownSq.  ✓</t>
  </si>
  <si>
    <t>5.2.4</t>
  </si>
  <si>
    <t>Q0075</t>
  </si>
  <si>
    <t>5.3</t>
  </si>
  <si>
    <t>Document Management</t>
  </si>
  <si>
    <t>Document storage / retrieval</t>
  </si>
  <si>
    <t>Where does your branch currently store governing documents for associations — CC&amp;Rs, bylaws, rules, amendments? How do managers access them?</t>
  </si>
  <si>
    <t>After config — Document library in TownSq Community allows upload, organisation, and homeowner/manager access. Folder structure configured during onboarding.  ✓</t>
  </si>
  <si>
    <t>5.3.1</t>
  </si>
  <si>
    <t>Q0076</t>
  </si>
  <si>
    <t>Permission-based access</t>
  </si>
  <si>
    <t>Are there documents restricted from homeowner view — executive session minutes, legal correspondence? How is that access controlled?</t>
  </si>
  <si>
    <t>After config — Document-level permissions set by document type and audience (managers only, all homeowners, board members only). Configured per document.  ✓</t>
  </si>
  <si>
    <t>5.3.2</t>
  </si>
  <si>
    <t>Q0077</t>
  </si>
  <si>
    <t>Governing document mgmt</t>
  </si>
  <si>
    <t>What is the process when a governing document is amended — how is the old version archived and the new one made current?</t>
  </si>
  <si>
    <t>After config — Governing documents (CC&amp;Rs, bylaws, rules) uploaded to document library and set as current version. Version history maintained.  ✓</t>
  </si>
  <si>
    <t>5.3.3</t>
  </si>
  <si>
    <t>Q0078</t>
  </si>
  <si>
    <t>Document search</t>
  </si>
  <si>
    <t>How do you search for a specific document across associations today? Can you search by keyword, document type, or association name?</t>
  </si>
  <si>
    <t>Partial — Keyword search within the document library is basic. Full-text search within document content is not supported; search is by filename/document name only.  ~</t>
  </si>
  <si>
    <t>5.3.4</t>
  </si>
  <si>
    <t>Q0079</t>
  </si>
  <si>
    <t>5.4</t>
  </si>
  <si>
    <t>Manager Notes / Internal Notes</t>
  </si>
  <si>
    <t>Manager-only note creation</t>
  </si>
  <si>
    <t>How do managers record internal notes about a community — notes only staff can see, not homeowners? Where do these live?</t>
  </si>
  <si>
    <t>After config — Internal manager notes can be added to community records and homeowner accounts. Notes flagged as internal are not visible to homeowners on the portal.  ✓</t>
  </si>
  <si>
    <t>5.4.1</t>
  </si>
  <si>
    <t>Q0080</t>
  </si>
  <si>
    <t>Internal community details</t>
  </si>
  <si>
    <t>Where are community-specific internal details stored — things like a board member's preferred communication style or a nuance about a specific property?</t>
  </si>
  <si>
    <t>After config — Community-specific internal details stored in manager notes or custom fields on the association record.  ✓</t>
  </si>
  <si>
    <t>5.4.2</t>
  </si>
  <si>
    <t>Q0081</t>
  </si>
  <si>
    <t>5.5</t>
  </si>
  <si>
    <t>Portal Administration</t>
  </si>
  <si>
    <t>Community calendar mgmt</t>
  </si>
  <si>
    <t>How do you manage community calendar events and announcements on the homeowner portal? Who is responsible for keeping content current?</t>
  </si>
  <si>
    <t>After config — Community calendar in TownSq Community allows event creation and management. Managed by admins or designated community web admins.  ✓</t>
  </si>
  <si>
    <t>5.5.1</t>
  </si>
  <si>
    <t>Q0082</t>
  </si>
  <si>
    <t>Homepage / portal customization</t>
  </si>
  <si>
    <t>Are there any communities with specific portal customization needs — custom homepage, branded experience, restricted features?</t>
  </si>
  <si>
    <t>Partial — Homepage layout and announcement content configurable; deep branding customisation (custom logos, colour schemes per community) is limited in standard plans.  ~ verify plan tier</t>
  </si>
  <si>
    <t>5.5.2</t>
  </si>
  <si>
    <t>Q0083</t>
  </si>
  <si>
    <t>Registered user management</t>
  </si>
  <si>
    <t>Do homeowners self-register for portal access, or is registration managed by branch staff? How do you handle tenants vs. owners?</t>
  </si>
  <si>
    <t>After config — Homeowner self-registration via invitation email or self-registration link. Admins manage registered users in portal admin console.  ✓</t>
  </si>
  <si>
    <t>5.5.3</t>
  </si>
  <si>
    <t>Q0084</t>
  </si>
  <si>
    <t>Optional feature config</t>
  </si>
  <si>
    <t>What features do homeowners use most through the portal today — payments, documents, announcements, service requests?</t>
  </si>
  <si>
    <t>After config — Feature toggles in portal settings allow enabling/disabling modules (payments, packages, forum, etc.) per community.  ✓</t>
  </si>
  <si>
    <t>5.5.4</t>
  </si>
  <si>
    <t>Q0085</t>
  </si>
  <si>
    <t>5.6</t>
  </si>
  <si>
    <t>Board Packets</t>
  </si>
  <si>
    <t>Board packet creation</t>
  </si>
  <si>
    <t>How do you currently compile board meeting packets? Walk through the process from gathering documents to final assembly.</t>
  </si>
  <si>
    <t>After config — Board packet creation module in TownSq Business allows assembling financial reports, manager notes, and attachments into a single packet. Requires setup.  ✓</t>
  </si>
  <si>
    <t>5.6.1</t>
  </si>
  <si>
    <t>Q0086</t>
  </si>
  <si>
    <t>Packet templates</t>
  </si>
  <si>
    <t>Do you use any templates for the manager's report or meeting agenda sections of the packet? Where are those templates stored?</t>
  </si>
  <si>
    <t>After config — Packet templates define which report sections and documents are included by default. Templates configured per management agreement type.  ~</t>
  </si>
  <si>
    <t>5.6.2</t>
  </si>
  <si>
    <t>Q0087</t>
  </si>
  <si>
    <t>Digital distribution to board</t>
  </si>
  <si>
    <t>How are packets delivered to board members today — email, portal, physical binder, or a combination? How far in advance?</t>
  </si>
  <si>
    <t>After config — Board packets distributed digitally to board members via TownSq portal or email. Board members notified on publication.  ✓</t>
  </si>
  <si>
    <t>5.6.3</t>
  </si>
  <si>
    <t>Q0088</t>
  </si>
  <si>
    <t>Financial Operations</t>
  </si>
  <si>
    <t>6.1</t>
  </si>
  <si>
    <t>Accounts Payable</t>
  </si>
  <si>
    <t>Invoice intake &amp; routing</t>
  </si>
  <si>
    <t>Walk through your AP process step by step — from invoice receipt to payment. Who touches it at each stage?</t>
  </si>
  <si>
    <t>After config — AP invoice entry and routing native in TownSq Business (WorkPoints+). Invoice workflow requires GL coding, association assignment, and approver configuration.  ✓</t>
  </si>
  <si>
    <t>6.1.1</t>
  </si>
  <si>
    <t>Q0089</t>
  </si>
  <si>
    <t>Approval / hold / reject workflow</t>
  </si>
  <si>
    <t>Do you have dollar limits that require Board Member or Branch Executive approval before paying an invoice? What are the thresholds and who approves?</t>
  </si>
  <si>
    <t>After config — Dollar-threshold approval rules configurable in TownSq AP module. Board-approval routing and branch-exec approval rules set during onboarding.  ✓</t>
  </si>
  <si>
    <t>6.1.2</t>
  </si>
  <si>
    <t>Q0090</t>
  </si>
  <si>
    <t>ACH payment processing</t>
  </si>
  <si>
    <t>Do you pay any vendors by ACH? If yes, how do you set up an ACH vendor and how are payments initiated?</t>
  </si>
  <si>
    <t>After config — ACH vendor payments supported in TownSq. Vendor must have ACH banking details on file; payment runs initiated from AP module.  ✓</t>
  </si>
  <si>
    <t>6.1.3</t>
  </si>
  <si>
    <t>Q0091</t>
  </si>
  <si>
    <t>Cash-poor / priority handling</t>
  </si>
  <si>
    <t>If there is not enough money in an association's bank account to pay a vendor, what happens? Who decides what gets paid and in what order?</t>
  </si>
  <si>
    <t>Partial — No automated cash-poor / priority queue; assessor or manager manually reviews and holds or prioritises invoices in TownSq when funds are limited.  ~</t>
  </si>
  <si>
    <t>6.1.4</t>
  </si>
  <si>
    <t>Q0092</t>
  </si>
  <si>
    <t>Invoice history &amp; notes</t>
  </si>
  <si>
    <t>How do you view the payment history for a vendor or a specific invoice? Can you add notes or comments to an invoice record?</t>
  </si>
  <si>
    <t>Native — Full AP invoice history accessible by vendor, association, or date range in TownSq Business. Notes and attachments included.  ✓</t>
  </si>
  <si>
    <t>6.1.5</t>
  </si>
  <si>
    <t>Q0093</t>
  </si>
  <si>
    <t>Supporting document mgmt</t>
  </si>
  <si>
    <t>How are supporting documents (contracts, POs, photos of work) attached to an invoice before it goes through approval?</t>
  </si>
  <si>
    <t>After config — Supporting documents (contracts, photos of work, purchase orders) attached to invoice records in TownSq before approval routing.  ✓</t>
  </si>
  <si>
    <t>6.1.6</t>
  </si>
  <si>
    <t>Q0094</t>
  </si>
  <si>
    <t>Duplicate Invoice Control</t>
  </si>
  <si>
    <t>How do you detect and prevent duplicate vendor invoices across all entry channels before payment is released?</t>
  </si>
  <si>
    <t>6.1.7</t>
  </si>
  <si>
    <t>Q0095</t>
  </si>
  <si>
    <t>Vendor Mgmt</t>
  </si>
  <si>
    <t>Who owns vendor master maintenance, and how are new vendor records, address changes, and bank detail changes validated before use?</t>
  </si>
  <si>
    <t>6.1.8</t>
  </si>
  <si>
    <t>Q0096</t>
  </si>
  <si>
    <t>Recurring Charges / Coding Defaults</t>
  </si>
  <si>
    <t>Are recurring vendor charges pre-coded from templates/rules, and how are GL/property/class codes populated for new bills?</t>
  </si>
  <si>
    <t>6.1.9</t>
  </si>
  <si>
    <t>Q0097</t>
  </si>
  <si>
    <t>Contract Matching</t>
  </si>
  <si>
    <t>Do you require purchase orders, contracts, or work-order references matched to invoices before approval? Where is that link maintained?</t>
  </si>
  <si>
    <t>6.1.10</t>
  </si>
  <si>
    <t>Q0098</t>
  </si>
  <si>
    <t>Fraud Controls</t>
  </si>
  <si>
    <t>What controls/checks happen between the AP system, the bank, and fraud mitigation measures (e.g., Positive Pay) before money leaves the account?</t>
  </si>
  <si>
    <t>6.1.11</t>
  </si>
  <si>
    <t>Q0099</t>
  </si>
  <si>
    <t>Exception Handling</t>
  </si>
  <si>
    <t>How are voided, stopped, or rejected AP payments traced to the original invoice and reflected in the GL &amp; vendor history?</t>
  </si>
  <si>
    <t>6.1.12</t>
  </si>
  <si>
    <t>Q0100</t>
  </si>
  <si>
    <t>AP Visibility &amp; Liability Aging</t>
  </si>
  <si>
    <t>How do you review AP aging or open liabilities by association, vendor, or approver across the portfolio?</t>
  </si>
  <si>
    <t>6.1.13</t>
  </si>
  <si>
    <t>Q0101</t>
  </si>
  <si>
    <t>Systems Involved</t>
  </si>
  <si>
    <t>Which systems receive AP invoice data after posting (e.g., reporting, document storage, ticketing)—is that sync automated or manual?</t>
  </si>
  <si>
    <t>6.1.14</t>
  </si>
  <si>
    <t>Q0102</t>
  </si>
  <si>
    <t>What controls are in place to verify the authenticity of vendor invoices and protect against business email compromise/phishing?</t>
  </si>
  <si>
    <t>6.1.15</t>
  </si>
  <si>
    <t>Q0103</t>
  </si>
  <si>
    <t>Backup Mgmt</t>
  </si>
  <si>
    <t>In case of outage/ransomware, how quickly can AP processing resume, and are vendor records backed up offsite?</t>
  </si>
  <si>
    <t>6.1.16</t>
  </si>
  <si>
    <t>Q0104</t>
  </si>
  <si>
    <t>Regulatory &amp; Compliance Updates</t>
  </si>
  <si>
    <t>How does your AP system stay updated for 1099 reporting, IRS/state requirements, or other regulatory changes affecting vendor payments?</t>
  </si>
  <si>
    <t>6.1.17</t>
  </si>
  <si>
    <t>Q0105</t>
  </si>
  <si>
    <t>Are paper invoices still received and, if so, what is the process for digitizing them and using them in existing systems?</t>
  </si>
  <si>
    <t>6.1.18</t>
  </si>
  <si>
    <t>Q0106</t>
  </si>
  <si>
    <t>How are payment approval workflows documented, and are audit trails accessible by board members?</t>
  </si>
  <si>
    <t>6.1.19</t>
  </si>
  <si>
    <t>Q0107</t>
  </si>
  <si>
    <t>Can invoices be approved or payments released via mobile devices, and what security controls apply?</t>
  </si>
  <si>
    <t>6.1.20</t>
  </si>
  <si>
    <t>Q0108</t>
  </si>
  <si>
    <t>Payment Term Optimization</t>
  </si>
  <si>
    <t>If and how does the AP team review/renegotiate payment terms to optimize cash flow or secure early pay discounts?</t>
  </si>
  <si>
    <t>6.1.21</t>
  </si>
  <si>
    <t>Q0109</t>
  </si>
  <si>
    <t>How do you record and track vendor performance issues (e.g., quality, timeliness) that might impact payment?</t>
  </si>
  <si>
    <t>6.1.22</t>
  </si>
  <si>
    <t>Q0110</t>
  </si>
  <si>
    <t>Invoice/Payment Split Functionality</t>
  </si>
  <si>
    <t>If one invoice covers work for multiple HOAs, how does your system handle cost allocation and documentation?</t>
  </si>
  <si>
    <t>6.1.23</t>
  </si>
  <si>
    <t>Q0111</t>
  </si>
  <si>
    <t>When your portfolio grows (e.g., mergers, new communities), how do AP processes and systems scale?</t>
  </si>
  <si>
    <t>6.1.24</t>
  </si>
  <si>
    <t>Q0112</t>
  </si>
  <si>
    <t>What is the escalation process when a payment cannot be matched to a valid invoice or supporting documentation?</t>
  </si>
  <si>
    <t>6.1.25</t>
  </si>
  <si>
    <t>Q0113</t>
  </si>
  <si>
    <t>How do you integrate with external contract management or procurement systems, or must key data be entered manually?</t>
  </si>
  <si>
    <t>6.1.26</t>
  </si>
  <si>
    <t>Q0114</t>
  </si>
  <si>
    <t>What is the process and timeline for activating/inactivating a vendor in your system after contracts begin or end?</t>
  </si>
  <si>
    <t>6.1.27</t>
  </si>
  <si>
    <t>Q0115</t>
  </si>
  <si>
    <t>Bulk Payment/Batch Processing</t>
  </si>
  <si>
    <t>Do you process large batches of payments in one run, and are there automated controls for each disbursement?</t>
  </si>
  <si>
    <t>6.1.28</t>
  </si>
  <si>
    <t>Q0116</t>
  </si>
  <si>
    <t>Have you detected or prevented vendor fraud attempts involving multiple HOAs, and how was this identified?</t>
  </si>
  <si>
    <t>6.1.29</t>
  </si>
  <si>
    <t>Q0117</t>
  </si>
  <si>
    <t>6.2</t>
  </si>
  <si>
    <t>Accounts Receivable</t>
  </si>
  <si>
    <t>Lockbox payment processing</t>
  </si>
  <si>
    <t>Do you use lockbox processing for homeowner assessment payments? Which bank? What percentage of homeowners pay through the lockbox?</t>
  </si>
  <si>
    <t>After config — Lockbox payment file import supported in TownSq AR module. Bank sends file; TownSq processes and posts payments. Bank and file format must be configured.  ✓</t>
  </si>
  <si>
    <t>6.2.1</t>
  </si>
  <si>
    <t>Q0118</t>
  </si>
  <si>
    <t>ACH / direct debit enrollment</t>
  </si>
  <si>
    <t>Does your branch process direct debit (ACH pull) payments from owners? What day of the month are they pulled, and how do owners enroll?  Does some one does it for you already or do we need to set it up in TSQB.</t>
  </si>
  <si>
    <t>There are two types of ACH payment models. One is homeowner-initiated payments through the portal using external providers, and the other is branch-initiated direct debit, where the branch collects bank information and executes a batch process to pull funds from homeowner accounts on a scheduled basis. This question is intended to determine whether the branch uses internal direct debit processing or relies on third-party providers.</t>
  </si>
  <si>
    <t>6.2.2</t>
  </si>
  <si>
    <t>Q0119</t>
  </si>
  <si>
    <t>Special assessment processing</t>
  </si>
  <si>
    <t>Do any associations currently have special assessments? Describe how those payments are collected, recorded, and tracked separately from regular dues.  What method do you use - Lump sum, multi year payments (late fee schedule)</t>
  </si>
  <si>
    <t>Special assessments can be handled in multiple ways depending on association requirements. They may be collected as a one-time lump sum, structured as multi-year installment plans, or tracked in separate ledgers distinct from regular dues. In some cases, special assessments may also follow different delinquency rules. The purpose of this question is to understand the specific approach used so it can be properly configured during implementation.</t>
  </si>
  <si>
    <t>6.2.3</t>
  </si>
  <si>
    <t>Q0120</t>
  </si>
  <si>
    <t>Payment exceptions handling</t>
  </si>
  <si>
    <t>On average, how many lockbox exceptions does your branch handle each day? What types of exceptions occur most often and how are they resolved?</t>
  </si>
  <si>
    <t>After config — Lockbox exceptions handled manually in TownSq; exception report generated after each file load. Resolution process defined in onboarding.  ✓</t>
  </si>
  <si>
    <t>6.2.4</t>
  </si>
  <si>
    <t>Q0121</t>
  </si>
  <si>
    <t>Refunds &amp; adjustments</t>
  </si>
  <si>
    <t>How do homeowners request refunds? Walk through the approval and posting process. Which GL code do you use?</t>
  </si>
  <si>
    <t>After config — Homeowner account adjustments, credits, and refunds posted in TownSq AR. Refunds processed as manual cheques or ACH reversals.  ✓</t>
  </si>
  <si>
    <t>6.2.5</t>
  </si>
  <si>
    <t>Q0122</t>
  </si>
  <si>
    <t>Returned payment processing</t>
  </si>
  <si>
    <t>How does the branch handle returned payments — NSF checks and returned ACH? Do homeowners pay additional fees beyond the bank charge?</t>
  </si>
  <si>
    <t>After config — Returned payment (NSF, returned ACH) processing native in TownSq. Returned-item fees configurable per association policy.  ✓</t>
  </si>
  <si>
    <t>6.2.6</t>
  </si>
  <si>
    <t>Q0123</t>
  </si>
  <si>
    <t>Account Receivables Workflows &amp; Process Flows</t>
  </si>
  <si>
    <t>Walk me through the end-to-end AR lifecycle — from assessment generation (dues, special assessments, fines) through to cash application and reconciliation.</t>
  </si>
  <si>
    <t>After config
RC: Charges are created via recurring charges or one-time charges (manual or import). Once posted to the unit ledger, cash is applied either automatically (based on configured priority rules like dues → assessments → penalties) or manually per unit.</t>
  </si>
  <si>
    <t>6.2.7</t>
  </si>
  <si>
    <t>Q0124</t>
  </si>
  <si>
    <t>Core AR Systems &amp; Platforms</t>
  </si>
  <si>
    <t>Are AR functions managed within a single platform across all communities, or do you have multiple systems in use across different portfolios or regions?</t>
  </si>
  <si>
    <t>TBD — confirm with domain SME</t>
  </si>
  <si>
    <t>6.2.8</t>
  </si>
  <si>
    <t>Q0125</t>
  </si>
  <si>
    <t>Move-in / move-out and ancillary fee billing</t>
  </si>
  <si>
    <t>Beyond regular assessments and special assessments, what other fees does your branch bill to homeowners — move-in fees, parking, storage, amenity access fees, transfer fees? How are these set up and billed?</t>
  </si>
  <si>
    <t>6.2.9</t>
  </si>
  <si>
    <t>Q0126</t>
  </si>
  <si>
    <t>Payment Application Hierarchy</t>
  </si>
  <si>
    <t>How are payments from different channels prioritized when an owner pays less than the full balance (dues, fines, assessments, etc.)?</t>
  </si>
  <si>
    <t>6.2.10</t>
  </si>
  <si>
    <t>Q0127</t>
  </si>
  <si>
    <t>Billing Rule Propagation</t>
  </si>
  <si>
    <t>When assessment rates, billing frequencies, or late-fee rules change, how are those changes updated in statements, portals, and autopay records?</t>
  </si>
  <si>
    <t>6.2.11</t>
  </si>
  <si>
    <t>Q0128</t>
  </si>
  <si>
    <t>Cash Receipt Reconciliation</t>
  </si>
  <si>
    <t>What is the end-to-end process for reconciling payment files from lockbox, online portal, ACH, and processors against open receivables?</t>
  </si>
  <si>
    <t>6.2.12</t>
  </si>
  <si>
    <t>Q0129</t>
  </si>
  <si>
    <t>Cross-System Account Mapping</t>
  </si>
  <si>
    <t>Who maintains mapping between the owner ledger and external channels (portal, payment processor, mail vendor, etc.) when an account moves or merges?</t>
  </si>
  <si>
    <t>6.2.13</t>
  </si>
  <si>
    <t>Q0130</t>
  </si>
  <si>
    <t>Dispute Handling</t>
  </si>
  <si>
    <t>How are card chargebacks and payment disputes recorded, investigated, and connected to the original AR transaction?</t>
  </si>
  <si>
    <t>6.2.14</t>
  </si>
  <si>
    <t>Q0131</t>
  </si>
  <si>
    <t>Ownership Change Automation</t>
  </si>
  <si>
    <t>When a property changes ownership, how are autopay enrollments, communication preferences, and delinquent balances re-evaluated for the new owner?</t>
  </si>
  <si>
    <t>6.2.15</t>
  </si>
  <si>
    <t>Q0132</t>
  </si>
  <si>
    <t>How do you identify and resolve AR exceptions needing manual review (e.g., unapplied cash, overpayments, payments with missing references)?</t>
  </si>
  <si>
    <t>6.2.16</t>
  </si>
  <si>
    <t>Q0133</t>
  </si>
  <si>
    <t>Balance Adjustment Notification</t>
  </si>
  <si>
    <t>Who is notified when an owner’s balance is changed, and how are ledger/portal/customer communications synchronized?</t>
  </si>
  <si>
    <t>6.2.17</t>
  </si>
  <si>
    <t>Q0134</t>
  </si>
  <si>
    <t>Owner Communication Preferences</t>
  </si>
  <si>
    <t>How does your AR system accommodate owner preferences for payment reminders (email, SMS, mail), and can these be customized per association?</t>
  </si>
  <si>
    <t>6.2.18</t>
  </si>
  <si>
    <t>Q0135</t>
  </si>
  <si>
    <t>Accessibility &amp; Inclusivity</t>
  </si>
  <si>
    <t>Are payment portals and owner communications accessible for those with disabilities or limited English proficiency?</t>
  </si>
  <si>
    <t>6.2.19</t>
  </si>
  <si>
    <t>Q0136</t>
  </si>
  <si>
    <t>Regulatory (Fair Debt Practices)</t>
  </si>
  <si>
    <t>How does your AR process ensure compliance with federal/state Fair Debt Collection laws (FDCPA, etc.) in owner communications and collections?</t>
  </si>
  <si>
    <t>6.2.20</t>
  </si>
  <si>
    <t>Q0137</t>
  </si>
  <si>
    <t>Credit Reporting</t>
  </si>
  <si>
    <t>Does the association ever report delinquencies to credit bureaus, and if so, how is consent managed and what recourse is available to owners?</t>
  </si>
  <si>
    <t>6.2.21</t>
  </si>
  <si>
    <t>Q0138</t>
  </si>
  <si>
    <t>Bankruptcy/Foreclosure Workflow</t>
  </si>
  <si>
    <t>What steps are followed when a homeowner files bankruptcy or foreclosure to ensure AR is handled correctly and account actions frozen as required?</t>
  </si>
  <si>
    <t>6.2.22</t>
  </si>
  <si>
    <t>Q0139</t>
  </si>
  <si>
    <t>AR System Integration</t>
  </si>
  <si>
    <t>Are there direct integrations between AR and external dispute resolution/mediation platforms?</t>
  </si>
  <si>
    <t>6.2.23</t>
  </si>
  <si>
    <t>Q0140</t>
  </si>
  <si>
    <t>Owner Self-Service &amp; Adoption</t>
  </si>
  <si>
    <t>Do owners use self-service options for balances/payments, and if yes then what barriers exist for others?</t>
  </si>
  <si>
    <t>6.2.24</t>
  </si>
  <si>
    <t>Q0141</t>
  </si>
  <si>
    <t>Payment Arrangement Flexibility</t>
  </si>
  <si>
    <t>Can the AR system support custom payment plans for owners in hardship, and how are these reviewed/tracked?</t>
  </si>
  <si>
    <t>6.2.25</t>
  </si>
  <si>
    <t>Q0142</t>
  </si>
  <si>
    <t>Fee Structure Clarity</t>
  </si>
  <si>
    <t>How does AR ensure all charges (late fees, interest, etc.) are transparently communicated and disputed charges are addressed?</t>
  </si>
  <si>
    <t>6.2.26</t>
  </si>
  <si>
    <t>Q0143</t>
  </si>
  <si>
    <t>Refund Automation</t>
  </si>
  <si>
    <t>Is there an automated workflow for owner refunds, and what triggers manual intervention?</t>
  </si>
  <si>
    <t>6.2.27</t>
  </si>
  <si>
    <t>Q0144</t>
  </si>
  <si>
    <t>How are AR/disputes tracked and communicated between accounting, community management, and legal counsel?</t>
  </si>
  <si>
    <t>6.2.28</t>
  </si>
  <si>
    <t>Q0145</t>
  </si>
  <si>
    <t>Historical Data Migration/Validation</t>
  </si>
  <si>
    <t>When transitioning associations from another company/system, how are historical receivable/payment/credit data migrated and validated?</t>
  </si>
  <si>
    <t>6.2.29</t>
  </si>
  <si>
    <t>Q0146</t>
  </si>
  <si>
    <t>Disaster or Incident Adjustments</t>
  </si>
  <si>
    <t>How are assessment leniency rules or payment moratoria applied/systematized after a disaster (e.g., hurricane)?</t>
  </si>
  <si>
    <t>6.2.30</t>
  </si>
  <si>
    <t>Q0147</t>
  </si>
  <si>
    <t>What is the average turnaround for resolving owner-initiated disputes/chargebacks, and how is this tracked?</t>
  </si>
  <si>
    <t>6.2.31</t>
  </si>
  <si>
    <t>Q0148</t>
  </si>
  <si>
    <t>Alternative Payment Methods</t>
  </si>
  <si>
    <t>Has the association explored or implemented alternative payment methods (PayPal, Venmo, crypto, etc.), and what challenges arose?</t>
  </si>
  <si>
    <t>6.2.32</t>
  </si>
  <si>
    <t>Q0149</t>
  </si>
  <si>
    <t>Owner Education &amp; Onboarding</t>
  </si>
  <si>
    <t>What strategies are used to educate new owners on financial obligations and using the AR system (guides, webinars, onboarding, etc.)?</t>
  </si>
  <si>
    <t>6.2.33</t>
  </si>
  <si>
    <t>Q0150</t>
  </si>
  <si>
    <t>6.3</t>
  </si>
  <si>
    <t>Banking</t>
  </si>
  <si>
    <t>Bank account setup / mgmt</t>
  </si>
  <si>
    <t>Which bank is your branch's primary/partner bank? Please list all bank accounts — operating, reserve, lockbox — for each association.</t>
  </si>
  <si>
    <t>Each association typically maintains at least two core bank accounts: an operating account and a reserve account. However, the system supports multiple bank accounts per association, and in practice, associations may have anywhere from two to ten or more accounts depending on requirements. Identifying the primary partner bank is important because it affects integration capabilities and overall implementation complexity.</t>
  </si>
  <si>
    <t>6.3.1</t>
  </si>
  <si>
    <t>Q0151</t>
  </si>
  <si>
    <t>Lockbox bank configuration</t>
  </si>
  <si>
    <t>Which bank(s) handle lockbox payments? Is the lockbox bank the same as your operating bank, or different?</t>
  </si>
  <si>
    <t>Lockbox processing may be handled by a bank that is different from the association’s primary operating bank. The key consideration is identifying which bank processes lockbox payments, as this determines the integration method and configuration requirements. Whether the lockbox bank matches the operating bank is less important than understanding the integration setup for lockbox processing.</t>
  </si>
  <si>
    <t>6.3.2</t>
  </si>
  <si>
    <t>Q0152</t>
  </si>
  <si>
    <t>Bank statement reconciliation</t>
  </si>
  <si>
    <t>How do you complete monthly bank reconciliations — manually, in the system, or a combination? Walk through the steps.</t>
  </si>
  <si>
    <t>After config — Bank reconciliation module in TownSq Business. Cleared items matched against GL; reconciliation completed monthly within the system.  ✓</t>
  </si>
  <si>
    <t>6.3.3</t>
  </si>
  <si>
    <t>Q0153</t>
  </si>
  <si>
    <t>FDIC handling / account limits</t>
  </si>
  <si>
    <t>Do you have a process for managing FDIC insurance limits across association accounts? Describe how funds are structured to stay within limits.</t>
  </si>
  <si>
    <t>Not supported — FDIC insurance limit management (e.g., distributing funds across accounts or CDARS/IntraFi) is not automated in TownSq. Must be managed manually and externally.  ✓</t>
  </si>
  <si>
    <t>6.3.4</t>
  </si>
  <si>
    <t>Q0154</t>
  </si>
  <si>
    <t>Investment / CD tracking</t>
  </si>
  <si>
    <t>Do you track CDs and investments in your accounting system, or in a separate spreadsheet or elsewhere? How do you manage CD maturity dates?</t>
  </si>
  <si>
    <t>Not supported — CD and investment tracking not available as a structured module in TownSq. Investments typically tracked in a spreadsheet or bank portal with JEs posted to GL.  ✓</t>
  </si>
  <si>
    <t>6.3.5</t>
  </si>
  <si>
    <t>Q0155</t>
  </si>
  <si>
    <t>Managing the company’s cash position, liquidity, short-term investments, and banking relationships.</t>
  </si>
  <si>
    <t>Describe your process for managing the company's daily cash position, specifying the tools you use to monitor bank accounts, the person responsible for executing transfers or investments, and your strategy for maximizing interest income.</t>
  </si>
  <si>
    <t>6.3.6</t>
  </si>
  <si>
    <t>Q0156</t>
  </si>
  <si>
    <t>Reconciling client association bank accounts with their financial records.</t>
  </si>
  <si>
    <t>Could you detail your Bank Reconciliation (Client) process, highlighting inputs, validations, approvals, and outputs? Note the role of the manager vs. specialists, tools used, and how the process adapts for edge cases or exceptions.</t>
  </si>
  <si>
    <t>6.3.7</t>
  </si>
  <si>
    <t>Q0157</t>
  </si>
  <si>
    <t>Remote deposit capture (RDC)</t>
  </si>
  <si>
    <t>Do any of your branches still receive physical checks from homeowners? If so, do you use remote deposit capture to deposit them? Describe the scanning, deposit, and reconciliation steps.</t>
  </si>
  <si>
    <t>6.3.8</t>
  </si>
  <si>
    <t>Q0158</t>
  </si>
  <si>
    <t>Sweep accounts &amp; overnight investment</t>
  </si>
  <si>
    <t>Do any of your associations use bank sweep accounts that automatically invest overnight balances? If so, how are sweep transactions handled in the bank reconciliation?</t>
  </si>
  <si>
    <t>6.3.9</t>
  </si>
  <si>
    <t>Q0159</t>
  </si>
  <si>
    <t xml:space="preserve">  ↳ Banking Relationships &amp; Account Setup</t>
  </si>
  <si>
    <t>What happens when an association switches banks mid-year — how are AR records, payment routing, and bank integrations updated?</t>
  </si>
  <si>
    <t>When an association switches banks, the existing bank account is not deleted in the system but instead marked as inactive, preserving all historical records. A new bank account is then added, and all future transactions, including AR and payables, are directed to this new account. Payment routing updates involve linking direct debit withdrawals to the new account, ensuring check issuance systems like Strongroom use the correct account, and updating lockbox configurations so incoming payments are matched to the new bank account. For integrations, partner banks provide new login credentials that automatically link to the system, while non-partner banks are set up manually. Existing AR records remain unchanged and continue to reflect past activity tied to the old account.</t>
  </si>
  <si>
    <t>6.3.10</t>
  </si>
  <si>
    <t>Q0160</t>
  </si>
  <si>
    <t>What is the process for opening a new bank account for an association — who initiates, who approves, and how are bank details entered into the system?</t>
  </si>
  <si>
    <t xml:space="preserve">The process begins at the branch level, where roles such as the controller or accounting manager initiate the bank account opening by submitting a request to the bank. Once the bank confirms that the account has been opened, the branch receives the bank account details and submits a help desk ticket. The help desk is responsible for setting up the bank account within C3 or Town Square Business Accounting. This setup is not entirely standardized, as some branches may have direct access to the bank maintenance module depending on their role-based permissions configured within C3, while others rely entirely on the help desk for setup.
</t>
  </si>
  <si>
    <t>6.3.11</t>
  </si>
  <si>
    <t>Q0161</t>
  </si>
  <si>
    <t>How are signatory authorities managed across association bank accounts — who has signing authority and how is that updated when board members change?</t>
  </si>
  <si>
    <t>Signatory authority is managed directly by the bank rather than within Town Square systems. The bank maintains the official record of who is authorized to sign on the account, and any updates to signatory authority—such as when board members change—must be handled directly with the bank. In some cases, updates can be performed digitally using tools like electronic signature forms. Within the system, signatures may be uploaded into tools like Strongroom for use in processes such as check printing, but there is no dedicated system interface for managing signatory changes. Operationally, signing authority typically resides with management company personnel rather than board members.</t>
  </si>
  <si>
    <t>6.3.12</t>
  </si>
  <si>
    <t>Q0162</t>
  </si>
  <si>
    <t>Cash Management &amp; Investments</t>
  </si>
  <si>
    <t>How are investment transactions (CD purchases, interest income, maturities) recorded in the system — posted to a dedicated investment account in the GL?</t>
  </si>
  <si>
    <t>TBD — confirm with TownSq product team</t>
  </si>
  <si>
    <t>6.3.13</t>
  </si>
  <si>
    <t>Q0163</t>
  </si>
  <si>
    <t>Bank Reconciliation</t>
  </si>
  <si>
    <t>Do you have automatic bank reconciliation — is it a bank feed integration, BAI2 file import, or a fully manual process?</t>
  </si>
  <si>
    <t>6.3.14</t>
  </si>
  <si>
    <t>Q0164</t>
  </si>
  <si>
    <t xml:space="preserve">  ↳ Bank Reconciliation</t>
  </si>
  <si>
    <t>Who signs off on completed bank reconciliations — is there a secondary reviewer or approval step before the reconciliation is considered final?</t>
  </si>
  <si>
    <t>Bank reconciliations are completed within the system using a dedicated reconciliation module. Transactions from bank statements are matched against general ledger entries and cleared systematically. While some manual review may still be required depending on the bank integration, the process is largely system-driven and conducted on a regular monthly cycle</t>
  </si>
  <si>
    <t>6.3.15</t>
  </si>
  <si>
    <t>Q0165</t>
  </si>
  <si>
    <t>Transfers &amp; Fraud Controls</t>
  </si>
  <si>
    <t>How are inter-account transfers executed and what fraud controls are in place?</t>
  </si>
  <si>
    <t>6.3.16</t>
  </si>
  <si>
    <t>Q0166</t>
  </si>
  <si>
    <t xml:space="preserve">  ↳ Transfers &amp; Fraud Controls</t>
  </si>
  <si>
    <t>What dual-control or positive pay controls are in place for outgoing wire transfers and ACH disbursements?</t>
  </si>
  <si>
    <t>Controls such as dual authorization or positive pay are configured at the bank level rather than within Town Square. Wire transfers cannot be executed directly through the Town Square system and require users to log into the bank’s online portal, where bank-level security measures like multi-factor authentication apply. For ACH disbursements, Town Square can facilitate transactions for partner banks, but broader security controls are still governed by the bank. Overall, Town Square does not provide built-in workflows for dual control or advanced payment safeguards; these controls depend on the bank’s configuration.</t>
  </si>
  <si>
    <t>6.3.17</t>
  </si>
  <si>
    <t>Q0167</t>
  </si>
  <si>
    <t>Autopay Handoff &amp; Banking Changes</t>
  </si>
  <si>
    <t>When a new bank account is set up, what is the process for updating routing and account numbers across all affected payment channels — lockbox, ACH, coupon books, homeowner portal?</t>
  </si>
  <si>
    <t>6.3.18</t>
  </si>
  <si>
    <t>Q0168</t>
  </si>
  <si>
    <t>Integrations &amp; Pain Points</t>
  </si>
  <si>
    <t>What is the integration between your banking portal(s) and your property management system — real-time, daily file feed, or manual?</t>
  </si>
  <si>
    <t>6.3.19</t>
  </si>
  <si>
    <t>Q0169</t>
  </si>
  <si>
    <t>Are there associations where banking is still managed outside your core platform — e.g., separate online banking portals with no system integration?</t>
  </si>
  <si>
    <t>RC - Yes. Some associations still manage banking outside of the core platform. If an association uses a bank that is not integrated, users must log in to that bank’s separate online portal with no system-to-system connection. Currently, integrations exist with Alliance, Columbia, FCB, Banc of California, and Sunwest. For all other banks, activity must be managed outside of C3</t>
  </si>
  <si>
    <t>6.3.20</t>
  </si>
  <si>
    <t>Q0170</t>
  </si>
  <si>
    <t>What are the biggest pain points in your bank reconciliation or cash management process today?</t>
  </si>
  <si>
    <t>RC - Automated bank reconciliation is still in development. The intended functionality will match system transactions to bank statement records, but it is not fully available yet.
Additionally, the ability to manually upload bank statements is being built, but currently only certain banks are supported and additional development is still required, which indicates incomplete coverage and functionality.</t>
  </si>
  <si>
    <t>6.3.21</t>
  </si>
  <si>
    <t>Q0171</t>
  </si>
  <si>
    <t>6.4</t>
  </si>
  <si>
    <t>General Ledger / Financial Ops</t>
  </si>
  <si>
    <t>Chart of accounts structure</t>
  </si>
  <si>
    <t>Is your branch using a standard chart of accounts across all associations, or does each association have its own customized COA?</t>
  </si>
  <si>
    <t>Associa uses a standardized chart of accounts across associations. During onboarding, all incoming branches and associations are mapped to this common COA structure as part of the implementation process. While legacy systems may have variations, the expectation is to normalize everything to the standard COA to ensure consistency in reporting and financial operations.</t>
  </si>
  <si>
    <t>6.4.1</t>
  </si>
  <si>
    <t>Q0172</t>
  </si>
  <si>
    <t>Accounting method</t>
  </si>
  <si>
    <t>Which accounting method do you currently use — Cash, Modified Cash, Modified Accrual, or Full Accrual? Does this vary by association?</t>
  </si>
  <si>
    <t>The standard accounting method used by Associa is modified accrual. While the system supports other methods such as cash or modified cash, these are not recommended and are used only in limited cases. In most scenarios, new associations are onboarded directly into modified accrual to avoid the complexity of converting accounting methods later.</t>
  </si>
  <si>
    <t>6.4.2</t>
  </si>
  <si>
    <t>Q0173</t>
  </si>
  <si>
    <t>Recurring journal entries</t>
  </si>
  <si>
    <t>Does your branch use recurring journal entries? If yes, give examples — prepaid insurance, management fee accruals, etc.</t>
  </si>
  <si>
    <t>Recurring journal entries are a standard practice across associations and are widely used. Common examples include prepaid insurance amortization, management fee accrals, and other routine accounting postings. These entries are typically configured to run automatically on a schedule, making this a standard and expected capability in financial operations</t>
  </si>
  <si>
    <t>6.4.3</t>
  </si>
  <si>
    <t>Q0174</t>
  </si>
  <si>
    <t>Monthly financial package</t>
  </si>
  <si>
    <t>How do you generate monthly financials — one report at a time or as a full package? What reports are included in the standard package?</t>
  </si>
  <si>
    <t>Monthly financials are generated as a standardized reporting package that typically includes the balance sheet, income statement, accounts receivable aging, accounts payable aging, and bank reconciliation reports. While the base package structure is standardized, associations can customize the contents or formats of specific reports, such as delinquency or income statement layouts, based on board preferences.</t>
  </si>
  <si>
    <t>6.4.4</t>
  </si>
  <si>
    <t>Q0175</t>
  </si>
  <si>
    <t>Year-end close process</t>
  </si>
  <si>
    <t>How do you complete year-end processing? What are the key steps, who is involved, and what is the typical timeline?</t>
  </si>
  <si>
    <t>After config — Year-end close process supported in TownSq. Retained earnings roll, period close, and next-year opening all within the system. Policy guidance available on Associa intranet.  ~</t>
  </si>
  <si>
    <t>6.4.5</t>
  </si>
  <si>
    <t>Q0176</t>
  </si>
  <si>
    <t>Audit journal entries</t>
  </si>
  <si>
    <t>What is your process for posting audit entries — do you post to the current year or reopen the prior year? Who approves audit JEs?</t>
  </si>
  <si>
    <t>Partial — Audit journal entries can be posted in TownSq. Prior-year reopening is supported but requires admin unlock; policy governs whether current-year or prior-year entry is used.  ~ confirm Associa policy</t>
  </si>
  <si>
    <t>6.4.6</t>
  </si>
  <si>
    <t>Q0177</t>
  </si>
  <si>
    <t>Reserve balance tracking in GL</t>
  </si>
  <si>
    <t>How are reserve fund balances represented in the GL? Are they tracked in a separate reserve fund or within the operating GL?</t>
  </si>
  <si>
    <t>After config — Reserve fund balances tracked through dedicated reserve GL accounts. Separate fund reporting available.  ✓</t>
  </si>
  <si>
    <t>6.4.7</t>
  </si>
  <si>
    <t>Q0178</t>
  </si>
  <si>
    <t>Month-end close checklist enforcement</t>
  </si>
  <si>
    <t>Is there a formal month-end close checklist with mandatory steps before a period is locked? Who enforces it, and what happens if a step is missed or skipped?</t>
  </si>
  <si>
    <t>6.4.8</t>
  </si>
  <si>
    <t>Q0179</t>
  </si>
  <si>
    <t>Accrual reversals</t>
  </si>
  <si>
    <t>When accruals are posted at month-end (e.g., accrued interest, prepaid insurance amortization), are the reversals automated in the following period or manually entered?</t>
  </si>
  <si>
    <t>6.4.9</t>
  </si>
  <si>
    <t>Q0180</t>
  </si>
  <si>
    <t>Core GL Systems &amp; Platforms</t>
  </si>
  <si>
    <t>What role does the Corporate Accounting department perform in GL ownership vs. branch-level accounting teams?</t>
  </si>
  <si>
    <t>Corporate GL and Client GL are clearly seperate.
Corporate accounting and client (association) accounting operate on completely separate general ledgers, with no direct technical dependency or enforcement between them. Corporate accounting is managed within an ERP system (Dynamics 365 at Associa), while association-level accounting is handled within the property management accounting platform. There is no system-driven requirement for branches to follow corporate GL structures; instead, standardization is achieved through best practices and operational governance. As clarified during the discussion, this separation exists because corporate financials represent the management company, whereas association financials represent individual communities, making them fundamentally different accounting domains. [FinOps Rub...Continued | Word]</t>
  </si>
  <si>
    <t>6.4.10</t>
  </si>
  <si>
    <t>Q0181</t>
  </si>
  <si>
    <t xml:space="preserve">  ↳ Core GL Systems &amp; Platforms</t>
  </si>
  <si>
    <t>What is the primary system of record for the General Ledger — is it your property management platform (e.g., Jenark, Caliber, TOPS, Vantaca), a standalone ERP (e.g., Sage Intacct, NetSuite), or a combination?</t>
  </si>
  <si>
    <t>The system of record is split between corporate and client accounting. Corporate accounting is maintained in an ERP system (Dynamics 365), while association-level general ledgers reside within the property management accounting platform. This dual-system setup is intentional, as corporate accounting requirements differ significantly from HOA/client accounting. During the discussion, it was highlighted that this distinction becomes important in migration scenarios, as the corporate book of record must be aligned with ERP standards before client accounting transitions can be effectively executed.</t>
  </si>
  <si>
    <t>6.4.11</t>
  </si>
  <si>
    <t>Q0182</t>
  </si>
  <si>
    <t>Is the GL maintained within a single platform across all associations and portfolios, or are there multiple systems in use due to acquisitions, regional differences, or legacy contracts?</t>
  </si>
  <si>
    <t>General ledger systems vary across organizations, with some using standalone ERP systems (such as Sage or Dynamics) and others embedding corporate accounting within property management platforms. Migration is significantly easier when the source organization already uses an ERP system, as the transition aligns with Associa’s corporate accounting model. However, when corporate accounting is embedded within a property management system, migration becomes more complex because the corporate books must first be separated and rebuilt within an ERP structure, along with re-establishing integrations such as invoicing and revenue flows. This distinction is a critical driver of implementation complexity.</t>
  </si>
  <si>
    <t>6.4.12</t>
  </si>
  <si>
    <t>Q0183</t>
  </si>
  <si>
    <t xml:space="preserve">  ↳ Chart of Accounts Structure &amp; Governance</t>
  </si>
  <si>
    <t>Who holds responsibility for maintaining changes or edits to the chart of accounts — is there a central owner or is it managed branch by branch?</t>
  </si>
  <si>
    <t>General ledger governance is centralized to ensure consistency and prevent uncontrolled expansion. In shared service center models, branches have limited authority to modify GL structures and must submit requests for changes such as renaming accounts or introducing new configurations. Even in decentralized branch models, best practice is to restrict GL changes to a small group of knowledgeable users to maintain control. The level of control depends on the operating model—shared service centers enforce stricter governance, while independent branches maintain some flexibility but are still expected to follow standardized practices to avoid “GL sprawl.”</t>
  </si>
  <si>
    <t>6.4.13</t>
  </si>
  <si>
    <t>Q0184</t>
  </si>
  <si>
    <t>Do you utilize sub-accounts within any of your charts of accounts? If so, what is the typical structure and how many levels deep?</t>
  </si>
  <si>
    <t>Sub-accounts are generally discouraged and are not part of the standard chart of accounts structure. Instead, segmentation is achieved using alternative constructs such as departments and projects, which allow for reporting across dimensions like buildings, funds, or operational areas. If a branch relies heavily on sub-accounts, it is treated as a complexity indicator during migration, requiring additional effort to map those structures into the preferred departmental model. The presence of deep sub-account hierarchies often signals more complex accounting requirements and necessitates careful analysis during onboarding.</t>
  </si>
  <si>
    <t>6.4.14</t>
  </si>
  <si>
    <t>Q0185</t>
  </si>
  <si>
    <t>How are new GL accounts requested, approved, and activated? Is there a formal change control process or is it ad hoc?</t>
  </si>
  <si>
    <t>There is a formal governance process for requesting new GL accounts. When a branch requests a new account, subject matter experts review the request to determine whether an existing account within the standard COA can fulfill the need. Given the large superset of approximately 2,000 accounts, most requirements can be met without creating new accounts. Only when no suitable match exists is a new account introduced. This process ensures consistency, avoids duplication, and reinforces disciplined management of the chart of accounts.</t>
  </si>
  <si>
    <t>6.4.15</t>
  </si>
  <si>
    <t>Q0186</t>
  </si>
  <si>
    <t>How is the CoA structured to support fund accounting — operating fund, reserve fund, special assessment fund — at the association level?</t>
  </si>
  <si>
    <t>Fund accounting is implemented through a departmental structure rather than sub-accounts. By default, every association is configured with at least two funds: an operating fund and a reserve fund. Additional funds can be created for specific purposes such as special assessments or project-based tracking. These departments enable clear financial segmentation and reporting without increasing GL complexity. The discussion also clarified that multiple reserve or project-specific funds can exist within an association, with each tracked separately for inflows and outflows.
Follow-Up Question: How are inter-fund transfers handled and controlled?
Answer: Inter-fund transfers typically involve moving cash between bank accounts, such as transferring funds from operating to reserve accounts. These are recorded in the general ledger through journal entries and executed through banking transactions. However, they are not purely manual; they are governed by approval workflows within the accounts payable system. Transfers above defined thresholds require approval (for example, from a branch manager), after which the transaction is executed, often via ACH. This ensures appropriate financial control and auditability of fund movements</t>
  </si>
  <si>
    <t>6.4.16</t>
  </si>
  <si>
    <t>Q0187</t>
  </si>
  <si>
    <t>Is there a corporate-level standardized CoA template that all associations are expected to map to? How is compliance with that standard enforced?</t>
  </si>
  <si>
    <t>Yes, Associa maintains a corporate-level standardized chart of accounts that all associations are expected to map to during onboarding. This standard consists of a comprehensive superset of approximately 2,000 predefined GL accounts, designed to cover all potential use cases across associations. Rather than allowing branches to create independent COA structures, the onboarding process requires mapping legacy accounts to this standardized template, ensuring consistency across the portfolio. [FinOps Rub...Continued | Word]
Compliance with this standard is enforced primarily through the implementation and governance process rather than strict system-level constraints. During onboarding, the implementation team performs detailed mapping from the branch’s legacy COA to the standard Associa COA, and new accounts are only introduced after expert review confirms that no existing account can serve the purpose. Additionally, governance controls—especially in shared service center models—limit the ability of branches to independently modify the COA, requiring centralized approval for changes. [FinOps Rub...Continued | Word]
Follow-up discussion further clarified that while there is some limited flexibility (such as renaming account labels or activating/deactivating accounts), the underlying GL codes and structure remain fixed, reinforcing compliance with the standard. Deviations from this model (as seen in prior cases like Castle) have led to operational challenges, which is why current and future onboarding efforts emphasize strict adherence to the standardized COA.</t>
  </si>
  <si>
    <t>6.4.17</t>
  </si>
  <si>
    <t>Q0188</t>
  </si>
  <si>
    <t xml:space="preserve">  ↳ Month-End &amp; Period Close</t>
  </si>
  <si>
    <t>What is the designated day of the month by which financials are due?</t>
  </si>
  <si>
    <t>Financial close timing is fully configurable and varies across associations. Rather than enforcing a single close date, workloads are distributed across the month to balance operational capacity, especially given the scale of thousands of associations. Financial statement preparation is staggered across a range (typically from early to mid-month), although some associations may have priority deadlines based on contractual agreements. This staggered approach is essential to operational scalability and avoids bottlenecks in the closing process.</t>
  </si>
  <si>
    <t>6.4.18</t>
  </si>
  <si>
    <t>Q0189</t>
  </si>
  <si>
    <t>Are there any associations with fiscal year ends that deviate from the standard calendar year-end (non-December)? How many?</t>
  </si>
  <si>
    <t>There is no mandated fiscal year across associations. While a majority of associations follow a calendar year for simplicity, others use different fiscal year cycles based on their formation or operational needs. Supporting varied fiscal years does not fundamentally change accounting processes but introduces additional complexity in reporting timelines and workload distribution. The system fully supports this variability, but it is treated as a complexity factor during operations and implementation.</t>
  </si>
  <si>
    <t>6.4.19</t>
  </si>
  <si>
    <t>Q0190</t>
  </si>
  <si>
    <t>Financial Reporting</t>
  </si>
  <si>
    <t>How is consolidated financial reporting handled across multiple associations — can the GL produce roll-up reports, or is that done in Excel?</t>
  </si>
  <si>
    <t>RC: The GL provides built-in consolidated reports (balance sheet, income statement, GL, AP). Users group communities and generate roll-ups directly in the system; Excel is not required. [Ronald Chu...iority Q&amp;A | Word]</t>
  </si>
  <si>
    <t>6.4.20</t>
  </si>
  <si>
    <t>Q0191</t>
  </si>
  <si>
    <t>Are there any special or custom reports offered to clients outside the standard package?</t>
  </si>
  <si>
    <t>RC: A report package builder allows combining standard reports. User-defined reports are available but export raw data to Excel for further manipulation</t>
  </si>
  <si>
    <t>6.4.21</t>
  </si>
  <si>
    <t>Q0192</t>
  </si>
  <si>
    <t>What is the process for the Community Association Manager (CAM) to review financials? Is there a formal financial approval workflow?</t>
  </si>
  <si>
    <t>RC - A monthly workflow is automatically generated. The accountant uploads financial statements, which are routed to the CAM for review. The CAM reviews the full PDF in-system and can approve or reject it. If rejected, it is sent back to the accountant for corrections.</t>
  </si>
  <si>
    <t>6.4.22</t>
  </si>
  <si>
    <t>Q0193</t>
  </si>
  <si>
    <t>Are there any spreadsheets or offline schedules prepared as part of the financial reporting process that exist outside the GL system?</t>
  </si>
  <si>
    <t>RC - No answer found in transcript.</t>
  </si>
  <si>
    <t>6.4.23</t>
  </si>
  <si>
    <t>Q0194</t>
  </si>
  <si>
    <t>Are there any specific municipality or state-level requirements for financial reporting that your GL system supports or struggles with?</t>
  </si>
  <si>
    <t>6.4.24</t>
  </si>
  <si>
    <t>Q0195</t>
  </si>
  <si>
    <t xml:space="preserve">  ↳ Fund Accounting &amp; Multi-Entity Structure</t>
  </si>
  <si>
    <t>How are inter-fund transfers recorded and controlled — is there a system workflow, or is it a manual journal entry with no automated guardrails?</t>
  </si>
  <si>
    <t>Inter-fund transfers vary depending on whether the bank is a partner. For partner banks, transfers can be initiated within C3, but access to perform these actions is restricted through permissions. For non-partner banks, transfers are executed through external online banking platforms, typically requiring a second approver. Regardless of how the transfer is executed, the accounting treatment is manual: journal entries must be manually created in C3, as there is no automated linkage between bank transactions and GL postings. Additionally, there are no automated rules or guardrails, such as thresholds or triggers, governing these transfers.</t>
  </si>
  <si>
    <t>6.4.25</t>
  </si>
  <si>
    <t>Q0196</t>
  </si>
  <si>
    <t>How is the GL structured to handle multi-association reporting — is each association a separate entity/company, or are they tracked via segments?</t>
  </si>
  <si>
    <t>The subject matter expert explicitly stated that they were not sure about how the general ledger is structured for multi-association reporting and suggested that they would need to follow up or find the information separately.</t>
  </si>
  <si>
    <t>6.4.26</t>
  </si>
  <si>
    <t>Q0197</t>
  </si>
  <si>
    <t>How are developer-controlled associations handled in the GL — are they set up differently from homeowner-controlled associations, and what changes at turnover?</t>
  </si>
  <si>
    <t>Developer-controlled associations are generally not treated differently from homeowner-controlled associations in the general ledger. The setup process remains consistent, with units (lots) created in the system as they are developed. The only distinction arises when there are developer-specific financial responsibilities; in such cases, a separate GL account may be created to track expenses attributable to the developer. Outside of this scenario, there is no special handling or structural difference in the GL for developer-controlled associations.</t>
  </si>
  <si>
    <t>6.4.27</t>
  </si>
  <si>
    <t>Q0198</t>
  </si>
  <si>
    <t>Integrations &amp; Data Flows</t>
  </si>
  <si>
    <t>How does your property management system and AP/invoice workflow tool linkage work for GL coding and funding selection?</t>
  </si>
  <si>
    <t>6.4.28</t>
  </si>
  <si>
    <t>Q0199</t>
  </si>
  <si>
    <t xml:space="preserve"> Integrations &amp; Data Flows</t>
  </si>
  <si>
    <t>How does data flow from AP, AR, payroll, and banking into the GL — real-time posting, scheduled batch sync, or manual journal entry import?</t>
  </si>
  <si>
    <t>RC - Accounts payable data syncs daily on a scheduled basis (not real-time), with automatic journal entries created. Payroll is typically handled via manual journal entry imports or templates. AR and banking flows were not explicitly detailed.</t>
  </si>
  <si>
    <t>6.4.29</t>
  </si>
  <si>
    <t>Q0200</t>
  </si>
  <si>
    <t>When a new association is onboarded, what is the process for setting up its GL entity, CoA, fund structure, and opening balances?</t>
  </si>
  <si>
    <t>RC - An onboarding tool is used to import associations, homeowners, unit types, units, recurring charges, and chart of accounts into the system</t>
  </si>
  <si>
    <t>6.4.30</t>
  </si>
  <si>
    <t>Q0201</t>
  </si>
  <si>
    <t xml:space="preserve"> Journal Entry Management</t>
  </si>
  <si>
    <t>What is the workflow for creating and approving a journal entry — who initiates, who reviews, and who has final posting authority?</t>
  </si>
  <si>
    <t xml:space="preserve">RC - The system supports an approval process where journal entries remain locked until a secondary approval is given. If approval is not required, entries can be automatically posted upon creation. </t>
  </si>
  <si>
    <t>6.4.31</t>
  </si>
  <si>
    <t>Q0202</t>
  </si>
  <si>
    <t>Is there a system-enforced approval workflow for JEs above a certain dollar threshold, or does that control exist only in policy?</t>
  </si>
  <si>
    <t>RC - The system does not support dollar-threshold-based approvals. Approval can only be configured as required for all journal entries or not used at all.</t>
  </si>
  <si>
    <t>6.4.32</t>
  </si>
  <si>
    <t>Q0203</t>
  </si>
  <si>
    <t>How are journal entry errors corrected — is there a reversing JE capability, and how are prior-period corrections handled?</t>
  </si>
  <si>
    <t xml:space="preserve">RC - The system supports reversing journal entries. Entries can be edited if the accounting period is open. If the period is closed, it must be reopened to make corrections; otherwise, entries remain view-only. </t>
  </si>
  <si>
    <t>6.4.33</t>
  </si>
  <si>
    <t>Q0204</t>
  </si>
  <si>
    <t>Pain Points, Gaps &amp; Governance</t>
  </si>
  <si>
    <t>Where do you see the most manual effort or workarounds in your current GL process — what is the system not handling well today?</t>
  </si>
  <si>
    <t>6.4.34</t>
  </si>
  <si>
    <t>Q0205</t>
  </si>
  <si>
    <t>Are there known data integrity or reconciliation issues between the GL and sub-ledgers (AP, AR, banking) that require regular manual correction?</t>
  </si>
  <si>
    <t>6.4.35</t>
  </si>
  <si>
    <t>Q0206</t>
  </si>
  <si>
    <t>6.5</t>
  </si>
  <si>
    <t>Budgeting</t>
  </si>
  <si>
    <t>Budget creation workflow</t>
  </si>
  <si>
    <t>Who enters the proposed budget for each association — the manager, an admin, or an accountant? What system is used?</t>
  </si>
  <si>
    <t>After config — Budget entry module in TownSq Business. Budgets entered by line item per GL account. Manager or admin can enter; workflow varies by branch.  ✓</t>
  </si>
  <si>
    <t>6.5.1</t>
  </si>
  <si>
    <t>Q0207</t>
  </si>
  <si>
    <t>Board revision process</t>
  </si>
  <si>
    <t>How does the board review and provide input on the proposed budget? How many revision cycles typically happen before approval?</t>
  </si>
  <si>
    <t>Partial — Board revision process is typically offline (spreadsheet shared with board); revised figures then re-entered in TownSq. No native board-collaborative budget revision workflow.  ~</t>
  </si>
  <si>
    <t>6.5.2</t>
  </si>
  <si>
    <t>Q0208</t>
  </si>
  <si>
    <t>Budget finalization / submission</t>
  </si>
  <si>
    <t>What is the process to finalize and submit an approved budget? Is there a proof of mailing requirement?</t>
  </si>
  <si>
    <t>After config — Budget finalisation and lock-in within TownSq. Locked budgets feed budget-vs-actual reporting.  ✓</t>
  </si>
  <si>
    <t>6.5.3</t>
  </si>
  <si>
    <t>Q0209</t>
  </si>
  <si>
    <t>Budget vs. actual reporting</t>
  </si>
  <si>
    <t>Do you produce budget vs. actual reports for associations? How often and who receives them?</t>
  </si>
  <si>
    <t>After config — Budget vs. actual reporting native in TownSq financial package. Monthly variance reporting available.  ✓</t>
  </si>
  <si>
    <t>6.5.4</t>
  </si>
  <si>
    <t>Q0210</t>
  </si>
  <si>
    <t>Determines funds needed to cover shortfalls between projected income and actual expenses during development phases.</t>
  </si>
  <si>
    <t>What about Deficit Funding – could you talk about that capability and how it works today?</t>
  </si>
  <si>
    <t>6.5.5</t>
  </si>
  <si>
    <t>Q0211</t>
  </si>
  <si>
    <t>Managing key financial deadlines, reporting cycles, and compliance dates for client associations.</t>
  </si>
  <si>
    <t>For Financial Calendar Management, outline the lifecycle from request/trigger to final outcome. Identify who owns each step, what artifacts are produced (forms, reports, notifications), SLAs, and how you track status and metrics.</t>
  </si>
  <si>
    <t>6.5.6</t>
  </si>
  <si>
    <t>Q0212</t>
  </si>
  <si>
    <t>Supports seasonal budget allocation and in-month adjustments.</t>
  </si>
  <si>
    <t>How do you handle seasonal budget allocations and adjustments?</t>
  </si>
  <si>
    <t>6.5.7</t>
  </si>
  <si>
    <t>Q0213</t>
  </si>
  <si>
    <t>Board budget presentation &amp; approval workflow</t>
  </si>
  <si>
    <t>Before the budget is finalized, how is the draft presented to the board for markup, revision, and final vote? Is this done inside your property management platform or in a separately shared document?</t>
  </si>
  <si>
    <t>6.5.8</t>
  </si>
  <si>
    <t>Q0214</t>
  </si>
  <si>
    <t>Reserve contribution calculation from reserve study</t>
  </si>
  <si>
    <t>How is the annual reserve contribution amount in the budget calculated? Is it pulled directly from the reserve study, manually entered, or recommended by the software?</t>
  </si>
  <si>
    <t>6.5.9</t>
  </si>
  <si>
    <t>Q0215</t>
  </si>
  <si>
    <t>Multi-year capital budget planning</t>
  </si>
  <si>
    <t>Does your branch maintain a multi-year capital expenditure plan alongside the annual operating budget? If so, how is it tracked and how does it relate to the reserve study?</t>
  </si>
  <si>
    <t>6.5.10</t>
  </si>
  <si>
    <t>Q0216</t>
  </si>
  <si>
    <t>Budget Development Process</t>
  </si>
  <si>
    <t>What are the key roles and responsibilities of the community manager and board treasurer in the budget development process?</t>
  </si>
  <si>
    <t>6.5.11</t>
  </si>
  <si>
    <t>Q0217</t>
  </si>
  <si>
    <t xml:space="preserve"> Budget Development Process</t>
  </si>
  <si>
    <t>How is the use of a reserve study incorporated into the annual budget development process?</t>
  </si>
  <si>
    <t>RC - The system is currently developing a new feature called the “smart budget.” This feature will allow users to upload a reserve study document directly into the system. Once uploaded, the user can interact with an AI chat capability and ask it to provide recommendations for budget preparation based on the reserve study. The functionality is still under development and not yet fully implemented.</t>
  </si>
  <si>
    <t>6.5.12</t>
  </si>
  <si>
    <t>Q0218</t>
  </si>
  <si>
    <t>What triggers the annual budget cycle — a set calendar date, the association's fiscal year-end, or a board resolution?</t>
  </si>
  <si>
    <t xml:space="preserve">RC - The system does not enforce a specific trigger such as a calendar date, fiscal year-end, or board resolution. Instead, users can initiate the budget process at any time during the year. The only restriction is that the system allows only one budget per fiscal year. Users can create a budget shell whenever needed and proceed with building the budget from there. </t>
  </si>
  <si>
    <t>6.5.13</t>
  </si>
  <si>
    <t>Q0219</t>
  </si>
  <si>
    <t>Budget Upload &amp; Configuration</t>
  </si>
  <si>
    <t>Can budgets be amended mid-year? If so, what is the approval workflow and how is the original approved budget preserved for audit purposes?</t>
  </si>
  <si>
    <t>6.5.14</t>
  </si>
  <si>
    <t>Q0220</t>
  </si>
  <si>
    <t>Is there a standardized budget template that all associations use, or is each budget customized from scratch?</t>
  </si>
  <si>
    <t>RC - The system provides flexibility by supporting both approaches. Users can utilize predefined default templates provided within the system if they prefer a standardized structure. Alternatively, users can create a budget completely from scratch by setting up a new budget shell and manually adding accounts one by one according to their specific needs</t>
  </si>
  <si>
    <t>6.5.15</t>
  </si>
  <si>
    <t>Q0221</t>
  </si>
  <si>
    <t>Deficit Funding &amp; Developer Communities</t>
  </si>
  <si>
    <t>Is there any differing approval workflow or routing based on expense classification (reserve vs. operating)?</t>
  </si>
  <si>
    <t>6.5.16</t>
  </si>
  <si>
    <t>Q0222</t>
  </si>
  <si>
    <t>How are developer-funded shortfalls tracked and reconciled in the system — is there a dedicated ledger or fund for developer contributions?</t>
  </si>
  <si>
    <t>RC - Developer-funded shortfalls are tracked through a single general ledger account. All developer contributions or shortfall payments are posted to this account.</t>
  </si>
  <si>
    <t>6.5.17</t>
  </si>
  <si>
    <t>Q0223</t>
  </si>
  <si>
    <t>At what point does a developer-controlled association transition to homeowner funding, and what system changes are required at that transition?</t>
  </si>
  <si>
    <t>RC - The transition timing is determined by the association’s governing documents and varies by state.
System changes required are minimal, with the primary update being changing unit types from “developer” to “owner.”</t>
  </si>
  <si>
    <t>6.5.18</t>
  </si>
  <si>
    <t>Q0224</t>
  </si>
  <si>
    <t>Reserve Fund Budgeting</t>
  </si>
  <si>
    <t>How are reserve fund withdrawals authorized and processed — is there a separate approval workflow vs. operating fund expenditures?</t>
  </si>
  <si>
    <t>RC - Within Strong Room, the system allows users to configure approval rules for transactions. Users can define conditions such as requiring a secondary approver for certain transactions—for example, payments from reserve funds. The system supports setting rules based on criteria like transaction type or amount, enabling workflows where reserve fund disbursements require additional approval before a check is generated. This allows organizations to differentiate approval requirements between reserve and operating fund expenditures.</t>
  </si>
  <si>
    <t>6.5.19</t>
  </si>
  <si>
    <t>Q0225</t>
  </si>
  <si>
    <t>Financial Calendar &amp; Compliance</t>
  </si>
  <si>
    <t>How are budget delivery deadlines communicated and tracked across all associations — is there a centralized calendar system?</t>
  </si>
  <si>
    <t>6.5.20</t>
  </si>
  <si>
    <t>Q0226</t>
  </si>
  <si>
    <t>What happens if a board fails to approve a budget before the fiscal year starts — is there a contingency process or prior-year budget rollover?</t>
  </si>
  <si>
    <t xml:space="preserve">RC- If a new budget is not approved before the start of the fiscal year, the system provides a contingency option to copy the prior-year budget into the current year. This prevents financial reports from showing zero values in budget columns and allows operations to continue with a temporary budget until a new one is finalized. The system specifically allows copying only the immediate prior-year budget into the current year. </t>
  </si>
  <si>
    <t>6.5.21</t>
  </si>
  <si>
    <t>Q0227</t>
  </si>
  <si>
    <t>Budget Monitoring, Variance &amp; Reporting</t>
  </si>
  <si>
    <t>How are significant budget variances escalated to boards — is there an automated alert or threshold-based notification?</t>
  </si>
  <si>
    <t>6.5.22</t>
  </si>
  <si>
    <t>Q0228</t>
  </si>
  <si>
    <t>How do community managers access budget performance data — self-service portal, distributed reports, or on-request only?</t>
  </si>
  <si>
    <t>RC - Community managers access budget performance through the income statement, which includes current-year budget vs. actuals. This is reviewed monthly as part of the financial reporting package.</t>
  </si>
  <si>
    <t>6.5.23</t>
  </si>
  <si>
    <t>Q0229</t>
  </si>
  <si>
    <t>Systems &amp; Pain Points</t>
  </si>
  <si>
    <t>What is the primary tool for budget development — property management system, Excel, or a dedicated budgeting platform (e.g., Prophix, Adaptive Insights)?</t>
  </si>
  <si>
    <t>6.5.24</t>
  </si>
  <si>
    <t>Q0230</t>
  </si>
  <si>
    <t>Where are the biggest manual effort points in the budgeting process — data entry, board coordination, reserve study reconciliation, or upload errors?</t>
  </si>
  <si>
    <t>6.5.25</t>
  </si>
  <si>
    <t>Q0231</t>
  </si>
  <si>
    <t>6.6</t>
  </si>
  <si>
    <t>Delinquency</t>
  </si>
  <si>
    <t>Late fee / interest config</t>
  </si>
  <si>
    <t>How are late fees and interest set up in your system? Do any associations have split-date rules or tiered fee structures?</t>
  </si>
  <si>
    <t>Late fees and interest are configured at the association level and can include complex rules such as grace periods, tiered fee structures, split-date calculations, and varying escalation schedules. These configurations differ widely based on association policies and legal requirements, making it important to understand existing setups during onboarding.</t>
  </si>
  <si>
    <t>6.6.1</t>
  </si>
  <si>
    <t>Q0232</t>
  </si>
  <si>
    <t>Delinquency escalation workflow</t>
  </si>
  <si>
    <t>Do you have written collection policies for all associations? Walk through how a delinquent account escalates from first notice to attorney turnover.</t>
  </si>
  <si>
    <t xml:space="preserve"> Delinquency workflows are highly configurable in TownSq (: notice intervals, letter stages, hold flags, and attorney-referral triggers all set per community collection policy. )and vary by association. Each association can define its own status stages, escalation timelines, late fee rules, interest calculations, communication templates, and triggers for attorney or collections involvement. These workflows often depend on local regulations and governing documents, making them complex and highly variable across associations. [Rubric Wor...with Greg | Word]</t>
  </si>
  <si>
    <t>6.6.2</t>
  </si>
  <si>
    <t>Q0233</t>
  </si>
  <si>
    <t>Collection status codes</t>
  </si>
  <si>
    <t>Do you use delinquency status codes? If yes, list the codes — and are they standardized across all associations or customized per community?</t>
  </si>
  <si>
    <t>After config — Delinquency status codes configurable in TownSq. Standardisation across associations is a configuration choice made during onboarding.  ✓</t>
  </si>
  <si>
    <t>6.6.3</t>
  </si>
  <si>
    <t>Q0234</t>
  </si>
  <si>
    <t>Payment plan management</t>
  </si>
  <si>
    <t>Do you offer payment plans to delinquent homeowners? If yes, how are they tracked, monitored, and enforced in the system?</t>
  </si>
  <si>
    <t>After config — Payment plans can be recorded and tracked in TownSq. Plan terms (amount, frequency, duration) entered on the homeowner account; automated monitoring is limited.  ~</t>
  </si>
  <si>
    <t>6.6.4</t>
  </si>
  <si>
    <t>Q0235</t>
  </si>
  <si>
    <t>Attorney turnover process</t>
  </si>
  <si>
    <t>What is your step-by-step process for turning a delinquent account over to an attorney? What data and documents go with the referral?</t>
  </si>
  <si>
    <t>Partial — Attorney turnover is supported via TownSq status codes and document export (account summary, ledger history). No automated data-push to external attorney system.  ~</t>
  </si>
  <si>
    <t>6.6.5</t>
  </si>
  <si>
    <t>Q0236</t>
  </si>
  <si>
    <t>Bankruptcy handling</t>
  </si>
  <si>
    <t>When payments come from a bankruptcy attorney, what is your process for posting those payments and tracking the account?</t>
  </si>
  <si>
    <t>Partial — Bankruptcy payment posting handled manually in TownSq AR. No automated bankruptcy-plan tracking; case management is external.  ~</t>
  </si>
  <si>
    <t>6.6.6</t>
  </si>
  <si>
    <t>Q0237</t>
  </si>
  <si>
    <t>Prior-owner balance handling</t>
  </si>
  <si>
    <t>How are prior-owner (settled owner) accounts with outstanding balances handled in the delinquency process?</t>
  </si>
  <si>
    <t>After config — Prior/settled owner accounts maintained in TownSq with outstanding balance. Delinquency workflow can continue against settled accounts per configuration.  ✓</t>
  </si>
  <si>
    <t>6.6.7</t>
  </si>
  <si>
    <t>Q0238</t>
  </si>
  <si>
    <t>Bad debt write-off process &amp; approval</t>
  </si>
  <si>
    <t>When a delinquent account is deemed uncollectable, what is the approval process for writing it off? How is the written-off balance tracked after write-off in case of future recovery?</t>
  </si>
  <si>
    <t>6.6.8</t>
  </si>
  <si>
    <t>Q0239</t>
  </si>
  <si>
    <t>Payment plan compliance monitoring</t>
  </si>
  <si>
    <t>Once a payment plan is agreed with a homeowner, how is compliance monitored? Does the system automatically flag a missed installment, or is this tracked manually?</t>
  </si>
  <si>
    <t>6.6.9</t>
  </si>
  <si>
    <t>Q0240</t>
  </si>
  <si>
    <t>Collections agency hand-off &amp; recovery tracking</t>
  </si>
  <si>
    <t>When an account goes to a third-party collections agency (not an attorney), how is the balance tracked in your system? How are recovery payments posted when they come back from the agency?</t>
  </si>
  <si>
    <t>6.6.10</t>
  </si>
  <si>
    <t>Q0241</t>
  </si>
  <si>
    <t xml:space="preserve">  ↳ Delinquency Policy &amp; Setup</t>
  </si>
  <si>
    <t>Are there branch fees associated with delinquency processing — and how are they disclosed to associations?</t>
  </si>
  <si>
    <t>Yes, branch-level fees can be associated with delinquency processing, typically in the form of handling or administrative charges that are applied at specific delinquency stages. These fees are triggered based on status transitions within the delinquency workflow, such as when an account reaches a lien stage or requires legal action. For example, a handling fee may be automatically added when a homeowner enters a lien status. In addition to these, standard late fees and interest are charged periodically based on association policies. These configurations are defined at the association level and can vary widely, with no enterprise-wide standardization, meaning both the triggers and fee amounts are customizable.</t>
  </si>
  <si>
    <t>6.6.11</t>
  </si>
  <si>
    <t>Q0242</t>
  </si>
  <si>
    <t>Who configures delinquency thresholds and escalation triggers in the system — is it centrally managed or set per-association?</t>
  </si>
  <si>
    <t>Delinquency thresholds and escalation triggers are configured at the individual community or association level rather than being centrally managed. Each community establishes its own thresholds based on its unique rules and requirements. These configurations are set within the delinquency module in C3. Management of delinquency processes may differ by branch, with some handling it internally and others relying on centralized services, but the configuration itself remains specific to each community.</t>
  </si>
  <si>
    <t>6.6.12</t>
  </si>
  <si>
    <t>Q0243</t>
  </si>
  <si>
    <t>Can delinquency policies vary by association, and if so, where is that configuration maintained — in the system, in a policy document, or both?</t>
  </si>
  <si>
    <t>Delinquency thresholds and escalation triggers are configured at the association level rather than centrally mandated. While branches may define standard templates for consistency, each association has the flexibility to configure thresholds, status transitions, and escalation logic based on its governing rules and legal requirements. This decentralization is necessary due to jurisdictional differences, and as such, there is no single standardized escalation model applied across all associations.</t>
  </si>
  <si>
    <t>6.6.13</t>
  </si>
  <si>
    <t>Q0244</t>
  </si>
  <si>
    <t>Delinquency Processing</t>
  </si>
  <si>
    <t>How frequently are delinquencies processed for clients with annual recurring charges — is processing triggered automatically or manually?</t>
  </si>
  <si>
    <t>Delinquency processing is automated within the system and typically evaluated on a recurring basis (commonly monthly, though configurable based on billing cycles such as annual or quarterly assessments). The system automatically determines whether accounts should advance to the next delinquency status based on defined rules. However, there is a review layer where a centralized delinquency team validates status transitions through a queue-based workflow. While automation handles the majority of processing, manual review ensures accuracy and provides oversight before final escalation actions occur.</t>
  </si>
  <si>
    <t>6.6.14</t>
  </si>
  <si>
    <t>Q0245</t>
  </si>
  <si>
    <t xml:space="preserve">  ↳ Delinquency Processing</t>
  </si>
  <si>
    <t>Are there any exceptions to the standard delinquency processing procedure?</t>
  </si>
  <si>
    <t>Yes, exceptions are supported and are a common part of delinquency management. Accounts can be placed on hold, preventing delinquency processing for a defined period. This may occur due to payment plans, newly onboarded homeowners, delayed billing cycles, or special circumstances such as pending budgets. These holds are managed through system workflows and effectively pause delinquency progression until the hold condition is removed. Exceptions are controlled operationally rather than through rigid system constraints, allowing flexibility to address real-world scenarios.</t>
  </si>
  <si>
    <t>6.6.15</t>
  </si>
  <si>
    <t>Q0246</t>
  </si>
  <si>
    <t>Are there associations with recurring delinquency charges outside a 30-day cycle?</t>
  </si>
  <si>
    <t>Delinquency charges are configurable and can vary based on the billing structure of the association. While many associations follow a monthly evaluation cycle, others may use quarterly, semi-annual, or annual billing with corresponding grace periods. The system supports these variations by allowing configurable evaluation intervals and thresholds, ensuring delinquency processing aligns with the association’s billing model.</t>
  </si>
  <si>
    <t>6.6.16</t>
  </si>
  <si>
    <t>Q0247</t>
  </si>
  <si>
    <t>In the case of a returned payment (NSF), does the branch restart the delinquency process from the beginning or continue from the previous point?</t>
  </si>
  <si>
    <t>When an NSF or payment reversal occurs, the delinquency process typically continues from the existing state rather than restarting. Most NSF events occur shortly after the original payment and therefore do not significantly disrupt status progression. However, in cases such as ACH chargebacks that occur much later (e.g., weeks or months after payment), the system must account for the reversal and may adjust delinquency status accordingly. These scenarios introduce complexity but are handled within the existing workflow rather than triggering a full reset.</t>
  </si>
  <si>
    <t>6.6.17</t>
  </si>
  <si>
    <t>Q0248</t>
  </si>
  <si>
    <t>Are there any owner accounts currently on hold, and how are holds managed in the system?</t>
  </si>
  <si>
    <t>Holds on owner accounts are managed through delinquency status settings within C3 or Town Square Business. When a hold is required, typically based on a manager’s instruction, the account’s status is changed to a predefined category that can prevent actions such as sending letters, accepting payments, or displaying ledger information to the homeowner. These restrictions are reflected both internally and in the Town Square Community portal. Removal of holds can occur through a manual process that resets delinquency statuses based on account balance, but in more complex cases, manual review and intervention are required to ensure accuracy before restoring normal status.</t>
  </si>
  <si>
    <t>6.6.18</t>
  </si>
  <si>
    <t>Q0249</t>
  </si>
  <si>
    <t>How are delinquency notices generated and sent — automated from the system, or manually triggered? What notice types are supported (30-day, 60-day, demand letter)?</t>
  </si>
  <si>
    <t>Delinquency notices are generated automatically based on status transitions within the workflow. Standard documents such as statements and reminders follow a fixed format with limited customization, while more advanced delinquency communications (e.g., lien notices) use configurable templates, often implemented through mail merge functionality. These letters can be customized in content while maintaining required legal formatting. Delivery methods may include standard and certified mail, depending on legal requirements.</t>
  </si>
  <si>
    <t>6.6.19</t>
  </si>
  <si>
    <t>Q0250</t>
  </si>
  <si>
    <t>Collections Escalation &amp; Legal</t>
  </si>
  <si>
    <t>In the absence of a defined escalation path, what is the fallback procedure for handling delinquencies?</t>
  </si>
  <si>
    <t>6.6.20</t>
  </si>
  <si>
    <t>Q0251</t>
  </si>
  <si>
    <t>Under what scenarios would boards pause collections — and what approval is required?</t>
  </si>
  <si>
    <t>RC - No answer found in transcript</t>
  </si>
  <si>
    <t>6.6.21</t>
  </si>
  <si>
    <t>Q0252</t>
  </si>
  <si>
    <t>What is the process for attorney turnover when a collection attorney is replaced or an account is recalled?</t>
  </si>
  <si>
    <t>6.6.22</t>
  </si>
  <si>
    <t>Q0253</t>
  </si>
  <si>
    <t>How is attorney follow-up and status updates managed — is it tracked in the system or outside it?</t>
  </si>
  <si>
    <t xml:space="preserve">RC - No answer found in transcript.
</t>
  </si>
  <si>
    <t>6.6.23</t>
  </si>
  <si>
    <t>Q0254</t>
  </si>
  <si>
    <t>How are lien filings coordinated — does the system generate a lien notice, or is it handled entirely outside the platform?</t>
  </si>
  <si>
    <t>6.6.24</t>
  </si>
  <si>
    <t>Q0255</t>
  </si>
  <si>
    <t>Reporting, Dashboards &amp; Pain Points</t>
  </si>
  <si>
    <t>From the property manager's perspective, what reports or dashboards do you review regularly, and what is your role in the delinquency escalation process in coordination with accounting?</t>
  </si>
  <si>
    <t>6.6.25</t>
  </si>
  <si>
    <t>Q0256</t>
  </si>
  <si>
    <t>What delinquency reports are available in your system — aging by status, collections pipeline, attorney referral log?</t>
  </si>
  <si>
    <t>RC - 
Available delinquency reports include:
Delinquency Status Report (homeowner’s current status)
Delinquency Amount by Charge Type (breakdown of balances)
Delinquency Aging Report (aging by days)</t>
  </si>
  <si>
    <t>6.6.26</t>
  </si>
  <si>
    <t>Q0257</t>
  </si>
  <si>
    <t>Who has visibility into delinquency status — is reporting accessible separately to community managers, boards, and executives?</t>
  </si>
  <si>
    <t>RC - The board has access to homeowner balance summaries via the TownSq Community Reports tab at any time.
Managers can access more detailed delinquency reporting through TownSq Business Accounting.</t>
  </si>
  <si>
    <t>6.6.27</t>
  </si>
  <si>
    <t>Q0258</t>
  </si>
  <si>
    <t>What system manages delinquency workflow end-to-end — native to your property management platform, or a separate collections tool?</t>
  </si>
  <si>
    <t>RC - Delinquency workflow is managed within TownSq Business Accounting (native system). It supports:
Custom delinquency statuses
Automated status changes (based on days outstanding or thresholds)
Mass updates
Automatic reset to “current” when balances fall below thresholds</t>
  </si>
  <si>
    <t>6.6.28</t>
  </si>
  <si>
    <t>Q0259</t>
  </si>
  <si>
    <t>What are the most common manual workarounds in your delinquency process today, and what system limitations drive them?</t>
  </si>
  <si>
    <t>6.6.29</t>
  </si>
  <si>
    <t>Q0260</t>
  </si>
  <si>
    <t>6.7</t>
  </si>
  <si>
    <t>Billing / Coupons / Statements</t>
  </si>
  <si>
    <t>Coupon / statement setup</t>
  </si>
  <si>
    <t>Which third-party vendor does your branch use to mail statements and coupons? How many associations use statements vs. coupons vs. both?</t>
  </si>
  <si>
    <t>After config — Statement and coupon setup in TownSq via third-party mailing vendor integration (e.g., CondoCerts, PrintingForLess). Vendor, billing type, and frequency configured per association.  ✓</t>
  </si>
  <si>
    <t>6.7.1</t>
  </si>
  <si>
    <t>Q0261</t>
  </si>
  <si>
    <t>Billing frequency config</t>
  </si>
  <si>
    <t>How many associations bill monthly, quarterly, semi-annually, and annually? Do any use a non-standard billing cycle?</t>
  </si>
  <si>
    <t>After config — Billing frequency (monthly, quarterly, semi-annual, annual) configured per association in TownSq billing module.  ✓</t>
  </si>
  <si>
    <t>6.7.2</t>
  </si>
  <si>
    <t>Q0262</t>
  </si>
  <si>
    <t>Who reviews and approves the billing proofs before they go to print? What is the sign-off process and timeline?</t>
  </si>
  <si>
    <t>After config — Proof approval is managed through the mailing vendor's portal, triggered from TownSq. Approver designated in settings.  ✓</t>
  </si>
  <si>
    <t>6.7.3</t>
  </si>
  <si>
    <t>Q0263</t>
  </si>
  <si>
    <t>Utility billing</t>
  </si>
  <si>
    <t>Does your branch handle utility billing for any clients? If yes, walk through how the billing file is created and submitted, and at what frequency.</t>
  </si>
  <si>
    <t>After config — Utility billing module available in TownSq for sub-metered or flat-rate utility billing. Requires additional setup and may require add-on module.  ! verify module availability</t>
  </si>
  <si>
    <t>6.7.4</t>
  </si>
  <si>
    <t>Q0264</t>
  </si>
  <si>
    <t>Amenities / developer billing</t>
  </si>
  <si>
    <t>Does your billing system include charges for owner amenities — storage, dock, garage — or developer units? How are those set up?</t>
  </si>
  <si>
    <t>After config — Amenity and developer unit billing configurable in TownSq as special charge types. Setup required per association.  ~</t>
  </si>
  <si>
    <t>6.7.5</t>
  </si>
  <si>
    <t>Q0265</t>
  </si>
  <si>
    <t>Statement inserts / messages</t>
  </si>
  <si>
    <t>Do you include newsletters, inserts, or customized messages with billing statements? Who writes them and how are they added?</t>
  </si>
  <si>
    <t>After config — Statement inserts and custom messages configurable in TownSq billing module. Text set per billing cycle.  ✓</t>
  </si>
  <si>
    <t>6.7.6</t>
  </si>
  <si>
    <t>Q0266</t>
  </si>
  <si>
    <t>Do you have automatic bank reconciliation?</t>
  </si>
  <si>
    <t>Reconciles bank statements; supports manual and auto methods.</t>
  </si>
  <si>
    <t>6.7.7</t>
  </si>
  <si>
    <t>Q0267</t>
  </si>
  <si>
    <t>Billing Setup &amp; Configuration</t>
  </si>
  <si>
    <t>How are assessment rates and billing schedules configured in the system — who sets them up, and what approval is required before they go live?</t>
  </si>
  <si>
    <t>6.7.8</t>
  </si>
  <si>
    <t>Q0268</t>
  </si>
  <si>
    <t>How are mid-year rate changes (assessment increases, special charges) applied to existing billing setups without interrupting active payment arrangements?</t>
  </si>
  <si>
    <t>Mid-year rate changes are managed using charge codes linked to billing and direct debit processes. During each billing cycle, the system evaluates applicable charges to determine what amounts should be withdrawn. Adjustments such as retroactive charges or special assessments are typically applied using import templates, while ongoing changes may involve setting up new recurring charges. Although recurring charges can be modified directly, this approach is not preferred because it requires ongoing manual updates for future billing cycles. As a result, the process includes both system-driven calculations and manual verification to ensure accuracy.</t>
  </si>
  <si>
    <t>6.7.9</t>
  </si>
  <si>
    <t>Q0269</t>
  </si>
  <si>
    <t>How are new homeowners added to the billing cycle when a property is sold — is it triggered by system data or manually added by staff?</t>
  </si>
  <si>
    <t>New homeowners are added through a manual resale process initiated at the branch level within C3 or Town Square Business. A user must input the relevant details, including the effective date of ownership. The system then creates a new account ID for the new homeowner and transfers future recurring charges to this account. The previous owner’s account is not deleted but is retained in a settled state for historical reference. Because the system does not automatically detect ownership changes, this process relies on manual entry and execution by staff.</t>
  </si>
  <si>
    <t>6.7.10</t>
  </si>
  <si>
    <t>Q0270</t>
  </si>
  <si>
    <t>Coupon Management</t>
  </si>
  <si>
    <t>What is the current schedule for sending out billing coupons at the branch?</t>
  </si>
  <si>
    <t>6.7.11</t>
  </si>
  <si>
    <t>Q0271</t>
  </si>
  <si>
    <t>How are coupon books handled for new or existing communities — is there a setup process in the system, and who initiates it?</t>
  </si>
  <si>
    <t>RC - Coupon books are generated within the accounts receivable module by users who have access to the system. There is a dedicated coupons tab where users can create coupon sets. After generating the coupons, users can navigate to the reports section to produce a coupon report for the entire community. The system also integrates directly with printing vendors such as Self Data, Optimal, and INK. Once generated, the coupon file can be automatically exported and sent to the printing company for distribution.</t>
  </si>
  <si>
    <t>6.7.12</t>
  </si>
  <si>
    <t>Q0272</t>
  </si>
  <si>
    <t>What is the use and purpose of coupon booklets, and are there any planned changes to this billing method?</t>
  </si>
  <si>
    <t>RC - Coupon booklets are used to facilitate accurate application of homeowner payments. Homeowners include the coupon when mailing checks, which ensures that the payment is properly matched to the correct unit in the system. 
The transcript does not mention any planned changes to this billing method.</t>
  </si>
  <si>
    <t>6.7.13</t>
  </si>
  <si>
    <t>Q0273</t>
  </si>
  <si>
    <t>Does the welcome letter package for new homeowners include coupon books — how is that coordinated?</t>
  </si>
  <si>
    <t>6.7.14</t>
  </si>
  <si>
    <t>Q0274</t>
  </si>
  <si>
    <t>Statement Management</t>
  </si>
  <si>
    <t>What is the current schedule for sending out billing statements at the branch?</t>
  </si>
  <si>
    <t>6.7.15</t>
  </si>
  <si>
    <t>Q0275</t>
  </si>
  <si>
    <t>What information is included in a standard homeowner statement — charges, payment history, current balance, due date, and payment options?</t>
  </si>
  <si>
    <t>RC - A standard homeowner statement includes multiple data elements: the community name, owner information, and unit number. It displays the last payment date and amount at the top. It provides a detailed listing of all charges with their respective dates, as well as all payments applied to the account. The statement maintains a running balance column showing the current amount owed. It also includes descriptions or reference comments for each transaction. Additionally, the statement outlines payment instructions, including payment methods and where to send payments.</t>
  </si>
  <si>
    <t>6.7.16</t>
  </si>
  <si>
    <t>Q0276</t>
  </si>
  <si>
    <t>How are online statements delivered vs. paper — what is the current split, and is there an active push toward paperless delivery?</t>
  </si>
  <si>
    <t>RC - Homeowners can access their statements and ledger information online through the Town Square Community portal at any time, unless restrictions are applied (such as delinquency status). The system allows toggling online access on or off. While online access is available, the transcript indicates that email and printed statement distribution options exist but must be handled manually. No data is provided regarding the proportion of online versus paper delivery or any formal initiative toward paperless adoption</t>
  </si>
  <si>
    <t>6.7.17</t>
  </si>
  <si>
    <t>Q0277</t>
  </si>
  <si>
    <t>How are undeliverable statements handled — returned mail, bad addresses — and how are homeowner contact records updated?</t>
  </si>
  <si>
    <t>RC - This process is largely dependent on the client’s operational practices. However, when updated contact information becomes available, system users must manually update homeowner records within the account screen. This includes modifying address or phone number fields directly in the system.</t>
  </si>
  <si>
    <t>6.7.18</t>
  </si>
  <si>
    <t>Q0278</t>
  </si>
  <si>
    <t>Financial Statement Delivery to Boards</t>
  </si>
  <si>
    <t>What is included in the monthly FS01 package, how is it prepared and delivered, and how are board questions handled during review meetings?</t>
  </si>
  <si>
    <t>RC - The contents of the FS01 financial package are flexible and determined by the board’s preferences. The system includes a financial report package builder that allows users to select multiple reports and combine them into a single package. These reports can then be generated together and exported as a PDF document for distribution to board members.</t>
  </si>
  <si>
    <t>6.7.19</t>
  </si>
  <si>
    <t>Q0279</t>
  </si>
  <si>
    <t>Who is responsible for delivering financials to clients, and what is the method of delivery — portal, email, or printed packet?</t>
  </si>
  <si>
    <t>RC - Financial statements are automatically delivered via the Town Square Community portal once the CAM has approved them. After approval, the system syncs and uploads the financial package directly to the portal, where it is accessible to board members in a restricted (locked) folder. Email and printed distribution methods are available but must be handled manually, as there is no automated process for those channels.</t>
  </si>
  <si>
    <t>6.7.20</t>
  </si>
  <si>
    <t>Q0280</t>
  </si>
  <si>
    <t>Is there a client-facing portal where boards can access financial statements on-demand — is it native to your platform or a third-party product?</t>
  </si>
  <si>
    <t>RC - Yes, there is a client-facing portal called Town Square Community, which is native to the platform. It allows board members to access financial statements on demand. In addition to finalized financial packages, the portal includes a reports section that provides real-time access to financial data, including detailed breakdowns of income and expense accounts. Board members can filter data by category, account, and date range. This enables proactive monitoring even before formal financial statements are generated.</t>
  </si>
  <si>
    <t>6.7.21</t>
  </si>
  <si>
    <t>Q0281</t>
  </si>
  <si>
    <t>What billing platform(s) are used — is billing fully native to your property management system, or do you use a third-party print/mail vendor (e.g., Outsource Print)?</t>
  </si>
  <si>
    <t>6.7.22</t>
  </si>
  <si>
    <t>Q0282</t>
  </si>
  <si>
    <t>What is the end-to-end data flow for coupon or statement generation — from charge posting in the GL to delivery to the homeowner?</t>
  </si>
  <si>
    <t>6.7.23</t>
  </si>
  <si>
    <t>Q0283</t>
  </si>
  <si>
    <t>What are the biggest pain points in your billing process today — data errors, manual coordination, vendor delays, or proof approval bottlenecks?</t>
  </si>
  <si>
    <t>6.7.24</t>
  </si>
  <si>
    <t>Q0284</t>
  </si>
  <si>
    <t>6.8</t>
  </si>
  <si>
    <t>Supply Charges</t>
  </si>
  <si>
    <t>Ancillary billing visibility</t>
  </si>
  <si>
    <t>How do you view ancillary billings charged to associations — postage, violation letters, system fees? Where does that appear in the system?</t>
  </si>
  <si>
    <t>After config — Ancillary charges (postage, violation letter fees, system-generated charges) visible in TownSq as supply charge billing. Accessible to managers from the association record.  ~</t>
  </si>
  <si>
    <t>6.8.1</t>
  </si>
  <si>
    <t>Q0285</t>
  </si>
  <si>
    <t>Postage charge tracking</t>
  </si>
  <si>
    <t>How are postage charges for physical mailings tracked and billed back to each association?</t>
  </si>
  <si>
    <t>After config — Postage charges tracked and billed in TownSq supply charge module. Posted to association ledger.  ~</t>
  </si>
  <si>
    <t>6.8.2</t>
  </si>
  <si>
    <t>Q0286</t>
  </si>
  <si>
    <t>Violation letter charges</t>
  </si>
  <si>
    <t>Are there charges for generating violation letters — either to the association or the homeowner? How are those tracked and recorded?</t>
  </si>
  <si>
    <t>After config — Violation letter charges auto-generated in TownSq when a violation letter is issued. Charge posted to homeowner or association account per setup.  ✓</t>
  </si>
  <si>
    <t>6.8.3</t>
  </si>
  <si>
    <t>Q0287</t>
  </si>
  <si>
    <t>Types &amp; Setup of Supply Charges</t>
  </si>
  <si>
    <t>What types of supply charges does your organization manage — cable/internet, water/sewer, trash, storage, parking, boat slips, postage, violation letter charges, or other owner-specific pass-through charges?</t>
  </si>
  <si>
    <t>6.8.4</t>
  </si>
  <si>
    <t>Q0288</t>
  </si>
  <si>
    <t>How are supply charges set up in your property management system — as separate charge codes, distinct GL accounts, or as part of the standard fee schedule?</t>
  </si>
  <si>
    <t>RC - Not found (clarification needed on what type of supply charges is being referred to).</t>
  </si>
  <si>
    <t>6.8.5</t>
  </si>
  <si>
    <t>Q0289</t>
  </si>
  <si>
    <t>Who is responsible for configuring and maintaining supply charge rates, and what approval is required when a vendor rate changes?</t>
  </si>
  <si>
    <t>6.8.6</t>
  </si>
  <si>
    <t>Q0290</t>
  </si>
  <si>
    <t>Are supply charges billed at the association level (common area cost allocation) or directly to individual homeowner accounts?</t>
  </si>
  <si>
    <t>6.8.7</t>
  </si>
  <si>
    <t>Q0291</t>
  </si>
  <si>
    <t>Are any supply charges governed by bulk vendor contracts — e.g., bulk cable or internet? If so, how are per-unit charges calculated and who manages the vendor relationship?</t>
  </si>
  <si>
    <t>Bulk vendor–related supply charges are rare, and more information is needed to provide an accurate response</t>
  </si>
  <si>
    <t>6.8.8</t>
  </si>
  <si>
    <t>Q0292</t>
  </si>
  <si>
    <t>Billing &amp; Collection</t>
  </si>
  <si>
    <t>How are supply charges billed to homeowners — included in the regular assessment statement/coupon, or billed on a separate invoice?</t>
  </si>
  <si>
    <t>6.8.9</t>
  </si>
  <si>
    <t>Q0293</t>
  </si>
  <si>
    <t>How are delinquent supply charges handled — do they follow the same late fee and collections workflow as regular assessments, or is there a separate process?</t>
  </si>
  <si>
    <t>RC - Handling depends on charge code configuration. Each charge code defines whether late fees or interest apply. Late fee calculations only include charge codes marked as eligible. If a supply charge should not accrue late fees, it can be configured accordingly.</t>
  </si>
  <si>
    <t>6.8.10</t>
  </si>
  <si>
    <t>Q0294</t>
  </si>
  <si>
    <t>How are supply charge adjustments or credits issued to homeowners — what system steps are involved and who has authority to approve them?</t>
  </si>
  <si>
    <t>6.8.11</t>
  </si>
  <si>
    <t>Q0295</t>
  </si>
  <si>
    <t>Vendor Reconciliation &amp; Contract Management</t>
  </si>
  <si>
    <t>How are vendor invoices for supply services reconciled against charges billed to homeowners — is there automated matching, or is it a manual reconciliation?</t>
  </si>
  <si>
    <t>6.8.12</t>
  </si>
  <si>
    <t>Q0296</t>
  </si>
  <si>
    <t xml:space="preserve">  ↳ Vendor Reconciliation &amp; Contract Management</t>
  </si>
  <si>
    <t>Who receives and processes supply vendor invoices — is it AP, property management, or a dedicated team?</t>
  </si>
  <si>
    <t>6.8.13</t>
  </si>
  <si>
    <t>Q0297</t>
  </si>
  <si>
    <t>General Ledger Coding &amp; Reporting</t>
  </si>
  <si>
    <t>How are supply charge revenues posted to the GL — as association income, as a pass-through liability, or as management company revenue?</t>
  </si>
  <si>
    <t>6.8.14</t>
  </si>
  <si>
    <t>Q0298</t>
  </si>
  <si>
    <t>Pain Points</t>
  </si>
  <si>
    <t>What are the biggest pain points in managing supply charges today — rate change management, vendor reconciliation, homeowner disputes, or system limitations?</t>
  </si>
  <si>
    <t>6.8.15</t>
  </si>
  <si>
    <t>Q0299</t>
  </si>
  <si>
    <t>6.9</t>
  </si>
  <si>
    <t>Reimbursables / Fee Management</t>
  </si>
  <si>
    <t>Schedule-A fee configuration</t>
  </si>
  <si>
    <t>Who maintains the list of reimbursable items (Schedule-A / contract cost addendum)? Who approves changes and how often is it updated?</t>
  </si>
  <si>
    <t>After config — Schedule-A reimbursable fee schedules configurable in TownSq. Rate table per association or branch standard. Maintained by admin.  ✓</t>
  </si>
  <si>
    <t>6.9.1</t>
  </si>
  <si>
    <t>Q0300</t>
  </si>
  <si>
    <t>Reimbursable item tracking</t>
  </si>
  <si>
    <t>How often do you bill reimbursables — monthly? Walk through how reimbursable charges are created, tracked, and billed.</t>
  </si>
  <si>
    <t>After config — Reimbursable items tracked and billed monthly via TownSq supply billing module.  ✓</t>
  </si>
  <si>
    <t>6.9.2</t>
  </si>
  <si>
    <t>Q0301</t>
  </si>
  <si>
    <t>Chargeback management</t>
  </si>
  <si>
    <t>How do you handle disputed or corrected reimbursable charges (chargebacks)? What is the approval and posting process?</t>
  </si>
  <si>
    <t>Partial — Chargeback corrections handled as manual AR adjustments in TownSq. No formalised chargeback dispute workflow.  ~</t>
  </si>
  <si>
    <t>6.9.3</t>
  </si>
  <si>
    <t>Q0302</t>
  </si>
  <si>
    <t>Non-partner bank fee handling</t>
  </si>
  <si>
    <t>How do you handle fees from non-partner banks that cannot be processed through the standard payment system?</t>
  </si>
  <si>
    <t>Partial — Non-partner bank fees handled as manual journal entries or adjustments in TownSq. No automated non-partner bank fee reconciliation.  ~</t>
  </si>
  <si>
    <t>6.9.4</t>
  </si>
  <si>
    <t>Q0303</t>
  </si>
  <si>
    <t>Oversees utility reimbursements and manages amenity reservations and usage.</t>
  </si>
  <si>
    <t>Walk me through your processes for managing amenity reservations and utility reimbursements.</t>
  </si>
  <si>
    <t>6.9.5</t>
  </si>
  <si>
    <t>Q0304</t>
  </si>
  <si>
    <t>Reimbursable Setup &amp; Governance</t>
  </si>
  <si>
    <t>At what frequency is billing for reimbursables typically conducted each month — and is it on a fixed schedule or event-driven?</t>
  </si>
  <si>
    <t>6.9.6</t>
  </si>
  <si>
    <t>Q0305</t>
  </si>
  <si>
    <t xml:space="preserve">  ↳ Reimbursable Setup &amp; Governance</t>
  </si>
  <si>
    <t>What categories of reimbursables does the branch manage — utilities, supplies, postage, printing, management fees, other pass-throughs?</t>
  </si>
  <si>
    <t>RC - The system allows users to define and manage reimbursable categories directly within Town Square Business or C3. Different categories can be configured based on the needs of the management company and the agreements with clients.</t>
  </si>
  <si>
    <t>6.9.7</t>
  </si>
  <si>
    <t>Q0306</t>
  </si>
  <si>
    <t>How are reimbursable charge rates set — cost-plus, flat rate, or actual cost pass-through? Who approves the rate schedule?</t>
  </si>
  <si>
    <t>RC - The setting of reimbursable charge rates is not enforced by the system itself but is instead determined through agreements between the client and the management company. These agreements define how costs are structured and approved, meaning the process is governed more by business arrangements than system controls.</t>
  </si>
  <si>
    <t>6.9.8</t>
  </si>
  <si>
    <t>Q0307</t>
  </si>
  <si>
    <t>Is the reimbursable list maintained in the core property management system, or in a separate tool (spreadsheet, shared drive)?</t>
  </si>
  <si>
    <t>RC - The reimbursable list is maintained within the core property management system, specifically in modules within Town Square Business Accounting and C3. The system supports setting up templates for each community based on agreed charge structures.</t>
  </si>
  <si>
    <t>6.9.9</t>
  </si>
  <si>
    <t>Q0308</t>
  </si>
  <si>
    <t>Utility Reimbursements</t>
  </si>
  <si>
    <t>Walk me through processing utility invoices — whether in bulk or individual entries, focusing on setup and mappings.</t>
  </si>
  <si>
    <t>6.9.10</t>
  </si>
  <si>
    <t>Q0309</t>
  </si>
  <si>
    <t xml:space="preserve">  ↳ Utility Reimbursements</t>
  </si>
  <si>
    <t>What do sub-processes like utility invoice intake and classification look like — who receives, codes, and routes them?</t>
  </si>
  <si>
    <t>6.9.11</t>
  </si>
  <si>
    <t>Q0310</t>
  </si>
  <si>
    <t>How are utility invoices split and allocated across units or associations — is there an automated proration logic, or is it entirely manual?</t>
  </si>
  <si>
    <t>RC - Within Strong Room, users can configure invoice split percentages to allocate utility costs across different accounts or entities. Additionally, AP templates can be created to automatically distribute invoices across multiple expense accounts. However, while the structure of the allocation can be predefined, the actual amounts still need to be manually calculated and entered.</t>
  </si>
  <si>
    <t>6.9.12</t>
  </si>
  <si>
    <t>Q0311</t>
  </si>
  <si>
    <t>How are utility billing disputes from homeowners handled — who investigates, and how is the system updated if a correction is needed?</t>
  </si>
  <si>
    <t>RC - If there is an incorrect charge on a homeowner’s ledger, corrections can be made by posting a corresponding credit charge. If the error is identified shortly after entry, users can edit the batch directly to correct the amount. However, if payments have already been applied to that charge, the payments must first be unapplied before any edits can be made. Once unapplied, the correction can be completed and the payments re-applied as needed.</t>
  </si>
  <si>
    <t>6.9.13</t>
  </si>
  <si>
    <t>Q0312</t>
  </si>
  <si>
    <t>Other Fees &amp; Pass-Throughs</t>
  </si>
  <si>
    <t>Are there any ongoing payments or reimbursements to company employees processed through the branch's payables system?</t>
  </si>
  <si>
    <t>6.9.14</t>
  </si>
  <si>
    <t>Q0313</t>
  </si>
  <si>
    <t>How are administrative charges such as violation fines, key/fob replacements, and other owner-specific fees billed, approved, and posted in the system? (Note: amenity damage charges are scoped under Security Deposits &amp; Amenity Rentals)</t>
  </si>
  <si>
    <t>RC - Administrative charges can be posted in two ways:
Manually through the unit account screen
Batch charge posting for multiple units, where the total batch amount must match the sum of individual charges.</t>
  </si>
  <si>
    <t>6.9.15</t>
  </si>
  <si>
    <t>Q0314</t>
  </si>
  <si>
    <t>How are vendor-related chargebacks or reimbursements from associations to the management company processed?</t>
  </si>
  <si>
    <t>RC - If the management company pays the vendor first:
The invoice is coded to a non-expense GL account (liability or receivable)
When the chargeback is billed to the homeowner, the same GL account is used to offset the entry
This results in a net zero impact.</t>
  </si>
  <si>
    <t>6.9.16</t>
  </si>
  <si>
    <t>Q0315</t>
  </si>
  <si>
    <t>Where do you see the most manual effort in your reimbursable billing process — setup, allocation, reconciliation, or dispute resolution?</t>
  </si>
  <si>
    <t>6.9.17</t>
  </si>
  <si>
    <t>Q0316</t>
  </si>
  <si>
    <t>6.10</t>
  </si>
  <si>
    <t>Audit / Tax / CPA Tracking</t>
  </si>
  <si>
    <t>CPA engagement tracking</t>
  </si>
  <si>
    <t>How does your branch manage audit engagement letters — are they tracked in the system or in email / spreadsheets?</t>
  </si>
  <si>
    <t>Not supported — No CPA engagement letter tracking or audit status workflow in TownSq. Managed via email or external tracker.  ✓</t>
  </si>
  <si>
    <t>6.10.1</t>
  </si>
  <si>
    <t>Q0317</t>
  </si>
  <si>
    <t>Tax filing status</t>
  </si>
  <si>
    <t>How are taxes handled for your associations — in-house or by an outside CPA? Which tax form is filed (1120 or 1120-S)? How do you track filing status?</t>
  </si>
  <si>
    <t>Not supported — Tax filing status and 1120/1120-H tracking not available in TownSq. Managed externally by the CPA or branch admin.  ✓</t>
  </si>
  <si>
    <t>6.10.2</t>
  </si>
  <si>
    <t>Q0318</t>
  </si>
  <si>
    <t>Audit / compilation tracking</t>
  </si>
  <si>
    <t>About how many associations conduct an audit each year? How do you track and monitor the status of all ongoing audits?</t>
  </si>
  <si>
    <t>Not supported — Audit and compilation status tracking not available in TownSq. No audit pipeline or deadline management module.  ✓</t>
  </si>
  <si>
    <t>6.10.3</t>
  </si>
  <si>
    <t>Q0319</t>
  </si>
  <si>
    <t>CPA journal entry guidance</t>
  </si>
  <si>
    <t>What is your process for posting audit entries? Do CPAs have direct access to your accounting system for AP or JE review?</t>
  </si>
  <si>
    <t>Partial — CPAs can be granted read-only access to TownSq for GL and AP review. No structured CPA journal-entry guidance workflow within the system.  ~</t>
  </si>
  <si>
    <t>6.10.4</t>
  </si>
  <si>
    <t>Q0320</t>
  </si>
  <si>
    <t>Audit Scope &amp; Policy</t>
  </si>
  <si>
    <t>Is there a mandatory requirement for audits — is it driven by state law, governing documents, or board discretion?</t>
  </si>
  <si>
    <t>6.10.5</t>
  </si>
  <si>
    <t>Q0321</t>
  </si>
  <si>
    <t>Are there ongoing audits at the moment, and what stage are they in?</t>
  </si>
  <si>
    <t>6.10.6</t>
  </si>
  <si>
    <t>Q0322</t>
  </si>
  <si>
    <t>Walk me through the end-to-end process for Client Audit Support — systems, roles, approval checkpoints, and workflow variations.</t>
  </si>
  <si>
    <t>Answer Not found (additional clarification required; follow-up meeting recommended)</t>
  </si>
  <si>
    <t>6.10.7</t>
  </si>
  <si>
    <t>Q0323</t>
  </si>
  <si>
    <t>CPA Engagement &amp; Tracking</t>
  </si>
  <si>
    <t>Who are the Certified Public Accountants (CPAs) engaged for audit purposes, and how are they selected?</t>
  </si>
  <si>
    <t>6.10.8</t>
  </si>
  <si>
    <t>Q0324</t>
  </si>
  <si>
    <t>What is the protocol for dealing with engagement letters for audits — what thresholds apply, and when does tracking begin?</t>
  </si>
  <si>
    <t>6.10.9</t>
  </si>
  <si>
    <t>Q0325</t>
  </si>
  <si>
    <t>When does engagement tracking generally start, and what dollar or unit thresholds apply?</t>
  </si>
  <si>
    <t>6.10.10</t>
  </si>
  <si>
    <t>Q0326</t>
  </si>
  <si>
    <t>Auditor System Access &amp; Data Provision</t>
  </si>
  <si>
    <t>Do the CPAs currently have access to your software, particularly in the payables and GL departments? If so, how is that access provisioned and monitored?</t>
  </si>
  <si>
    <t>6.10.11</t>
  </si>
  <si>
    <t>Q0327</t>
  </si>
  <si>
    <t>What systems and artifacts are used during audits — does the GL support auditor read-only access, or are exports provided?</t>
  </si>
  <si>
    <t>6.10.12</t>
  </si>
  <si>
    <t>Q0328</t>
  </si>
  <si>
    <t>Audit Findings &amp; Report Handling</t>
  </si>
  <si>
    <t>What is the process for handling preliminary audit reports — who reviews them before distribution?</t>
  </si>
  <si>
    <t>6.10.13</t>
  </si>
  <si>
    <t>Q0329</t>
  </si>
  <si>
    <t>How are draft and final audit reports handled and routed — is there a document management system involved?</t>
  </si>
  <si>
    <t>6.10.14</t>
  </si>
  <si>
    <t>Q0330</t>
  </si>
  <si>
    <t>Who owns each step in the audit workflow, and how is governance handled across draft, board review, and final approval stages?</t>
  </si>
  <si>
    <t>6.10.15</t>
  </si>
  <si>
    <t>Q0331</t>
  </si>
  <si>
    <t>Tax Compliance &amp; Return Processing</t>
  </si>
  <si>
    <t>Explain your process for managing corporate tax compliance — internal staff or external firm? Key personnel and software/calendar used to track deadlines?</t>
  </si>
  <si>
    <t>6.10.16</t>
  </si>
  <si>
    <t>Q0332</t>
  </si>
  <si>
    <t>Who are the CPAs engaged by the branch for tax-related matters?</t>
  </si>
  <si>
    <t>6.10.17</t>
  </si>
  <si>
    <t>Q0333</t>
  </si>
  <si>
    <t>Are there any outstanding tax liabilities, and are there ongoing quarterly estimated payments?</t>
  </si>
  <si>
    <t>6.10.18</t>
  </si>
  <si>
    <t>Q0334</t>
  </si>
  <si>
    <t>Have extensions for tax filing been submitted — if so, who handled or handles the preparation?</t>
  </si>
  <si>
    <t>6.10.19</t>
  </si>
  <si>
    <t>Q0335</t>
  </si>
  <si>
    <t>Are there any associations currently not in good standing with the IRS?</t>
  </si>
  <si>
    <t>6.10.20</t>
  </si>
  <si>
    <t>Q0336</t>
  </si>
  <si>
    <t>6.11</t>
  </si>
  <si>
    <t>Resale &amp; Estoppel</t>
  </si>
  <si>
    <t>Resale &amp; Estoppel Processing</t>
  </si>
  <si>
    <t>What is your workflow for processing estoppels, resale questionnaires, and ownership transfers?</t>
  </si>
  <si>
    <t>After config</t>
  </si>
  <si>
    <t>6.11.1</t>
  </si>
  <si>
    <t>Q0337</t>
  </si>
  <si>
    <t>Ownership Change Process</t>
  </si>
  <si>
    <t>What are the systems and persons involved in the ownership change process?</t>
  </si>
  <si>
    <t>6.11.2</t>
  </si>
  <si>
    <t>Q0338</t>
  </si>
  <si>
    <t>Resale Certificate &amp; Estoppel Process</t>
  </si>
  <si>
    <t>How does the resale or estoppel process differ across different states in which the transaction occurs?</t>
  </si>
  <si>
    <t>6.11.3</t>
  </si>
  <si>
    <t>Q0339</t>
  </si>
  <si>
    <t>How do you manage rush requests for resales/estoppels — what is the process and premium fee structure?</t>
  </si>
  <si>
    <t xml:space="preserve">No answer found in transcript.
</t>
  </si>
  <si>
    <t>6.11.4</t>
  </si>
  <si>
    <t>Q0340</t>
  </si>
  <si>
    <t>Liens &amp; Title</t>
  </si>
  <si>
    <t>Who handles title searches, pre-liens, and liens — is this done in-house or by outside counsel?</t>
  </si>
  <si>
    <t>6.11.5</t>
  </si>
  <si>
    <t>Q0341</t>
  </si>
  <si>
    <t>Request Intake &amp; Validation</t>
  </si>
  <si>
    <t>How are incoming resale and estoppel requests validated for completeness?</t>
  </si>
  <si>
    <t>6.11.6</t>
  </si>
  <si>
    <t>Q0342</t>
  </si>
  <si>
    <t xml:space="preserve">What information is required before a request can be accepted?
</t>
  </si>
  <si>
    <t>6.11.7</t>
  </si>
  <si>
    <t>Q0343</t>
  </si>
  <si>
    <t xml:space="preserve">What happens when a request is missing unit number, owner name, buyer info, or closing date?
</t>
  </si>
  <si>
    <t>6.11.8</t>
  </si>
  <si>
    <t>Q0344</t>
  </si>
  <si>
    <t xml:space="preserve">How are duplicate requests identified and handled?
</t>
  </si>
  <si>
    <t>6.11.9</t>
  </si>
  <si>
    <t>Q0345</t>
  </si>
  <si>
    <t xml:space="preserve">What are the most common intake errors from title companies, agents, or owners?
</t>
  </si>
  <si>
    <t>6.11.10</t>
  </si>
  <si>
    <t>Q0346</t>
  </si>
  <si>
    <t>Are there any automated checks that prevent bad or incomplete requests from entering the queue?</t>
  </si>
  <si>
    <t>6.11.11</t>
  </si>
  <si>
    <t>Q0347</t>
  </si>
  <si>
    <t xml:space="preserve">Fee Assessment and Payment Handling
</t>
  </si>
  <si>
    <t>How are resale and estoppel fees calculated in the system?</t>
  </si>
  <si>
    <t>6.11.12</t>
  </si>
  <si>
    <t>Q0348</t>
  </si>
  <si>
    <t xml:space="preserve">Are fees tied to association, property type, transaction type, or request type?
</t>
  </si>
  <si>
    <t>6.11.13</t>
  </si>
  <si>
    <t>Q0349</t>
  </si>
  <si>
    <t xml:space="preserve">How are payment receipts matched to open requests?
</t>
  </si>
  <si>
    <t>6.11.14</t>
  </si>
  <si>
    <t>Q0350</t>
  </si>
  <si>
    <t xml:space="preserve">What happens if payment is short, reversed, or paid under the wrong request?
</t>
  </si>
  <si>
    <t>6.11.15</t>
  </si>
  <si>
    <t>Q0351</t>
  </si>
  <si>
    <t xml:space="preserve">Are refunds ever issued, and if so, how are they processed?
</t>
  </si>
  <si>
    <t>6.11.16</t>
  </si>
  <si>
    <t>Q0352</t>
  </si>
  <si>
    <t xml:space="preserve">Which parts of fee handling are automated vs. manually reviewed?
</t>
  </si>
  <si>
    <t>6.11.17</t>
  </si>
  <si>
    <t>Q0353</t>
  </si>
  <si>
    <t xml:space="preserve">Document Creation and Template Management
</t>
  </si>
  <si>
    <t xml:space="preserve">What documents are generated for a typical resale or estoppel request?
</t>
  </si>
  <si>
    <t>6.11.18</t>
  </si>
  <si>
    <t>Q0354</t>
  </si>
  <si>
    <t xml:space="preserve">Are document templates standardized across all communities?
</t>
  </si>
  <si>
    <t>6.11.19</t>
  </si>
  <si>
    <t>Q0355</t>
  </si>
  <si>
    <t xml:space="preserve">Who maintains the language in those templates?
</t>
  </si>
  <si>
    <t>6.11.20</t>
  </si>
  <si>
    <t>Q0356</t>
  </si>
  <si>
    <t xml:space="preserve">How are state- or association-specific clauses managed in templates?
</t>
  </si>
  <si>
    <t>6.11.21</t>
  </si>
  <si>
    <t>Q0357</t>
  </si>
  <si>
    <t xml:space="preserve">Are documents created dynamically from system data or assembled manually?
</t>
  </si>
  <si>
    <t>6.11.22</t>
  </si>
  <si>
    <t>Q0358</t>
  </si>
  <si>
    <t xml:space="preserve">What fields are pulled automatically into the final document?
</t>
  </si>
  <si>
    <t>6.11.23</t>
  </si>
  <si>
    <t>Q0359</t>
  </si>
  <si>
    <t>Data Sources and Master Records</t>
  </si>
  <si>
    <t xml:space="preserve">Which system is the source of truth for owner and property records?
</t>
  </si>
  <si>
    <t>6.11.24</t>
  </si>
  <si>
    <t>Q0360</t>
  </si>
  <si>
    <t xml:space="preserve">Where is the authoritative source for assessment balances?
</t>
  </si>
  <si>
    <t>6.11.25</t>
  </si>
  <si>
    <t>Q0361</t>
  </si>
  <si>
    <t xml:space="preserve">Where is delinquency status maintained?
</t>
  </si>
  <si>
    <t>6.11.26</t>
  </si>
  <si>
    <t>Q0362</t>
  </si>
  <si>
    <t xml:space="preserve">How are contact details for owners, title companies, and agents stored?
</t>
  </si>
  <si>
    <t>6.11.27</t>
  </si>
  <si>
    <t>Q0363</t>
  </si>
  <si>
    <t xml:space="preserve">If records conflict between systems, which one wins?
</t>
  </si>
  <si>
    <t>6.11.28</t>
  </si>
  <si>
    <t>Q0364</t>
  </si>
  <si>
    <t xml:space="preserve">How often is data synchronized or refreshed?
</t>
  </si>
  <si>
    <t>6.11.29</t>
  </si>
  <si>
    <t>Q0365</t>
  </si>
  <si>
    <t>Status Tracking and Case Management</t>
  </si>
  <si>
    <t xml:space="preserve">What statuses exist for resale and estoppel requests?
</t>
  </si>
  <si>
    <t>6.11.30</t>
  </si>
  <si>
    <t>Q0366</t>
  </si>
  <si>
    <t xml:space="preserve">What events cause a request to move from one status to another?
</t>
  </si>
  <si>
    <t>6.11.31</t>
  </si>
  <si>
    <t>Q0367</t>
  </si>
  <si>
    <t xml:space="preserve">Are statuses visible to internal staff and external requesters?
</t>
  </si>
  <si>
    <t>6.11.32</t>
  </si>
  <si>
    <t>Q0368</t>
  </si>
  <si>
    <t xml:space="preserve">Can staff add notes, tasks, or internal flags to a request?
</t>
  </si>
  <si>
    <t>6.11.33</t>
  </si>
  <si>
    <t>Q0369</t>
  </si>
  <si>
    <t xml:space="preserve">How are stalled or abandoned requests handled?
</t>
  </si>
  <si>
    <t>6.11.34</t>
  </si>
  <si>
    <t>Q0370</t>
  </si>
  <si>
    <t xml:space="preserve">Is there a queue or workbasket model used for assignment and tracking?
</t>
  </si>
  <si>
    <t>6.11.35</t>
  </si>
  <si>
    <t>Q0371</t>
  </si>
  <si>
    <t xml:space="preserve">Communication and Customer Experience
</t>
  </si>
  <si>
    <t xml:space="preserve">How do requesters receive updates on their order?
</t>
  </si>
  <si>
    <t>6.11.36</t>
  </si>
  <si>
    <t>Q0372</t>
  </si>
  <si>
    <t>Are confirmations, reminders, and completion notices automated?</t>
  </si>
  <si>
    <t>6.11.37</t>
  </si>
  <si>
    <t>Q0373</t>
  </si>
  <si>
    <t xml:space="preserve">Can external parties check order status online?
</t>
  </si>
  <si>
    <t>6.11.38</t>
  </si>
  <si>
    <t>Q0374</t>
  </si>
  <si>
    <t xml:space="preserve">What customer service issues come up most often?
</t>
  </si>
  <si>
    <t>6.11.39</t>
  </si>
  <si>
    <t>Q0375</t>
  </si>
  <si>
    <t xml:space="preserve">How are follow-up questions from title companies handled?
</t>
  </si>
  <si>
    <t>6.11.40</t>
  </si>
  <si>
    <t>Q0376</t>
  </si>
  <si>
    <t xml:space="preserve">Are communication templates standardized or user-editable?
</t>
  </si>
  <si>
    <t>6.11.41</t>
  </si>
  <si>
    <t>Q0377</t>
  </si>
  <si>
    <t xml:space="preserve">Exceptions and Special Property Scenarios
</t>
  </si>
  <si>
    <t xml:space="preserve">How are requests handled for trusts, estates, LLCs, corporations, or partnerships?
</t>
  </si>
  <si>
    <t>6.11.42</t>
  </si>
  <si>
    <t>Q0378</t>
  </si>
  <si>
    <t xml:space="preserve">What happens when multiple owners are listed on an account?
</t>
  </si>
  <si>
    <t>6.11.43</t>
  </si>
  <si>
    <t>Q0379</t>
  </si>
  <si>
    <t xml:space="preserve">How are deceased owners or probate-related transfers handled?
</t>
  </si>
  <si>
    <t>6.11.44</t>
  </si>
  <si>
    <t>Q0380</t>
  </si>
  <si>
    <t xml:space="preserve">How are name changes, divorces, or quitclaim scenarios processed?
</t>
  </si>
  <si>
    <t>6.11.45</t>
  </si>
  <si>
    <t>Q0381</t>
  </si>
  <si>
    <t xml:space="preserve">How are partial interests or nonstandard ownership structures handled?
</t>
  </si>
  <si>
    <t>6.11.46</t>
  </si>
  <si>
    <t>Q0382</t>
  </si>
  <si>
    <t xml:space="preserve">What happens when an account is inactive, archived, or merged?
</t>
  </si>
  <si>
    <t>6.11.47</t>
  </si>
  <si>
    <t>Q0383</t>
  </si>
  <si>
    <t xml:space="preserve">Compliance, Audit, and Controls
</t>
  </si>
  <si>
    <t xml:space="preserve">What controls are in place to ensure document accuracy?
</t>
  </si>
  <si>
    <t>6.11.48</t>
  </si>
  <si>
    <t>Q0384</t>
  </si>
  <si>
    <t xml:space="preserve">Are changes to balances or account status logged?
</t>
  </si>
  <si>
    <t>6.11.49</t>
  </si>
  <si>
    <t>Q0385</t>
  </si>
  <si>
    <t xml:space="preserve">What audit trail exists for issued documents?
</t>
  </si>
  <si>
    <t>6.11.50</t>
  </si>
  <si>
    <t>Q0386</t>
  </si>
  <si>
    <t xml:space="preserve">Who can edit or override request data after it has been entered?
</t>
  </si>
  <si>
    <t>6.11.51</t>
  </si>
  <si>
    <t>Q0387</t>
  </si>
  <si>
    <t xml:space="preserve">Are there approval steps before final delivery?
</t>
  </si>
  <si>
    <t>6.11.52</t>
  </si>
  <si>
    <t>Q0388</t>
  </si>
  <si>
    <t xml:space="preserve">How do you ensure compliance with internal policies and legal requirements?
</t>
  </si>
  <si>
    <t>6.11.53</t>
  </si>
  <si>
    <t>Q0389</t>
  </si>
  <si>
    <t xml:space="preserve">External Integrations and Data Exchange
</t>
  </si>
  <si>
    <t>What external systems feed data into TownSq, WorkPoints+, C3 or Community Archives for resale/estoppel?</t>
  </si>
  <si>
    <t>6.11.54</t>
  </si>
  <si>
    <t>Q0390</t>
  </si>
  <si>
    <t>Are documents exchanged by email, portal upload, API, or batch export?</t>
  </si>
  <si>
    <t>6.11.55</t>
  </si>
  <si>
    <t>Q0391</t>
  </si>
  <si>
    <t>How are payment processors connected to the workflow?</t>
  </si>
  <si>
    <t>6.11.56</t>
  </si>
  <si>
    <t>Q0392</t>
  </si>
  <si>
    <t>Do title companies or law firms submit data through integrations or manual entry?</t>
  </si>
  <si>
    <t>6.11.57</t>
  </si>
  <si>
    <t>Q0393</t>
  </si>
  <si>
    <t xml:space="preserve">Are there file formats or data standards required for inbound or outbound exchanges?
</t>
  </si>
  <si>
    <t>6.11.58</t>
  </si>
  <si>
    <t>Q0394</t>
  </si>
  <si>
    <t>What integration failures happen most often?</t>
  </si>
  <si>
    <t>6.11.59</t>
  </si>
  <si>
    <t>Q0395</t>
  </si>
  <si>
    <t>Operational Volume and Capacity</t>
  </si>
  <si>
    <t>What is the typical volume of resale and estoppel requests?</t>
  </si>
  <si>
    <t>6.11.60</t>
  </si>
  <si>
    <t>Q0396</t>
  </si>
  <si>
    <t>Are volumes seasonal or tied to market activity?</t>
  </si>
  <si>
    <t>6.11.61</t>
  </si>
  <si>
    <t>Q0397</t>
  </si>
  <si>
    <t>How do teams manage spikes in demand?</t>
  </si>
  <si>
    <t>6.11.62</t>
  </si>
  <si>
    <t>Q0398</t>
  </si>
  <si>
    <t>Are certain communities or regions high-volume producers?</t>
  </si>
  <si>
    <t>6.11.63</t>
  </si>
  <si>
    <t>Q0399</t>
  </si>
  <si>
    <t>How is workload distributed across staff?</t>
  </si>
  <si>
    <t>6.11.64</t>
  </si>
  <si>
    <t>Q0400</t>
  </si>
  <si>
    <t>What capacity constraints affect turnaround time?</t>
  </si>
  <si>
    <t>6.11.65</t>
  </si>
  <si>
    <t>Q0401</t>
  </si>
  <si>
    <t>Reporting and Performance Monitoring</t>
  </si>
  <si>
    <t>What KPIs are tracked for resale and estoppel operations?</t>
  </si>
  <si>
    <t>6.11.66</t>
  </si>
  <si>
    <t>Q0402</t>
  </si>
  <si>
    <t>Do you monitor backlog, aging, rework, or completion rates?</t>
  </si>
  <si>
    <t>6.11.67</t>
  </si>
  <si>
    <t>Q0403</t>
  </si>
  <si>
    <t xml:space="preserve">Are metrics reviewed by location, team, or association?
</t>
  </si>
  <si>
    <t>6.11.68</t>
  </si>
  <si>
    <t>Q0404</t>
  </si>
  <si>
    <t xml:space="preserve">What reports do managers need most often?
</t>
  </si>
  <si>
    <t>6.11.69</t>
  </si>
  <si>
    <t>Q0405</t>
  </si>
  <si>
    <t xml:space="preserve">Which metrics are difficult to produce today?
</t>
  </si>
  <si>
    <t>6.11.70</t>
  </si>
  <si>
    <t>Q0406</t>
  </si>
  <si>
    <t>Are there dashboards for operational visibility?</t>
  </si>
  <si>
    <t>6.11.71</t>
  </si>
  <si>
    <t>Q0407</t>
  </si>
  <si>
    <t>User Experience and Pain Points</t>
  </si>
  <si>
    <t xml:space="preserve">What steps do users find most manual, repetitive or time-consuming?
Where do users rely on spreadsheets, email, or manual workarounds?
</t>
  </si>
  <si>
    <t>6.11.72</t>
  </si>
  <si>
    <t>Q0408</t>
  </si>
  <si>
    <t>What information do staff have to re-enter across systems? What causes the most rework? What would save the most time in day-to-day processing?</t>
  </si>
  <si>
    <t>6.11.73</t>
  </si>
  <si>
    <t>Q0409</t>
  </si>
  <si>
    <t>Future-State Opportunities</t>
  </si>
  <si>
    <t>What types of rules or validations should be system-driven instead of manual?</t>
  </si>
  <si>
    <t>6.11.74</t>
  </si>
  <si>
    <t>Q0410</t>
  </si>
  <si>
    <t>If you could redesign one part of the process, what would it be?</t>
  </si>
  <si>
    <t>6.11.75</t>
  </si>
  <si>
    <t>Q0411</t>
  </si>
  <si>
    <t>Where would better integration between systems create the most value?</t>
  </si>
  <si>
    <t>6.11.76</t>
  </si>
  <si>
    <t>Q0412</t>
  </si>
  <si>
    <t>6.12</t>
  </si>
  <si>
    <t>Amenity Rentals &amp; Security Deposits</t>
  </si>
  <si>
    <t>Security Deposit collection &amp; holding</t>
  </si>
  <si>
    <t>How are security deposits collected and held for amenity usage or move-in/move-out?</t>
  </si>
  <si>
    <t>Change in-progress</t>
  </si>
  <si>
    <t>6.12.1</t>
  </si>
  <si>
    <t>Q0413</t>
  </si>
  <si>
    <t>Security Deposit refund &amp; forfeiture</t>
  </si>
  <si>
    <t>What is the process for refunding or forfeiting security deposits?</t>
  </si>
  <si>
    <t>6.12.2</t>
  </si>
  <si>
    <t>Q0414</t>
  </si>
  <si>
    <t>Amenity Rentals like Boathouse, Clubhouse, pool pavilion, tennis courts, etc.</t>
  </si>
  <si>
    <t>List the various staff, departments and roles involved in amenity rentals and deposits?</t>
  </si>
  <si>
    <t>6.12.3</t>
  </si>
  <si>
    <t>Q0415</t>
  </si>
  <si>
    <t>Amenity Rentals billing &amp; reconciliation</t>
  </si>
  <si>
    <t>How are amenity rental charges billed to homeowners and reconciled against bookings?</t>
  </si>
  <si>
    <t>6.12.4</t>
  </si>
  <si>
    <t>Q0416</t>
  </si>
  <si>
    <t>Amenity Rentals Fee management</t>
  </si>
  <si>
    <t>How do you manage amenity rental fees, usage charges, and reservation billing?</t>
  </si>
  <si>
    <t>6.12.5</t>
  </si>
  <si>
    <t>Q0417</t>
  </si>
  <si>
    <t>Amenity Rentals Workflow- CAM perspective</t>
  </si>
  <si>
    <t>Walk me through a day-in-the-life workflow for a property manager (or another stakeholder eg: resident) using your system to reserve an amenity.</t>
  </si>
  <si>
    <t>6.12.6</t>
  </si>
  <si>
    <t>Q0418</t>
  </si>
  <si>
    <t>Amenity Rentals Workflow</t>
  </si>
  <si>
    <t>Which workflows are performed most frequently (daily vs. monthly vs. annual)?</t>
  </si>
  <si>
    <t>6.12.7</t>
  </si>
  <si>
    <t>Q0419</t>
  </si>
  <si>
    <t>Amenity Rentals Exceptions</t>
  </si>
  <si>
    <t>What are the most common exceptions to standard workflows?</t>
  </si>
  <si>
    <t>6.12.8</t>
  </si>
  <si>
    <t>Q0420</t>
  </si>
  <si>
    <t>Systems &amp; Integrations</t>
  </si>
  <si>
    <t>Which systems are used together (accounting, community platform, payments, ARC, vendor management, document storage)?</t>
  </si>
  <si>
    <t>6.12.9</t>
  </si>
  <si>
    <t>Q0421</t>
  </si>
  <si>
    <t>6.13</t>
  </si>
  <si>
    <t>Special Assessments</t>
  </si>
  <si>
    <t>Special assessment levy creation &amp; authorization</t>
  </si>
  <si>
    <t>When a board levies a special assessment, walk me through how it is set up — levy amount, payment dates, and how it posts to homeowner accounts.</t>
  </si>
  <si>
    <t>TownSq supports standard assessment billing after config. Special assessment as a distinct levy type with separate GL tracking — confirm with Amy Torres.</t>
  </si>
  <si>
    <t>6.13.1</t>
  </si>
  <si>
    <t>Q0422</t>
  </si>
  <si>
    <t>Special assessment payment schedule management</t>
  </si>
  <si>
    <t>Can homeowners pay the special assessment in installments? If so, how do you configure the schedule and track partial payments against the total owed?</t>
  </si>
  <si>
    <t>Partial payment tracking configurable in TownSq AR after setup. Installment schedule flexibility TBD.</t>
  </si>
  <si>
    <t>6.13.2</t>
  </si>
  <si>
    <t>Q0423</t>
  </si>
  <si>
    <t>Special assessment interest accrual on unpaid balances</t>
  </si>
  <si>
    <t>If a homeowner does not pay the special assessment by the due date, does interest accrue separately from regular dues interest — and how is that configured?</t>
  </si>
  <si>
    <t>Interest accrual configurable per assessment type. Confirm separate rate capability with product team.</t>
  </si>
  <si>
    <t>6.13.3</t>
  </si>
  <si>
    <t>Q0424</t>
  </si>
  <si>
    <t>Special assessment vs. regular dues delinquency separation</t>
  </si>
  <si>
    <t>When a homeowner pays regular dues but not the special assessment, are they treated as delinquent on both or only on the special assessment? How does your system separate the two?</t>
  </si>
  <si>
    <t>Delinquency segmentation by assessment type — confirm with TownSq delinquency module.</t>
  </si>
  <si>
    <t>6.13.4</t>
  </si>
  <si>
    <t>Q0425</t>
  </si>
  <si>
    <t>The Triggering Event — What Causes a Special Assessment to Exist?</t>
  </si>
  <si>
    <t>When a board identifies the need for a special assessment — say, a reserve shortfall discovered during a reserve study, a storm-damaged roof, or a failed infrastructure inspection — where in the system does this need originate? Is there a formal "assessment trigger" record, or does the process start outside the system and get entered manually after the fact?</t>
  </si>
  <si>
    <t>6.13.5</t>
  </si>
  <si>
    <t>Q0426</t>
  </si>
  <si>
    <t>Does the system have a reserve fund visibility layer that signals when reserve balances fall below a project's estimated cost — essentially surfacing the conditions that make a special assessment necessary before the board has to realise it themselves?</t>
  </si>
  <si>
    <t>6.13.6</t>
  </si>
  <si>
    <t>Q0427</t>
  </si>
  <si>
    <t>The standard formula for a special assessment levy is: Project Cost − Available Reserves − Insurance Proceeds = Amount to be Levied. Can the system actually perform this calculation i.e. pulling reserve balances, insurance recovery amounts, and project estimates into a single funding gap figure or is this calculated outside the system in a spreadsheet and then entered as a fixed amount?</t>
  </si>
  <si>
    <t>6.13.7</t>
  </si>
  <si>
    <t>Q0428</t>
  </si>
  <si>
    <t>How does the system handle different triggering categories — e.g., a capital improvement project (planned but underfunded), an emergency repair (sudden and unplanned), a reserve replenishment mandate (driven by state law), or a budget shortfall caused by mass delinquency? Does the assessment record carry a "reason" classification, and does that classification affect anything downstream in the system (e.g., approval thresholds, notice timelines, payment terms)?</t>
  </si>
  <si>
    <t>6.13.8</t>
  </si>
  <si>
    <t>Q0429</t>
  </si>
  <si>
    <t>When a special assessment is triggered by a specific capital project, how tightly is the assessment record linked to that project in the system? Can you trace every dollar collected back to the project it was levied for — and every dollar spent back to the same source?</t>
  </si>
  <si>
    <t>6.13.9</t>
  </si>
  <si>
    <t>Q0430</t>
  </si>
  <si>
    <t xml:space="preserve">The Authorization Chain — Governance Before Billing
</t>
  </si>
  <si>
    <t>Before the system allows a special assessment to be levied, what authorization gates must be cleared? For example, does the system require a board meeting resolution to be recorded, a membership vote outcome to be logged, or a legal review sign-off to be attached — and does it actually block billing from proceeding if these steps are incomplete?</t>
  </si>
  <si>
    <t>6.13.10</t>
  </si>
  <si>
    <t>Q0431</t>
  </si>
  <si>
    <t>State law creates different approval thresholds based on the assessment amount — for example, California's 5% rule or Florida's distinction between condo and HOA boards. How does the system know which threshold applies to a given community, and does it automatically enforce the correct approval path (board-only vs. member vote required), or does the manager have to know the rule and apply it manually?</t>
  </si>
  <si>
    <t>6.13.11</t>
  </si>
  <si>
    <t>Q0432</t>
  </si>
  <si>
    <t>When a membership vote is required, how does the system manage the voting process or integrate with it — does it record the vote outcome, the quorum achieved, the voting method used (in-person, proxy, electronic, mail-in ballot), and the date of the meeting, all as part of the assessment record? If the vote fails, how is that outcome recorded and what happens to the assessment record?</t>
  </si>
  <si>
    <t>6.13.12</t>
  </si>
  <si>
    <t>Q0433</t>
  </si>
  <si>
    <t>The legal defensibility of a special assessment depends on proper advance notice being given to homeowners before the vote or levy — including the amount, purpose, and payment schedule. Does the system generate and track the delivery of this mandatory notice, and does it timestamp when notice was sent relative to the levy date to establish legal compliance?</t>
  </si>
  <si>
    <t>6.13.13</t>
  </si>
  <si>
    <t>Q0434</t>
  </si>
  <si>
    <t>If a special assessment is later legally challenged or voided — because notice was inadequate, quorum was not met, or voting thresholds were not satisfied — what does the system do? Can the levy be unwound, refunds processed, and the failed authorization attempt recorded as a historical event rather than silently deleted?</t>
  </si>
  <si>
    <t>6.13.14</t>
  </si>
  <si>
    <t>Q0435</t>
  </si>
  <si>
    <t>The Allocation Engine — How the Levy is Calculated Per Owner</t>
  </si>
  <si>
    <t>Every community's CC&amp;Rs specify a unique allocation formula — equal per unit, proportional by square footage, proportional by percentage interest, or a hybrid with different weightings for different unit types. Where is this allocation formula stored in the system? Is it a structured, executable formula that the system applies automatically, or is it documented as a reference and the allocation calculated manually?</t>
  </si>
  <si>
    <t>6.13.15</t>
  </si>
  <si>
    <t>Q0436</t>
  </si>
  <si>
    <t>When the system applies the allocation formula to a special assessment, can you see the full allocation table — every unit, its allocation percentage, and its individual levy amount — before billing is triggered? Is there a review and approval step on the allocation output, or does it go straight to billing?</t>
  </si>
  <si>
    <t>6.13.16</t>
  </si>
  <si>
    <t>Q0437</t>
  </si>
  <si>
    <t>What happens when the community's allocation formula produces rounding differences across all units — small fractional discrepancies that don't add up perfectly to the total levy amount? How does the system handle the rounding residual, and is this auditable?</t>
  </si>
  <si>
    <t>6.13.17</t>
  </si>
  <si>
    <t>Q0438</t>
  </si>
  <si>
    <t>Some communities have phased or sub-community structures where a special assessment only applies to certain units (e.g., a repair affecting only one building in a multi-building condo, or an improvement benefiting only units with lake access). Can the system scope a special assessment to a subset of the ownership roster rather than the entire community, and how is that scoping defined and enforced?</t>
  </si>
  <si>
    <t>6.13.18</t>
  </si>
  <si>
    <t>Q0439</t>
  </si>
  <si>
    <t xml:space="preserve">If the CC&amp;Rs are amended after a special assessment has already been levied — changing the allocation percentages — does the system have a mechanism to apply the old formula to the existing levy and the new formula to any future levies, maintaining a version-accurate record of which formula was in force at the time of each levy?
</t>
  </si>
  <si>
    <t>6.13.19</t>
  </si>
  <si>
    <t>Q0440</t>
  </si>
  <si>
    <t>The Parallel Billing Stream — Running Alongside Regular Dues</t>
  </si>
  <si>
    <t>When a special assessment is active, a homeowner is effectively receiving two simultaneous charges — their regular monthly dues and their special assessment installment. How does the system surface these as distinct obligations to the homeowner — separate line items, separate invoices, or combined on one statement? What is the risk of homeowners confusing or underpaying one vs. the other?</t>
  </si>
  <si>
    <t>6.13.20</t>
  </si>
  <si>
    <t>Q0441</t>
  </si>
  <si>
    <t>When a homeowner makes a partial payment that doesn't cover both their regular dues and their special assessment installment, how does the system apply that payment? Is there a defined priority order (regular dues first? special assessment first?), and is this configurable per community or mandated by state law?</t>
  </si>
  <si>
    <t>6.13.21</t>
  </si>
  <si>
    <t>Q0442</t>
  </si>
  <si>
    <t>A special assessment with installments has a defined end date — when the last installment is collected, the levy expires automatically. How does the system handle the sunset of a special assessment billing stream — does it automatically stop generating charges on the correct date, or is it manually closed? What is the risk of over-billing if a manager forgets to close it?</t>
  </si>
  <si>
    <t>6.13.22</t>
  </si>
  <si>
    <t>Q0443</t>
  </si>
  <si>
    <t xml:space="preserve">If the total project cost changes mid-assessment — for example, a contractor's bid comes in higher than expected, or a second phase of repairs is needed — how does the system handle a supplemental levy on top of an already-active special assessment? Can two special assessments for the same project coexist, and how is this explained to homeowners?
</t>
  </si>
  <si>
    <t>6.13.23</t>
  </si>
  <si>
    <t>Q0444</t>
  </si>
  <si>
    <t>Some communities allow homeowners to pre-pay their entire special assessment in a lump sum rather than making installments. How does the system handle early full payment — does it close out the homeowner's special assessment obligation, recalculate the outstanding balance correctly, and stop generating installment charges for that owner while continuing for others?</t>
  </si>
  <si>
    <t>6.13.24</t>
  </si>
  <si>
    <t>Q0445</t>
  </si>
  <si>
    <t>The Restricted Fund — Where the Money Lives</t>
  </si>
  <si>
    <t>When special assessment funds are collected, are they automatically directed to a separate, restricted account in the system's chart of accounts — distinct from the operating fund and the reserve fund? Or does the money land in the operating account first, requiring a manual transfer? How does the system prevent accidental or unauthorised use of these funds for non-assessment purposes?</t>
  </si>
  <si>
    <t>6.13.25</t>
  </si>
  <si>
    <t>Q0446</t>
  </si>
  <si>
    <t>As the project funded by the special assessment incurs expenses — contractor invoices, materials, permits — how does the system track spend against the collected special assessment funds? Is there a running balance that shows what has been collected, what has been spent, and what remains, tied to the specific assessment record?</t>
  </si>
  <si>
    <t>6.13.26</t>
  </si>
  <si>
    <t>Q0447</t>
  </si>
  <si>
    <t>Once the project is complete and fully paid for, what happens to any surplus funds remaining in the special assessment account — can the system calculate the per-unit refund due to each owner, generate refund transactions, or is surplus handling a manual process? Does the system support the alternative of rolling the surplus into the reserve fund with board approval?</t>
  </si>
  <si>
    <t>6.13.27</t>
  </si>
  <si>
    <t>Q0448</t>
  </si>
  <si>
    <t>What happens if the project cost exceeds the amount collected — meaning the association ran a deficit on the special assessment fund? How does the system surface this shortfall, and what options does it present: a supplemental levy, a transfer from reserves, or a draw on a line of credit?</t>
  </si>
  <si>
    <t>6.13.28</t>
  </si>
  <si>
    <t>Q0449</t>
  </si>
  <si>
    <t>Property Resale &amp; Ownership Transfers Mid-Assessment</t>
  </si>
  <si>
    <t xml:space="preserve">When a property in an active special assessment is listed for sale, the association is legally required to disclose the assessment to the buyer as part of the resale/estoppel process. How does the system generate the estoppel or resale certificate — does it automatically pull all active and pending special assessments, outstanding installment balances, and the total remaining obligation for that unit? Can this be produced on demand for a closing attorney or title company?
</t>
  </si>
  <si>
    <t>6.13.29</t>
  </si>
  <si>
    <t>Q0450</t>
  </si>
  <si>
    <t>At the point of property closing, how does the system handle the transition of the special assessment obligation? Specifically: if the seller has paid installments through month 4 of a 12-month assessment, does the system automatically transfer the remaining 8 installments to the new owner's account? Is this triggered by a deed change recorded in the system, or is it a manual adjustment?</t>
  </si>
  <si>
    <t>6.13.30</t>
  </si>
  <si>
    <t>Q0451</t>
  </si>
  <si>
    <t>Some governing documents and state laws require the seller to pay off the full remaining special assessment balance at closing rather than transferring it to the buyer. Does the system support this as a configurable option — and if it generates a payoff amount for closing, how does it ensure the figure is accurate as of the closing date rather than the date the certificate was requested?</t>
  </si>
  <si>
    <t>6.13.31</t>
  </si>
  <si>
    <t>Q0452</t>
  </si>
  <si>
    <t xml:space="preserve">What happens if a property transfers ownership between the authorization of a special assessment and the first billing date — meaning a buyer purchases the property after the assessment was approved but before any charges have been sent? Is the new owner automatically placed on the special assessment roll, or does this require manual intervention?
</t>
  </si>
  <si>
    <t>6.13.32</t>
  </si>
  <si>
    <t>Q0453</t>
  </si>
  <si>
    <t>Emergency Assessments — A Faster, Higher-Risk Variant</t>
  </si>
  <si>
    <t>Does the system differentiate between a standard special assessment and an emergency assessment as distinct record types? If so, what is different about the emergency assessment workflow — are fewer authorization steps required, are notice periods shorter, and does the system enforce any of these differences programmatically</t>
  </si>
  <si>
    <t>6.13.33</t>
  </si>
  <si>
    <t>Q0454</t>
  </si>
  <si>
    <t>Emergency assessments are often triggered by events with insurance claims attached — a hurricane, a burst pipe, a structural failure. How does the system link an emergency assessment record to an open insurance claim — so that when insurance proceeds arrive, the system can automatically recalculate the net levy and reduce or refund the amount collected from homeowners?</t>
  </si>
  <si>
    <t>6.13.34</t>
  </si>
  <si>
    <t>Q0455</t>
  </si>
  <si>
    <t>In an emergency, the board may need to levy and begin collecting within days, before full legal review or final contractor quotes. How does the system support a provisional or estimated emergency assessment that can be revised once final costs are known, without creating a billing mess when the amount is corrected?</t>
  </si>
  <si>
    <t>6.13.35</t>
  </si>
  <si>
    <t>Q0456</t>
  </si>
  <si>
    <t>Auditability, Legal Defensibility &amp; the Paper Trail</t>
  </si>
  <si>
    <t>If a special assessment is challenged in court, what can the system produce as evidence of a valid levy? Specifically, can it generate a complete chronological record showing: the triggering event, the funding gap calculation, the authorization resolution (board vote or member vote), proof of advance notice delivery, the allocation calculation, and every billing and payment transaction — all in one exportable package?</t>
  </si>
  <si>
    <t>6.13.36</t>
  </si>
  <si>
    <t>Q0457</t>
  </si>
  <si>
    <t xml:space="preserve">How does the system protect the immutability of the authorization record — specifically the vote outcome, meeting minutes, and notice delivery confirmation? Can these records be edited or deleted after the fact by a manager or admin, and if so, is there a change log that captures what was altered and by whom?
</t>
  </si>
  <si>
    <t>6.13.37</t>
  </si>
  <si>
    <t>Q0458</t>
  </si>
  <si>
    <t>When a special assessment spans multiple fiscal years — for example, a 24-month installment plan that starts in November — how does the system handle year-end financial close? Is the uncollected portion of the levy shown as a receivable, and is the full project commitment properly disclosed in the association's year-end financials?</t>
  </si>
  <si>
    <t>6.13.38</t>
  </si>
  <si>
    <t>Q0459</t>
  </si>
  <si>
    <t>The Scenarios That Break the System</t>
  </si>
  <si>
    <t>A homeowner declares bankruptcy while a special assessment installment plan is active. Their obligation is part of a bankruptcy estate. What does the system do — does it suspend billing, flag the account, and integrate with the collections or legal workflow in any way, or does it keep generating charges blindly?</t>
  </si>
  <si>
    <t>6.13.39</t>
  </si>
  <si>
    <t>Q0460</t>
  </si>
  <si>
    <t>A community levies a special assessment for a roof replacement project, collects 60% of the funds, and then the contractor goes out of business mid-project. The project is now in limbo — is the money collected still restricted, can a new contractor be engaged, and how does the system reflect the suspended state of an assessment tied to an incomplete project?</t>
  </si>
  <si>
    <t>6.13.40</t>
  </si>
  <si>
    <t>Q0461</t>
  </si>
  <si>
    <t>After a special assessment has been levied and partially collected, the membership votes to rescind it — perhaps because alternative financing (an HOA loan) was secured. How does the system process the rescission: stopping future billing, calculating refunds for amounts already collected, reversing posted charges, and closing the restricted fund account?</t>
  </si>
  <si>
    <t>6.13.41</t>
  </si>
  <si>
    <t>Q0462</t>
  </si>
  <si>
    <t>A community has two active special assessments simultaneously — one for a pool renovation and one for a drainage repair — both running as installment plans. How does the system manage, present, and separately account for two parallel special assessment billing streams without commingling the restricted funds or confusing homeowners about which charge relates to which project?</t>
  </si>
  <si>
    <t>6.13.42</t>
  </si>
  <si>
    <t>Q0463</t>
  </si>
  <si>
    <t>6.14</t>
  </si>
  <si>
    <t>Reserve-Funded Capital Project Accounting</t>
  </si>
  <si>
    <t>Capital project authorization &amp; budget setup</t>
  </si>
  <si>
    <t>When the board approves a capital project funded from reserves, how is the project set up in your accounting system — project name, budget amount, reserve line item, authorization documentation?</t>
  </si>
  <si>
    <t>6.14.1</t>
  </si>
  <si>
    <t>Q0464</t>
  </si>
  <si>
    <t>Reserve fund draw-down workflow for approved projects</t>
  </si>
  <si>
    <t>Walk me through how money moves from the reserve fund to pay a capital project vendor — is this tracked as a reserve draw-down in the GL, or just an AP payment?</t>
  </si>
  <si>
    <t>6.14.2</t>
  </si>
  <si>
    <t>Q0465</t>
  </si>
  <si>
    <t>Multi-payment project accounting (progress payments / retainage)</t>
  </si>
  <si>
    <t>For a large capital project with multiple contractor payments, how do you track total payments against the project budget, and how is retainage handled?</t>
  </si>
  <si>
    <t>6.14.3</t>
  </si>
  <si>
    <t>Q0466</t>
  </si>
  <si>
    <t>Capital project completion close-out &amp; reserve reconciliation</t>
  </si>
  <si>
    <t>When a capital project is complete, how is the final cost reconciled to the reserve study line item and the reserve fund balance updated?</t>
  </si>
  <si>
    <t>6.14.4</t>
  </si>
  <si>
    <t>Q0467</t>
  </si>
  <si>
    <t>6.15</t>
  </si>
  <si>
    <t>Management Fee Administration</t>
  </si>
  <si>
    <t>Fee schedule configuration per association</t>
  </si>
  <si>
    <t>How is the monthly management fee configured for each association — is it a fixed amount, a percentage of assessments, or calculated per unit?</t>
  </si>
  <si>
    <t>Each Association configuration is available through corporate accounting - not through TSQB - in D365 corp accounting.  The type of fee is configurable. 
Management fees are configured within Associa’s corporate accounting system rather than within TownSq Business Accounting. The fee structure varies by contract and may be defined as a fixed amount, a percentage of assessments, or a per-unit calculation. This configuration is managed centrally and is not a native function within the property management accounting system.</t>
  </si>
  <si>
    <t>6.15.1</t>
  </si>
  <si>
    <t>Q0468</t>
  </si>
  <si>
    <t>Automatic management fee posting vs. manual invoice</t>
  </si>
  <si>
    <t>Is the management fee posted automatically each month or does someone manually invoice the association? Describe the posting or invoicing steps.</t>
  </si>
  <si>
    <t>Asscia - runs a batch process - 12K invoices - input into AP system - this rolls out/routes to payable and paid on the 1st day of month. 
Management fees are generated through an automated batch process within the corporate accounting system, producing invoices for all associations at scale. These invoices are then imported into the accounts payable system, automatically routed, and processed for payment, typically on the first day of the month. This ensures consistency and eliminates the need for manual invoicing at the branch level.</t>
  </si>
  <si>
    <t>6.15.2</t>
  </si>
  <si>
    <t>Q0469</t>
  </si>
  <si>
    <t>Fee rate change workflow &amp; history tracking</t>
  </si>
  <si>
    <t>When a contract renews at a new management fee rate, how is the old rate replaced? Is the fee rate history retained, and is the board notified automatically?</t>
  </si>
  <si>
    <t>6.15.3</t>
  </si>
  <si>
    <t>Q0470</t>
  </si>
  <si>
    <t>Management fee billing vs. Associa revenue recognition</t>
  </si>
  <si>
    <t>Is the management fee both billed to the association and recognized as revenue on Associa's books inside the same system, or are those two separate processes?</t>
  </si>
  <si>
    <t>6.15.4</t>
  </si>
  <si>
    <t>Q0471</t>
  </si>
  <si>
    <t>The Management Company–HOA Contractual Relationship in the System</t>
  </si>
  <si>
    <t>In the system, is the management company itself modelled as a vendor on the HOA's books — just like a landscaper or attorney? If so, how is the management company's vendor record created, maintained, and linked to the community it manages?</t>
  </si>
  <si>
    <t>6.15.5</t>
  </si>
  <si>
    <t>Q0472</t>
  </si>
  <si>
    <t>Since the management company both controls the HOA's financial system and is also a payee from it, what controls exist in the system to prevent the management company from paying its own invoices from the HOA's operating account without board authorisation?</t>
  </si>
  <si>
    <t>6.15.6</t>
  </si>
  <si>
    <t>Q0473</t>
  </si>
  <si>
    <t xml:space="preserve">How is the management contract stored in the system — as a structured data record with discrete fields (fee amount, fee type, included services, billing frequency), as a scanned document attachment, or both? What is the single source of truth the billing engine reads from?
</t>
  </si>
  <si>
    <t>6.15.7</t>
  </si>
  <si>
    <t>Q0474</t>
  </si>
  <si>
    <t xml:space="preserve">When a contract is stored, how does the system bind billable events to contract terms — meaning, how does it know whether a given charge is within scope of the agreement or an unauthorised extra?
</t>
  </si>
  <si>
    <t>6.15.8</t>
  </si>
  <si>
    <t>Q0475</t>
  </si>
  <si>
    <t xml:space="preserve">Can the system support multiple simultaneous contracts for the same community — for example, a base management contract and a separate capital project oversight agreement running in parallel?
</t>
  </si>
  <si>
    <t>6.15.9</t>
  </si>
  <si>
    <t>Q0476</t>
  </si>
  <si>
    <t>Management fees use pricing models that exist nowhere else in HOA software — per-unit rates, percentage-of-collections, and hybrid structures all drive billing differently.</t>
  </si>
  <si>
    <t>For a per-unit-per-month fee structure, where exactly does the system pull the unit count from — a fixed number locked into the contract at signing, or a live count from the community's active ownership roster? If the roster changes (e.g., a unit is converted or a new phase is added), how does that flow through to the next invoice automatically?</t>
  </si>
  <si>
    <t>6.15.10</t>
  </si>
  <si>
    <t>Q0477</t>
  </si>
  <si>
    <t xml:space="preserve">For a percentage-of-assessments-collected fee structure, what precise figure does the system use as the basis — gross assessments levied, amounts actually collected, or net of delinquencies? If a large delinquency is resolved in month 6, does the system retroactively recalculate or treat it as new revenue in that period?
</t>
  </si>
  <si>
    <t>6.15.11</t>
  </si>
  <si>
    <t>Q0478</t>
  </si>
  <si>
    <t xml:space="preserve">How does the system handle hybrid fee structures — for example, a contract with a flat base fee plus a per-unit component plus a percentage for collections — can all three components coexist on a single contract and produce a single consolidated invoice?
</t>
  </si>
  <si>
    <t>6.15.12</t>
  </si>
  <si>
    <t>Q0479</t>
  </si>
  <si>
    <t xml:space="preserve">When the contract specifies an annual fee escalation (e.g., CPI adjustment or a fixed 3% increase each January), does the system apply this automatically on the trigger date, or does a staff member have to manually update the fee? If automatic, who authorised the escalation rule at setup, and is there an approval step before it takes effect?
</t>
  </si>
  <si>
    <t>6.15.13</t>
  </si>
  <si>
    <t>Q0480</t>
  </si>
  <si>
    <t>How does the system handle the "included vs. extra" service boundary — the single biggest source of management fee disputes? Is there a structured way in the system to tag each service type as "included in base fee" or "billable separately," and does the billing engine enforce this distinction at the point of charge creation?</t>
  </si>
  <si>
    <t>6.15.14</t>
  </si>
  <si>
    <t>Q0481</t>
  </si>
  <si>
    <t>Self-billing - Governance &amp; Controls</t>
  </si>
  <si>
    <t>When a management fee invoice is generated, who in the system has the authority to approve it before payment is released from the HOA's operating account? Is there a formal approval workflow, or can the management company process its own payment without board sign-off?</t>
  </si>
  <si>
    <t>6.15.15</t>
  </si>
  <si>
    <t>Q0482</t>
  </si>
  <si>
    <t xml:space="preserve">Does the system enforce a mandatory board review or approval step for management fee invoices above a certain threshold? If so, how is the board notified, how do they approve, and what happens if they do not respond within a defined window?
</t>
  </si>
  <si>
    <t>6.15.16</t>
  </si>
  <si>
    <t>Q0483</t>
  </si>
  <si>
    <t>How does the system create a separation of duties between the person who generates the management fee invoice and the person who authorises payment from the HOA account — especially in scenarios where both roles belong to the management company?</t>
  </si>
  <si>
    <t>6.15.17</t>
  </si>
  <si>
    <t>Q0484</t>
  </si>
  <si>
    <t xml:space="preserve">Is there a system-enforced ceiling on what can be billed under the management fee category — so that a charge exceeding the contracted amount triggers an alert or block rather than silently going through?
</t>
  </si>
  <si>
    <t>6.15.18</t>
  </si>
  <si>
    <t>Q0485</t>
  </si>
  <si>
    <t xml:space="preserve">Can a board member or external auditor independently verify that a billed charge is contractually authorised directly within the system — without having to contact the management company and ask for an explanation?
</t>
  </si>
  <si>
    <t>6.15.19</t>
  </si>
  <si>
    <t>Q0486</t>
  </si>
  <si>
    <t>Contract Lifecycle — Onboarding, Amendments &amp; Termination</t>
  </si>
  <si>
    <t>How does the system handle onboarding or setup fees — the one-time charge billed when a new community is taken on? Are these modelled as a distinct fee type separate from the recurring management fee, and how are they tracked through to collection?</t>
  </si>
  <si>
    <t>6.15.20</t>
  </si>
  <si>
    <t>Q0487</t>
  </si>
  <si>
    <t>When a contract is formally amended — for example, a fee increase is negotiated mid-term, or a new service is added to scope — does the system maintain a version history of the contract so that historical invoices can always be reconciled against the contract terms that were in force at the time?</t>
  </si>
  <si>
    <t>6.15.21</t>
  </si>
  <si>
    <t>Q0488</t>
  </si>
  <si>
    <t>How does the system handle early termination of a contract — specifically, how are early termination fees calculated (e.g., remaining months × monthly fee), billed, and tracked? Does the system automatically calculate this based on the contract end date, or is it a manual entry?</t>
  </si>
  <si>
    <t>6.15.22</t>
  </si>
  <si>
    <t>Q0489</t>
  </si>
  <si>
    <t>When a community transitions from one management company to another, how does the outgoing company's system handle the final billing reconciliation — including exit fees, pro-rations, and the handoff of financial records? What does the system produce as a "closing package"?</t>
  </si>
  <si>
    <t>6.15.23</t>
  </si>
  <si>
    <t>Q0490</t>
  </si>
  <si>
    <t>For contract renewals, does the system generate an alert or task before the contract expiry date so that renewal terms can be renegotiated and updated before a billing gap occurs? What happens to recurring billing if the contract lapses without a renewal being recorded?</t>
  </si>
  <si>
    <t>6.15.24</t>
  </si>
  <si>
    <t>Q0491</t>
  </si>
  <si>
    <t>Dual-Sided Accounting — The HOA's Books vs. The Management Company's Books</t>
  </si>
  <si>
    <t xml:space="preserve">Does the system manage both sides of the management fee transaction — the expense posting to the HOA's chart of accounts AND the revenue recognition on the management company's books — within the same platform? If so, how does it prevent conflicts of interest in how the transaction is recorded on each side?
</t>
  </si>
  <si>
    <t>6.15.25</t>
  </si>
  <si>
    <t>Q0492</t>
  </si>
  <si>
    <t xml:space="preserve">On the HOA's general ledger, how is the management fee expense account structured — is it a single line item, or is it broken down by fee component (base fee, ancillary fees, pass-throughs) for budget variance analysis purposes?
</t>
  </si>
  <si>
    <t>6.15.26</t>
  </si>
  <si>
    <t>Q0493</t>
  </si>
  <si>
    <t xml:space="preserve">On the management company's books, when exactly is management fee revenue recognised — at the point the invoice is generated, when payment is received, or on a scheduled accrual basis aligned to the service period? How is deferred revenue handled if fees are billed in advance?
</t>
  </si>
  <si>
    <t>6.15.27</t>
  </si>
  <si>
    <t>Q0494</t>
  </si>
  <si>
    <t xml:space="preserve">If an HOA's management fee invoice remains unpaid past the due date, how is the aging and escalation of that receivable managed within the system — is it treated with the same collections workflow as homeowner delinquencies, or is there a separate AR process for management company receivables?
</t>
  </si>
  <si>
    <t>6.15.28</t>
  </si>
  <si>
    <t>Q0495</t>
  </si>
  <si>
    <t xml:space="preserve">How does the system handle the inter-entity reconciliation when the management company is part of a larger organisation with multiple branches or subsidiaries — for example, ensuring that a fee collected by Branch A is booked to Branch A's revenue, not the parent entity's?
</t>
  </si>
  <si>
    <t>6.15.29</t>
  </si>
  <si>
    <t>Q0496</t>
  </si>
  <si>
    <t>HOA board is both the client and the financial oversight body. Their visibility into management fees is a governance requirement, not just a convenience.</t>
  </si>
  <si>
    <t xml:space="preserve">Can board members see a full, itemised breakdown of every management fee charge — including ancillary line items and their justifications — directly in the board portal without having to request a report from the management company?
</t>
  </si>
  <si>
    <t>6.15.30</t>
  </si>
  <si>
    <t>Q0497</t>
  </si>
  <si>
    <t xml:space="preserve">How does the system present management fees within the HOA's monthly financial statements — are they clearly labelled and broken out, or are they buried within broader expense categories in a way that makes board scrutiny difficult?
</t>
  </si>
  <si>
    <t>6.15.31</t>
  </si>
  <si>
    <t>Q0498</t>
  </si>
  <si>
    <t xml:space="preserve">When the annual budget is prepared, how does the system surface the management fee line — does it auto-populate based on the contracted rate, flag any upcoming fee escalations that should be budgeted for, and distinguish recurring fees from expected ancillary costs?
</t>
  </si>
  <si>
    <t>6.15.32</t>
  </si>
  <si>
    <t>Q0499</t>
  </si>
  <si>
    <t xml:space="preserve">If a board member wants to challenge or query a specific fee charge, does the system provide a workflow for them to raise the query directly, with the charge linked to the underlying contract clause and supporting activity log — or does the process fall outside the system entirely?
</t>
  </si>
  <si>
    <t>6.15.33</t>
  </si>
  <si>
    <t>Q0500</t>
  </si>
  <si>
    <t xml:space="preserve">Does the system support proactive fee disclosure — for example, automatically notifying the board at the start of each period of what management fees are expected that month, before the invoice arrives?
</t>
  </si>
  <si>
    <t>6.15.34</t>
  </si>
  <si>
    <t>Q0501</t>
  </si>
  <si>
    <t>Portfolio Revenue &amp; Profitability — The Management Company's Internal View</t>
  </si>
  <si>
    <t xml:space="preserve">Does the system provide portfolio-level revenue reporting for the management company — showing total management fee income across all communities, broken down by fee type, branch, manager, or geographic region?
</t>
  </si>
  <si>
    <t>6.15.35</t>
  </si>
  <si>
    <t>Q0502</t>
  </si>
  <si>
    <t xml:space="preserve">Can the system surface per-community profitability signals — for example, identifying communities where the management company's time investment (manager hours, ancillary services provided) significantly outpaces the fee being collected, indicating an under-priced contract?
</t>
  </si>
  <si>
    <t>6.15.36</t>
  </si>
  <si>
    <t>Q0503</t>
  </si>
  <si>
    <t xml:space="preserve">How does the system track fee collection rates across the portfolio — i.e., the percentage of management fee invoices paid on time vs. aged receivables — and does it flag communities that are consistently late paying management fees?
</t>
  </si>
  <si>
    <t>6.15.37</t>
  </si>
  <si>
    <t>Q0504</t>
  </si>
  <si>
    <t xml:space="preserve">Is there a mechanism in the system to model the revenue impact of contract renewals or fee renegotiations before they are executed — for example, a what-if analysis of increasing the per-unit rate by $2 across a 50-community portfolio?
</t>
  </si>
  <si>
    <t>6.15.38</t>
  </si>
  <si>
    <t>Q0505</t>
  </si>
  <si>
    <t xml:space="preserve">How does the system support revenue forecasting for the management company — can it project future management fee income based on contracted rates, upcoming renewals, and expected community onboardings or offboardings?
</t>
  </si>
  <si>
    <t>6.15.39</t>
  </si>
  <si>
    <t>Q0506</t>
  </si>
  <si>
    <t>6.16</t>
  </si>
  <si>
    <t>Vendor 1099 / Year-End Tax Compliance</t>
  </si>
  <si>
    <t>1099-eligible vendor flagging &amp; TIN collection</t>
  </si>
  <si>
    <t>How do you track which vendors are 1099-eligible and ensure you have their TIN or EIN on file before year-end? Is this managed inside your accounting system or outside it?</t>
  </si>
  <si>
    <t>6.16.1</t>
  </si>
  <si>
    <t>Q0507</t>
  </si>
  <si>
    <t>YTD payment accumulation for 1099 threshold monitoring</t>
  </si>
  <si>
    <t>Does your system accumulate year-to-date payments per vendor automatically for 1099 threshold monitoring, or is this a manual process at year-end?</t>
  </si>
  <si>
    <t>6.16.2</t>
  </si>
  <si>
    <t>Q0508</t>
  </si>
  <si>
    <t>1099 form generation &amp; pre-filing review</t>
  </si>
  <si>
    <t>How are 1099s generated at year-end — from within the accounting system or exported and processed externally? Who reviews them before filing?</t>
  </si>
  <si>
    <t>6.16.3</t>
  </si>
  <si>
    <t>Q0509</t>
  </si>
  <si>
    <t>Electronic 1099 filing (e-file to IRS)</t>
  </si>
  <si>
    <t>Does your system support electronic 1099 filing directly to the IRS? The e-file threshold is now 10 forms.</t>
  </si>
  <si>
    <t>6.16.4</t>
  </si>
  <si>
    <t>Q0510</t>
  </si>
  <si>
    <t>State-level 1099 filing requirements</t>
  </si>
  <si>
    <t>Do any of your associations operate in states with separate state-level 1099 filing requirements? If so, how is this tracked and managed?</t>
  </si>
  <si>
    <t>6.16.5</t>
  </si>
  <si>
    <t>Q0511</t>
  </si>
  <si>
    <t>6.17</t>
  </si>
  <si>
    <t>Check and Payment Controls</t>
  </si>
  <si>
    <t>Positive Pay file generation &amp; bank transmission</t>
  </si>
  <si>
    <t>Does your branch use Positive Pay with your bank? If so, how is the Positive Pay file generated after each check run and transmitted to the bank?</t>
  </si>
  <si>
    <t>6.17.1</t>
  </si>
  <si>
    <t>Q0512</t>
  </si>
  <si>
    <t>Dollar-threshold dual authorization for AP disbursements</t>
  </si>
  <si>
    <t>For large disbursements above a certain dollar threshold, does your process require a second approver? Is this enforced inside the system or managed outside it?</t>
  </si>
  <si>
    <t>6.17.2</t>
  </si>
  <si>
    <t>Q0513</t>
  </si>
  <si>
    <t>Check stock inventory tracking &amp; void log</t>
  </si>
  <si>
    <t>How do you manage physical check stock — ordering, inventory, and tracking? How are voided checks logged, and is there a reconciliation between checks issued and checks clearing?</t>
  </si>
  <si>
    <t>6.17.3</t>
  </si>
  <si>
    <t>Q0514</t>
  </si>
  <si>
    <t>Stop payment initiation &amp; reconciliation workflow</t>
  </si>
  <si>
    <t>When a stop payment is needed on an issued check, walk me through the steps — who initiates it, how is the bank notified, and how is the outstanding item cleared in the GL?</t>
  </si>
  <si>
    <t>6.17.4</t>
  </si>
  <si>
    <t>Q0515</t>
  </si>
  <si>
    <t>Remote deposit capture (RDC) for physical checks</t>
  </si>
  <si>
    <t>Do any of your branches or associations still receive physical checks from homeowners? If so, do you use remote deposit capture? Describe the scanning, deposit, and reconciliation steps.</t>
  </si>
  <si>
    <t>6.17.5</t>
  </si>
  <si>
    <t>Q0516</t>
  </si>
  <si>
    <t>Violations &amp; ACC</t>
  </si>
  <si>
    <t>7.2</t>
  </si>
  <si>
    <t>Architectural Review</t>
  </si>
  <si>
    <t>ACC application fee collection</t>
  </si>
  <si>
    <t>TBD — confirm question with domain expert during review session</t>
  </si>
  <si>
    <t>TBD — confirm with domain expert and TownSq product team</t>
  </si>
  <si>
    <t>7.2.1</t>
  </si>
  <si>
    <t>Q0517</t>
  </si>
  <si>
    <t>Conditional approval tracking</t>
  </si>
  <si>
    <t>7.2.2</t>
  </si>
  <si>
    <t>Q0518</t>
  </si>
  <si>
    <t>Post-approval completion inspection</t>
  </si>
  <si>
    <t>7.2.3</t>
  </si>
  <si>
    <t>Q0519</t>
  </si>
  <si>
    <t>7.3</t>
  </si>
  <si>
    <t>System Architecture &amp; Data Model</t>
  </si>
  <si>
    <t>Understanding the structural foundation before exploring workflows.</t>
  </si>
  <si>
    <t>What is the primary platform or application within the tech stack that handles Violations and ACC — is it a single system, or do they live in separate modules/applications?</t>
  </si>
  <si>
    <t>7.3.1</t>
  </si>
  <si>
    <t>Q0520</t>
  </si>
  <si>
    <t>How are communities/associations set up as data entities in the system — does each HOA have its own isolated environment, or is it a shared multi-tenant model with community-level configuration?</t>
  </si>
  <si>
    <t>7.3.2</t>
  </si>
  <si>
    <t>Q0521</t>
  </si>
  <si>
    <t>What are the core data objects (records/entities) that represent a Violation and an ACC Request in the system? What key fields and statuses does each carry?</t>
  </si>
  <si>
    <t>7.3.3</t>
  </si>
  <si>
    <t>Q0522</t>
  </si>
  <si>
    <t>How are community-specific rules and CC&amp;Rs stored in the system — are they structured/machine-readable (e.g., a violation type library), or are they free-text documents?</t>
  </si>
  <si>
    <t>7.3.4</t>
  </si>
  <si>
    <t>Q0523</t>
  </si>
  <si>
    <t>Is there a shared rule/violation type library across all communities, or does each HOA independently define its own violation categories?</t>
  </si>
  <si>
    <t>7.3.5</t>
  </si>
  <si>
    <t>Q0524</t>
  </si>
  <si>
    <t>How is the relationship between a homeowner, a property, and a community modelled in the system — especially for edge cases like renters, absentee owners, or properties under dispute?</t>
  </si>
  <si>
    <t>7.3.6</t>
  </si>
  <si>
    <t>Q0525</t>
  </si>
  <si>
    <t>7.4</t>
  </si>
  <si>
    <t>Violations — Lifecycle &amp; Workflow</t>
  </si>
  <si>
    <t>Understanding the complete journey of a violation from detection to resolution.</t>
  </si>
  <si>
    <t>Walk me through the complete lifecycle of a violation in the system — from initial detection all the way to closure. What are the exact statuses/stages it passes through?</t>
  </si>
  <si>
    <t>7.4.1</t>
  </si>
  <si>
    <t>Q0526</t>
  </si>
  <si>
    <t>What are the different channels/triggers through which a violation can be created — e.g., manager inspection, resident complaint, drive-by patrol, automated inspection scheduling? Does the system differentiate between these origins?</t>
  </si>
  <si>
    <t>7.4.2</t>
  </si>
  <si>
    <t>Q0527</t>
  </si>
  <si>
    <t>How is photographic or documentary evidence captured and attached to a violation record? Can this be done from a mobile device in the field, and how does it sync to the back-end system?</t>
  </si>
  <si>
    <t>7.4.3</t>
  </si>
  <si>
    <t>Q0528</t>
  </si>
  <si>
    <t>Does the system support scheduled or recurring inspections for specific communities? If so, how are inspection routes, frequencies, and checklists configured?</t>
  </si>
  <si>
    <t>7.4.4</t>
  </si>
  <si>
    <t>Q0529</t>
  </si>
  <si>
    <t>How does the system handle the first notice vs. escalation flow — is there an automated sequence of warning → formal notice → fine, or is each step manually triggered by the manager?</t>
  </si>
  <si>
    <t>7.4.5</t>
  </si>
  <si>
    <t>Q0530</t>
  </si>
  <si>
    <t>What controls exist to ensure consistent enforcement — for example, preventing a manager from skipping a required notice step before issuing a fine?</t>
  </si>
  <si>
    <t>7.4.6</t>
  </si>
  <si>
    <t>Q0531</t>
  </si>
  <si>
    <t>How are fines and monetary penalties managed — are fine schedules stored in the system, and how are fines linked to the homeowner's financial/ledger account?</t>
  </si>
  <si>
    <t>7.4.7</t>
  </si>
  <si>
    <t>Q0532</t>
  </si>
  <si>
    <t>How does the system manage the homeowner's right to a hearing before a fine is imposed? Is there a workflow step or status that reflects this legally required process?</t>
  </si>
  <si>
    <t>7.4.8</t>
  </si>
  <si>
    <t>Q0533</t>
  </si>
  <si>
    <t>What happens in the system when a violation is resolved or cured — who can close it, what evidence is required, and is there a re-inspection workflow?</t>
  </si>
  <si>
    <t>7.4.9</t>
  </si>
  <si>
    <t>Q0534</t>
  </si>
  <si>
    <t>How does the system handle repeat or chronic violators — is there flagging, escalation logic, or automated fine increases for recurrence?</t>
  </si>
  <si>
    <t>7.4.10</t>
  </si>
  <si>
    <t>Q0535</t>
  </si>
  <si>
    <t>What is the process for disputed violations — can a homeowner formally contest a violation through the system, and if so, how is that tracked?</t>
  </si>
  <si>
    <t>7.4.11</t>
  </si>
  <si>
    <t>Q0536</t>
  </si>
  <si>
    <t>7.5</t>
  </si>
  <si>
    <t>ACC (Architectural Control Committee) — Application &amp; Review Workflow</t>
  </si>
  <si>
    <t>Understanding how architectural modification requests are digitised and governed.</t>
  </si>
  <si>
    <t>Walk me through the complete lifecycle of an ACC request in the system — from homeowner submission to final decision and any follow-up.</t>
  </si>
  <si>
    <t>7.5.1</t>
  </si>
  <si>
    <t>Q0537</t>
  </si>
  <si>
    <t>What types of architectural requests can be submitted? Are these categorised (e.g., fence, paint, addition, landscaping) and does the category drive different review workflows or approval criteria?</t>
  </si>
  <si>
    <t>7.5.2</t>
  </si>
  <si>
    <t>Q0538</t>
  </si>
  <si>
    <t>How does a homeowner submit an ACC request — is it through a self-service portal, via the manager, or both? What information and attachments are required at submission?</t>
  </si>
  <si>
    <t>7.5.3</t>
  </si>
  <si>
    <t>Q0539</t>
  </si>
  <si>
    <t>How are ACC committee members represented in the system? Can they log in, view applications, vote, and record decisions directly — or does the manager act as an intermediary?</t>
  </si>
  <si>
    <t>7.5.4</t>
  </si>
  <si>
    <t>Q0540</t>
  </si>
  <si>
    <t>Does the system support a multi-reviewer or committee voting workflow (e.g., quorum required, majority vote), or is it a single-approver model?</t>
  </si>
  <si>
    <t>7.5.5</t>
  </si>
  <si>
    <t>Q0541</t>
  </si>
  <si>
    <t>How are approval deadlines and SLA timers managed? Does the system automatically track the review window and send alerts if a decision is approaching or overdue?</t>
  </si>
  <si>
    <t>7.5.6</t>
  </si>
  <si>
    <t>Q0542</t>
  </si>
  <si>
    <t>What decision outcomes can be recorded — e.g., Approved, Conditionally Approved, Denied, Deferred — and how are conditions or stipulations documented for conditional approvals?</t>
  </si>
  <si>
    <t>7.5.7</t>
  </si>
  <si>
    <t>Q0543</t>
  </si>
  <si>
    <t xml:space="preserve">How are ACC decision letters or notifications generated and sent to the homeowner? Are they templated, auto-generated, or manually composed?
</t>
  </si>
  <si>
    <t>7.5.8</t>
  </si>
  <si>
    <t>Q0544</t>
  </si>
  <si>
    <t xml:space="preserve">If a request is approved with conditions, how does the system track whether the homeowner actually complied with those conditions post-approval?
</t>
  </si>
  <si>
    <t>7.5.9</t>
  </si>
  <si>
    <t>Q0545</t>
  </si>
  <si>
    <t xml:space="preserve">How does the system link an unapproved architectural change (a violation) back to an ACC request — for example, if a homeowner proceeds without approval or violates the conditions of an approval?
</t>
  </si>
  <si>
    <t>7.5.10</t>
  </si>
  <si>
    <t>Q0546</t>
  </si>
  <si>
    <t xml:space="preserve">Can a homeowner track the status of their ACC application in real time through the homeowner portal?
</t>
  </si>
  <si>
    <t>7.5.11</t>
  </si>
  <si>
    <t>Q0547</t>
  </si>
  <si>
    <t>7.6</t>
  </si>
  <si>
    <t>Homeowner Portal Experience</t>
  </si>
  <si>
    <t>How the system surfaces these workflows to the end user.</t>
  </si>
  <si>
    <t xml:space="preserve">What Violations-related information can a homeowner see in their portal — current open violations, history of past violations, fine balances, status of disputes?
</t>
  </si>
  <si>
    <t>7.6.1</t>
  </si>
  <si>
    <t>Q0548</t>
  </si>
  <si>
    <t xml:space="preserve">Can homeowners submit an ACC request entirely through the portal without any offline steps? What is the submission experience like?
</t>
  </si>
  <si>
    <t>7.6.2</t>
  </si>
  <si>
    <t>Q0549</t>
  </si>
  <si>
    <t xml:space="preserve">How does the portal handle communication threading — can a homeowner and a manager have a back-and-forth conversation attached to a specific violation or ACC request record?
</t>
  </si>
  <si>
    <t>7.6.3</t>
  </si>
  <si>
    <t>Q0550</t>
  </si>
  <si>
    <t xml:space="preserve">Are homeowners notified proactively (email/SMS/push) at key workflow milestones — e.g., violation issued, hearing scheduled, ACC decision made? How are notification preferences configured?
</t>
  </si>
  <si>
    <t>7.6.4</t>
  </si>
  <si>
    <t>Q0551</t>
  </si>
  <si>
    <t xml:space="preserve">What happens to a homeowner's access/view when they dispute a violation — can they upload rebuttal documents or photos through the portal?
</t>
  </si>
  <si>
    <t>7.6.5</t>
  </si>
  <si>
    <t>Q0552</t>
  </si>
  <si>
    <t>7.7</t>
  </si>
  <si>
    <t>Configuration, Rules &amp; Community-Level Customisation</t>
  </si>
  <si>
    <t>Understanding how the system adapts across many different communities.</t>
  </si>
  <si>
    <t xml:space="preserve">How does a community manager or system admin set up a new community's violation types, fine schedules, and ACC review categories in the system? How long does this typically take?
</t>
  </si>
  <si>
    <t>7.7.1</t>
  </si>
  <si>
    <t>Q0553</t>
  </si>
  <si>
    <t xml:space="preserve">Can fine schedules be configured per violation type (e.g., $50 for first offence, $100 for second) and are escalation rules automated or manually applied?
</t>
  </si>
  <si>
    <t>7.7.2</t>
  </si>
  <si>
    <t>Q0554</t>
  </si>
  <si>
    <t xml:space="preserve">How are community-specific ACC guidelines or architectural standards stored and surfaced to the homeowner during the application process — so they know what's acceptable before submitting?
</t>
  </si>
  <si>
    <t>7.7.3</t>
  </si>
  <si>
    <t>Q0555</t>
  </si>
  <si>
    <t xml:space="preserve">Can workflow steps be customised per community — for example, one community requires two rounds of notice before a fine, another requires only one?
</t>
  </si>
  <si>
    <t>7.7.4</t>
  </si>
  <si>
    <t>Q0556</t>
  </si>
  <si>
    <t xml:space="preserve">How does the system handle state-specific legal requirements around violation notices and ACC response timelines (e.g., Florida Statute §720.3035, California Civil Code §4765)?
</t>
  </si>
  <si>
    <t>7.7.5</t>
  </si>
  <si>
    <t>Q0557</t>
  </si>
  <si>
    <t>7.8</t>
  </si>
  <si>
    <t>Reporting, Audit &amp; Compliance</t>
  </si>
  <si>
    <t>Understanding governance, accountability, and data visibility.</t>
  </si>
  <si>
    <t xml:space="preserve">What reports are available for Violations and ACC out of the box — e.g., open violations by community, time-to-resolution, fine collection rates, ACC approval/denial rates?
</t>
  </si>
  <si>
    <t>7.8.1</t>
  </si>
  <si>
    <t>Q0558</t>
  </si>
  <si>
    <t xml:space="preserve">How is the audit trail maintained — is every status change, communication, and decision timestamped and attributed to a specific user? Can this be exported for legal proceedings?
</t>
  </si>
  <si>
    <t>7.8.2</t>
  </si>
  <si>
    <t>Q0559</t>
  </si>
  <si>
    <t>How does the organisation ensure enforcement consistency across managers — e.g., preventing one manager from treating similar violations differently across communities?</t>
  </si>
  <si>
    <t>7.8.3</t>
  </si>
  <si>
    <t>Q0560</t>
  </si>
  <si>
    <t xml:space="preserve">Are there dashboards or KPIs available to board members or leadership to monitor violation trends, ACC backlogs, or compliance rates?
</t>
  </si>
  <si>
    <t>7.8.4</t>
  </si>
  <si>
    <t>Q0561</t>
  </si>
  <si>
    <t>How long is historical violations and ACC data retained in the system, and can communities access their full history if they switch management companies?</t>
  </si>
  <si>
    <t>7.8.5</t>
  </si>
  <si>
    <t>Q0562</t>
  </si>
  <si>
    <t>7.9</t>
  </si>
  <si>
    <t>Integrations &amp; Cross-System Dependencies</t>
  </si>
  <si>
    <t>Understanding how Violations and ACC connect to the broader tech ecosystem.</t>
  </si>
  <si>
    <t>How does the Violations module integrate with the Accounting/Finance module — specifically, how are fines posted to a homeowner's ledger, and how are collections tracked?</t>
  </si>
  <si>
    <t>7.9.1</t>
  </si>
  <si>
    <t>Q0563</t>
  </si>
  <si>
    <t xml:space="preserve">Is there any integration between ACC approvals and work order management — e.g., once a project is approved, does a work order or inspection follow-up task get auto-created?
</t>
  </si>
  <si>
    <t>7.9.2</t>
  </si>
  <si>
    <t>Q0564</t>
  </si>
  <si>
    <t xml:space="preserve">Does the system integrate with third-party inspection tools (e.g., mobile apps for field inspectors) or is everything managed natively within the platform?
</t>
  </si>
  <si>
    <t>7.9.3</t>
  </si>
  <si>
    <t>Q0565</t>
  </si>
  <si>
    <t xml:space="preserve">How does the system handle document management — where are violation photos, ACC application plans, and correspondence stored? Is there a connected DMS (Document Management System)?
</t>
  </si>
  <si>
    <t>7.9.4</t>
  </si>
  <si>
    <t>Q0566</t>
  </si>
  <si>
    <t xml:space="preserve">Are there any API integrations or data feeds that allow violation or ACC data to flow to/from external systems (e.g., board member tools, legal platforms, or state registries)?
</t>
  </si>
  <si>
    <t>7.9.5</t>
  </si>
  <si>
    <t>Q0567</t>
  </si>
  <si>
    <t>7.1</t>
  </si>
  <si>
    <t>Edge Cases, Pain Points</t>
  </si>
  <si>
    <t>Probing for the real-world complexity the system must handle.</t>
  </si>
  <si>
    <t xml:space="preserve">What are the most common failure points or workarounds that managers use today in the Violations or ACC workflow — where does the system fall short and people resort to email or spreadsheets?
</t>
  </si>
  <si>
    <t>7.1.1</t>
  </si>
  <si>
    <t>Q0568</t>
  </si>
  <si>
    <t xml:space="preserve">How does the system handle multi-unit or complex property scenarios — e.g., a condo building where a violation is in a common area vs. a specific unit, or an ACC request that affects shared infrastructure?
</t>
  </si>
  <si>
    <t>7.1.2</t>
  </si>
  <si>
    <t>Q0569</t>
  </si>
  <si>
    <t xml:space="preserve">What happens when a community's governing documents are amended — how are existing open violation records or ACC standards updated in the system?
</t>
  </si>
  <si>
    <t>7.1.3</t>
  </si>
  <si>
    <t>Q0570</t>
  </si>
  <si>
    <t xml:space="preserve">How does the system handle anonymous complaints about violations — does it preserve anonymity while still creating a traceable record?
</t>
  </si>
  <si>
    <t>7.1.4</t>
  </si>
  <si>
    <t>Q0571</t>
  </si>
  <si>
    <t xml:space="preserve">Is there a mobile-native experience for community managers doing field inspections — and does it work offline in areas with poor connectivity?
</t>
  </si>
  <si>
    <t>7.1.5</t>
  </si>
  <si>
    <t>Q0572</t>
  </si>
  <si>
    <t xml:space="preserve">What is on the product roadmap for Violations and ACC — any automation, AI-assisted inspection, or self-service enhancements planned in the near term?
</t>
  </si>
  <si>
    <t>7.1.6</t>
  </si>
  <si>
    <t>Q0573</t>
  </si>
  <si>
    <t>8.1</t>
  </si>
  <si>
    <t>Board Member Administration</t>
  </si>
  <si>
    <t>Board election cycle workflow</t>
  </si>
  <si>
    <t>8.1.1</t>
  </si>
  <si>
    <t>Q0574</t>
  </si>
  <si>
    <t>Board certification compliance</t>
  </si>
  <si>
    <t>8.1.2</t>
  </si>
  <si>
    <t>Q0575</t>
  </si>
  <si>
    <t>Board portal access provisioning</t>
  </si>
  <si>
    <t>8.1.3</t>
  </si>
  <si>
    <t>Q0576</t>
  </si>
  <si>
    <t>New board member onboarding kit</t>
  </si>
  <si>
    <t>8.1.4</t>
  </si>
  <si>
    <t>Q0577</t>
  </si>
  <si>
    <t>Quorum tracking and meeting scheduling</t>
  </si>
  <si>
    <t>8.1.5</t>
  </si>
  <si>
    <t>Q0578</t>
  </si>
  <si>
    <t>Executive committee role management</t>
  </si>
  <si>
    <t>8.1.6</t>
  </si>
  <si>
    <t>Q0579</t>
  </si>
  <si>
    <t>8.2</t>
  </si>
  <si>
    <t>Board Oversight</t>
  </si>
  <si>
    <t>Annual meeting logistics and notice</t>
  </si>
  <si>
    <t>8.2.1</t>
  </si>
  <si>
    <t>Q0580</t>
  </si>
  <si>
    <t>Meeting minutes storage and distribution</t>
  </si>
  <si>
    <t>8.2.2</t>
  </si>
  <si>
    <t>Q0581</t>
  </si>
  <si>
    <t>Board Packets &amp; Meetings</t>
  </si>
  <si>
    <t>9.1</t>
  </si>
  <si>
    <t>Packet Assembly</t>
  </si>
  <si>
    <t>Board packet content checklist</t>
  </si>
  <si>
    <t>9.1.1</t>
  </si>
  <si>
    <t>Q0582</t>
  </si>
  <si>
    <t>Packet template by association type</t>
  </si>
  <si>
    <t>9.1.2</t>
  </si>
  <si>
    <t>Q0583</t>
  </si>
  <si>
    <t>Last-minute packet update process</t>
  </si>
  <si>
    <t>9.1.3</t>
  </si>
  <si>
    <t>Q0584</t>
  </si>
  <si>
    <t>9.2</t>
  </si>
  <si>
    <t>Packet Distribution</t>
  </si>
  <si>
    <t>Digital distribution via portal/email</t>
  </si>
  <si>
    <t>9.2.1</t>
  </si>
  <si>
    <t>Q0585</t>
  </si>
  <si>
    <t>Board receipt acknowledgment tracking</t>
  </si>
  <si>
    <t>9.2.2</t>
  </si>
  <si>
    <t>Q0586</t>
  </si>
  <si>
    <t>Resident distribution requirement</t>
  </si>
  <si>
    <t>9.2.3</t>
  </si>
  <si>
    <t>Q0587</t>
  </si>
  <si>
    <t>10.1</t>
  </si>
  <si>
    <t>Policy Management</t>
  </si>
  <si>
    <t>Policy type coverage tracking (D&amp;O, fidelity, liability, property)</t>
  </si>
  <si>
    <t>10.1.1</t>
  </si>
  <si>
    <t>Q0588</t>
  </si>
  <si>
    <t>Renewal date alerts and workflow</t>
  </si>
  <si>
    <t>10.1.2</t>
  </si>
  <si>
    <t>Q0589</t>
  </si>
  <si>
    <t>Policy document versioning</t>
  </si>
  <si>
    <t>10.1.3</t>
  </si>
  <si>
    <t>Q0590</t>
  </si>
  <si>
    <t>10.2</t>
  </si>
  <si>
    <t>Vendor CoI Tracking</t>
  </si>
  <si>
    <t>Certificate of insurance collection from vendors</t>
  </si>
  <si>
    <t>10.2.1</t>
  </si>
  <si>
    <t>Q0591</t>
  </si>
  <si>
    <t>CoI expiration alerts</t>
  </si>
  <si>
    <t>10.2.2</t>
  </si>
  <si>
    <t>Q0592</t>
  </si>
  <si>
    <t>Lapsed coverage escalation</t>
  </si>
  <si>
    <t>10.2.3</t>
  </si>
  <si>
    <t>Q0593</t>
  </si>
  <si>
    <t>11.1</t>
  </si>
  <si>
    <t>Reserve Study Management</t>
  </si>
  <si>
    <t>Reserve study version control</t>
  </si>
  <si>
    <t>11.1.1</t>
  </si>
  <si>
    <t>Q0594</t>
  </si>
  <si>
    <t>Reserve study provider tracking</t>
  </si>
  <si>
    <t>11.1.2</t>
  </si>
  <si>
    <t>Q0595</t>
  </si>
  <si>
    <t>Below-funded reserve documentation</t>
  </si>
  <si>
    <t>11.1.3</t>
  </si>
  <si>
    <t>Q0596</t>
  </si>
  <si>
    <t>11.2</t>
  </si>
  <si>
    <t>Reserve Fund Tracking</t>
  </si>
  <si>
    <t>Reserve fund GL reconciliation</t>
  </si>
  <si>
    <t>11.2.1</t>
  </si>
  <si>
    <t>Q0597</t>
  </si>
  <si>
    <t>Reserve expenditure authorization</t>
  </si>
  <si>
    <t>11.2.2</t>
  </si>
  <si>
    <t>Q0598</t>
  </si>
  <si>
    <t>Reserve contribution vs. plan reporting</t>
  </si>
  <si>
    <t>11.2.3</t>
  </si>
  <si>
    <t>Q0599</t>
  </si>
  <si>
    <t>Multi-year cash flow projection</t>
  </si>
  <si>
    <t>11.2.4</t>
  </si>
  <si>
    <t>Q0600</t>
  </si>
  <si>
    <t>12.1</t>
  </si>
  <si>
    <t>Document Library</t>
  </si>
  <si>
    <t>Folder taxonomy and naming standards</t>
  </si>
  <si>
    <t>12.1.1</t>
  </si>
  <si>
    <t>Q0601</t>
  </si>
  <si>
    <t>Governing document amendment workflow</t>
  </si>
  <si>
    <t>12.1.2</t>
  </si>
  <si>
    <t>Q0602</t>
  </si>
  <si>
    <t>Confidential document access controls</t>
  </si>
  <si>
    <t>12.1.3</t>
  </si>
  <si>
    <t>Q0603</t>
  </si>
  <si>
    <t>Document retention policy enforcement</t>
  </si>
  <si>
    <t>12.1.4</t>
  </si>
  <si>
    <t>Q0604</t>
  </si>
  <si>
    <t>12.2</t>
  </si>
  <si>
    <t>Document Access</t>
  </si>
  <si>
    <t>Homeowner self-service document access</t>
  </si>
  <si>
    <t>12.2.1</t>
  </si>
  <si>
    <t>Q0605</t>
  </si>
  <si>
    <t>Keyword search across association library</t>
  </si>
  <si>
    <t>12.2.2</t>
  </si>
  <si>
    <t>Q0606</t>
  </si>
  <si>
    <t>Vendor contract and management agreement storage</t>
  </si>
  <si>
    <t>12.2.3</t>
  </si>
  <si>
    <t>Q0607</t>
  </si>
  <si>
    <t>Task &amp; Work Order Mgmt</t>
  </si>
  <si>
    <t>13.1</t>
  </si>
  <si>
    <t>Manager task dashboard and prioritisation</t>
  </si>
  <si>
    <t>13.1.1</t>
  </si>
  <si>
    <t>Q0608</t>
  </si>
  <si>
    <t>Recurring task templates and automation</t>
  </si>
  <si>
    <t>13.1.2</t>
  </si>
  <si>
    <t>Q0609</t>
  </si>
  <si>
    <t>Property inspection visit notes and history</t>
  </si>
  <si>
    <t>13.1.3</t>
  </si>
  <si>
    <t>Q0610</t>
  </si>
  <si>
    <t>Overdue task escalation and alerts</t>
  </si>
  <si>
    <t>13.1.4</t>
  </si>
  <si>
    <t>Q0611</t>
  </si>
  <si>
    <t>13.2</t>
  </si>
  <si>
    <t>Work Orders</t>
  </si>
  <si>
    <t>Homeowner-initiated work order submission</t>
  </si>
  <si>
    <t>13.2.1</t>
  </si>
  <si>
    <t>Q0612</t>
  </si>
  <si>
    <t>Field technician mobile work order access</t>
  </si>
  <si>
    <t>13.2.2</t>
  </si>
  <si>
    <t>Q0613</t>
  </si>
  <si>
    <t>Work order completion sign-off workflow</t>
  </si>
  <si>
    <t>13.2.3</t>
  </si>
  <si>
    <t>Q0614</t>
  </si>
  <si>
    <t>Labour cost billing back to association</t>
  </si>
  <si>
    <t>13.2.4</t>
  </si>
  <si>
    <t>Q0615</t>
  </si>
  <si>
    <t>Preventive maintenance scheduling</t>
  </si>
  <si>
    <t>13.2.5</t>
  </si>
  <si>
    <t>Q0616</t>
  </si>
  <si>
    <t>14.1</t>
  </si>
  <si>
    <t>Portal Setup</t>
  </si>
  <si>
    <t>Homeowner self-registration workflow</t>
  </si>
  <si>
    <t>14.1.1</t>
  </si>
  <si>
    <t>Q0617</t>
  </si>
  <si>
    <t>Tenant vs. owner access model</t>
  </si>
  <si>
    <t>14.1.2</t>
  </si>
  <si>
    <t>Q0618</t>
  </si>
  <si>
    <t>Community web admin volunteer role</t>
  </si>
  <si>
    <t>14.1.3</t>
  </si>
  <si>
    <t>Q0619</t>
  </si>
  <si>
    <t>14.2</t>
  </si>
  <si>
    <t>Portal Content</t>
  </si>
  <si>
    <t>Community calendar and announcement posting</t>
  </si>
  <si>
    <t>14.2.1</t>
  </si>
  <si>
    <t>Q0620</t>
  </si>
  <si>
    <t>Homepage branding and customisation</t>
  </si>
  <si>
    <t>14.2.2</t>
  </si>
  <si>
    <t>Q0621</t>
  </si>
  <si>
    <t>Feature on/off controls per community</t>
  </si>
  <si>
    <t>14.2.3</t>
  </si>
  <si>
    <t>Q0622</t>
  </si>
  <si>
    <t>14.3</t>
  </si>
  <si>
    <t>Portal Adoption</t>
  </si>
  <si>
    <t>Portal registration rate tracking</t>
  </si>
  <si>
    <t>14.3.1</t>
  </si>
  <si>
    <t>Q0623</t>
  </si>
  <si>
    <t>Non-portal alternative process management</t>
  </si>
  <si>
    <t>14.3.2</t>
  </si>
  <si>
    <t>Q0624</t>
  </si>
  <si>
    <t>Reporting &amp; Analytics</t>
  </si>
  <si>
    <t>15.1</t>
  </si>
  <si>
    <t>Operational Reports</t>
  </si>
  <si>
    <t>Delinquency trend and aging report</t>
  </si>
  <si>
    <t>15.1.1</t>
  </si>
  <si>
    <t>Q0625</t>
  </si>
  <si>
    <t>Violation open/closed/repeat rate report</t>
  </si>
  <si>
    <t>15.1.2</t>
  </si>
  <si>
    <t>Q0626</t>
  </si>
  <si>
    <t>Work order aging and completion report</t>
  </si>
  <si>
    <t>15.1.3</t>
  </si>
  <si>
    <t>Q0627</t>
  </si>
  <si>
    <t>15.2</t>
  </si>
  <si>
    <t>Executive Reporting</t>
  </si>
  <si>
    <t>Board KPI dashboard</t>
  </si>
  <si>
    <t>15.2.1</t>
  </si>
  <si>
    <t>Q0628</t>
  </si>
  <si>
    <t>Cross-portfolio benchmarking</t>
  </si>
  <si>
    <t>15.2.2</t>
  </si>
  <si>
    <t>Q0629</t>
  </si>
  <si>
    <t>Division manager performance report</t>
  </si>
  <si>
    <t>15.2.3</t>
  </si>
  <si>
    <t>Q0630</t>
  </si>
  <si>
    <t>15.3</t>
  </si>
  <si>
    <t>Regulatory Reporting</t>
  </si>
  <si>
    <t>State-mandated financial statement format</t>
  </si>
  <si>
    <t>15.3.1</t>
  </si>
  <si>
    <t>Q0631</t>
  </si>
  <si>
    <t>Annual meeting voter/quorum report</t>
  </si>
  <si>
    <t>15.3.2</t>
  </si>
  <si>
    <t>Q0632</t>
  </si>
  <si>
    <t>Implementation &amp; Transition</t>
  </si>
  <si>
    <t>16.1</t>
  </si>
  <si>
    <t>Data Readiness</t>
  </si>
  <si>
    <t>Data quality audit and pre-migration cleanup</t>
  </si>
  <si>
    <t>16.1.1</t>
  </si>
  <si>
    <t>Q0633</t>
  </si>
  <si>
    <t>Open AR/AP balance cutover process</t>
  </si>
  <si>
    <t>16.1.2</t>
  </si>
  <si>
    <t>Q0634</t>
  </si>
  <si>
    <t>Historical data retention strategy</t>
  </si>
  <si>
    <t>16.1.3</t>
  </si>
  <si>
    <t>Q0635</t>
  </si>
  <si>
    <t>16.2</t>
  </si>
  <si>
    <t>Migration Execution</t>
  </si>
  <si>
    <t>Parallel run period and reconciliation</t>
  </si>
  <si>
    <t>16.2.1</t>
  </si>
  <si>
    <t>Q0636</t>
  </si>
  <si>
    <t>Migration testing and sign-off protocol</t>
  </si>
  <si>
    <t>16.2.2</t>
  </si>
  <si>
    <t>Q0637</t>
  </si>
  <si>
    <t>Go-live communication plan to boards</t>
  </si>
  <si>
    <t>16.2.3</t>
  </si>
  <si>
    <t>Q0638</t>
  </si>
  <si>
    <t>16.3</t>
  </si>
  <si>
    <t>Post Go-Live</t>
  </si>
  <si>
    <t>Hypercare support plan and escalation</t>
  </si>
  <si>
    <t>16.3.1</t>
  </si>
  <si>
    <t>Q0639</t>
  </si>
  <si>
    <t>Legacy system retirement and archiving</t>
  </si>
  <si>
    <t>16.3.2</t>
  </si>
  <si>
    <t>Q0640</t>
  </si>
  <si>
    <t>User adoption measurement</t>
  </si>
  <si>
    <t>16.3.3</t>
  </si>
  <si>
    <t>Q0641</t>
  </si>
  <si>
    <t>CHANGE PLAN (PC)</t>
  </si>
  <si>
    <t>Process Change items — TownSq supports these natively but the branch currently works differently. Column 'TownSq supports today' shows exactly what TownSq does. Fill in the required workflow change, assign an Owner, and set a Target Date.</t>
  </si>
  <si>
    <t>Row#</t>
  </si>
  <si>
    <t>Discovery Question</t>
  </si>
  <si>
    <t>Branch Answer</t>
  </si>
  <si>
    <t>TownSq supports today</t>
  </si>
  <si>
    <t>Required change in TownSq</t>
  </si>
  <si>
    <t>Owner</t>
  </si>
  <si>
    <t>Target Date</t>
  </si>
  <si>
    <t>ONBOARDING LIST (AC)</t>
  </si>
  <si>
    <t>Adoption / Config items — TownSq can do this after setup, configuration, or training. Column 'TownSq supports today' shows what needs to be configured. All items must be resolved before or at go-live.</t>
  </si>
  <si>
    <t>Setup / Config Needed</t>
  </si>
  <si>
    <t>Training Required?</t>
  </si>
  <si>
    <t>Status</t>
  </si>
  <si>
    <t>Feature Gap items — TownSq genuinely cannot support these today. Column 'TownSq today' shows the current constraint. Assign P0–P3 priority. These drive the TownSq product roadmap.</t>
  </si>
  <si>
    <t>Priority
(P0–P3)</t>
  </si>
  <si>
    <t>Branch Answer
(evidence)</t>
  </si>
  <si>
    <t>TownSq today
(why it's a gap)</t>
  </si>
  <si>
    <t>Gap Description</t>
  </si>
  <si>
    <t>Effort Estimate</t>
  </si>
  <si>
    <t>READINESS SUMMARY</t>
  </si>
  <si>
    <t>Branch:</t>
  </si>
  <si>
    <t>Date:</t>
  </si>
  <si>
    <t>Assessor:</t>
  </si>
  <si>
    <t>#</t>
  </si>
  <si>
    <t># Questions</t>
  </si>
  <si>
    <t>Branch answered
(col H)</t>
  </si>
  <si>
    <t>TownSq capability
(col I)</t>
  </si>
  <si>
    <t>Not yet
classified</t>
  </si>
  <si>
    <t>Readiness %</t>
  </si>
  <si>
    <t>TOTAL</t>
  </si>
  <si>
    <t>Domains are now numbered 1–16 with no gaps. The rubric previously numbered them 1–6 then 10–19, leaving 7, 8 and 9 empty; those three slots held no rows, no branch answers and no classifications, so they were closed rather than carried. See the Renumber Map sheet to translate any reference written against the old numbers.</t>
  </si>
  <si>
    <t>The gate: Readiness returns "—" whenever # Questions = 0, Branch answered &lt; # Questions, or Not yet classified &gt; 0.</t>
  </si>
  <si>
    <t>Counts read Assessment rows 5–730, matched on Dom # in column A, with classification read from column J.</t>
  </si>
  <si>
    <t>UID (unchanged)</t>
  </si>
  <si>
    <t>Assessment row</t>
  </si>
  <si>
    <t>Old Dom #</t>
  </si>
  <si>
    <t>New Dom #</t>
  </si>
  <si>
    <t>Old Cap #</t>
  </si>
  <si>
    <t>New Cap #</t>
  </si>
  <si>
    <t>Old QID</t>
  </si>
  <si>
    <t>New QID</t>
  </si>
  <si>
    <t>10.3</t>
  </si>
  <si>
    <t>10.3.1</t>
  </si>
  <si>
    <t>10.3.2</t>
  </si>
  <si>
    <t>10.3.3</t>
  </si>
  <si>
    <t>10.3.4</t>
  </si>
  <si>
    <t>10.3.5</t>
  </si>
  <si>
    <t>10.3.6</t>
  </si>
  <si>
    <t>10.4</t>
  </si>
  <si>
    <t>10.4.1</t>
  </si>
  <si>
    <t>10.4.2</t>
  </si>
  <si>
    <t>10.4.3</t>
  </si>
  <si>
    <t>10.4.4</t>
  </si>
  <si>
    <t>10.4.5</t>
  </si>
  <si>
    <t>10.4.6</t>
  </si>
  <si>
    <t>10.4.7</t>
  </si>
  <si>
    <t>10.4.8</t>
  </si>
  <si>
    <t>10.4.9</t>
  </si>
  <si>
    <t>10.4.10</t>
  </si>
  <si>
    <t>10.4.11</t>
  </si>
  <si>
    <t>10.5</t>
  </si>
  <si>
    <t>10.5.1</t>
  </si>
  <si>
    <t>10.5.2</t>
  </si>
  <si>
    <t>10.5.3</t>
  </si>
  <si>
    <t>10.5.4</t>
  </si>
  <si>
    <t>10.5.5</t>
  </si>
  <si>
    <t>10.5.6</t>
  </si>
  <si>
    <t>10.5.7</t>
  </si>
  <si>
    <t>10.5.8</t>
  </si>
  <si>
    <t>10.5.9</t>
  </si>
  <si>
    <t>10.5.10</t>
  </si>
  <si>
    <t>10.5.11</t>
  </si>
  <si>
    <t>10.6</t>
  </si>
  <si>
    <t>10.6.1</t>
  </si>
  <si>
    <t>10.6.2</t>
  </si>
  <si>
    <t>10.6.3</t>
  </si>
  <si>
    <t>10.6.4</t>
  </si>
  <si>
    <t>10.6.5</t>
  </si>
  <si>
    <t>10.7</t>
  </si>
  <si>
    <t>10.7.1</t>
  </si>
  <si>
    <t>10.7.2</t>
  </si>
  <si>
    <t>10.7.3</t>
  </si>
  <si>
    <t>10.7.4</t>
  </si>
  <si>
    <t>10.7.5</t>
  </si>
  <si>
    <t>10.8</t>
  </si>
  <si>
    <t>10.8.1</t>
  </si>
  <si>
    <t>10.8.2</t>
  </si>
  <si>
    <t>10.8.3</t>
  </si>
  <si>
    <t>10.8.4</t>
  </si>
  <si>
    <t>10.8.5</t>
  </si>
  <si>
    <t>10.9</t>
  </si>
  <si>
    <t>10.9.1</t>
  </si>
  <si>
    <t>10.9.2</t>
  </si>
  <si>
    <t>10.9.3</t>
  </si>
  <si>
    <t>10.9.4</t>
  </si>
  <si>
    <t>10.9.5</t>
  </si>
  <si>
    <t>10.1.4</t>
  </si>
  <si>
    <t>10.1.5</t>
  </si>
  <si>
    <t>10.1.6</t>
  </si>
  <si>
    <t>11.1.4</t>
  </si>
  <si>
    <t>11.1.5</t>
  </si>
  <si>
    <t>11.1.6</t>
  </si>
  <si>
    <t>14.2.4</t>
  </si>
  <si>
    <t>15.1.4</t>
  </si>
  <si>
    <t>16.1.4</t>
  </si>
  <si>
    <t>16.2.4</t>
  </si>
  <si>
    <t>16.2.5</t>
  </si>
  <si>
    <t>17.1</t>
  </si>
  <si>
    <t>17.1.1</t>
  </si>
  <si>
    <t>17.1.2</t>
  </si>
  <si>
    <t>17.1.3</t>
  </si>
  <si>
    <t>17.2</t>
  </si>
  <si>
    <t>17.2.1</t>
  </si>
  <si>
    <t>17.2.2</t>
  </si>
  <si>
    <t>17.2.3</t>
  </si>
  <si>
    <t>17.3</t>
  </si>
  <si>
    <t>17.3.1</t>
  </si>
  <si>
    <t>17.3.2</t>
  </si>
  <si>
    <t>18.1</t>
  </si>
  <si>
    <t>18.1.1</t>
  </si>
  <si>
    <t>18.1.2</t>
  </si>
  <si>
    <t>18.1.3</t>
  </si>
  <si>
    <t>18.2</t>
  </si>
  <si>
    <t>18.2.1</t>
  </si>
  <si>
    <t>18.2.2</t>
  </si>
  <si>
    <t>18.2.3</t>
  </si>
  <si>
    <t>18.3</t>
  </si>
  <si>
    <t>18.3.1</t>
  </si>
  <si>
    <t>18.3.2</t>
  </si>
  <si>
    <t>19.1</t>
  </si>
  <si>
    <t>19.1.1</t>
  </si>
  <si>
    <t>19.1.2</t>
  </si>
  <si>
    <t>19.1.3</t>
  </si>
  <si>
    <t>19.2</t>
  </si>
  <si>
    <t>19.2.1</t>
  </si>
  <si>
    <t>19.2.2</t>
  </si>
  <si>
    <t>19.2.3</t>
  </si>
  <si>
    <t>19.3</t>
  </si>
  <si>
    <t>19.3.1</t>
  </si>
  <si>
    <t>19.3.2</t>
  </si>
  <si>
    <t>19.3.3</t>
  </si>
  <si>
    <t>For Feature Backlog rows, also set the FB Priority (P0–P3) in column J.</t>
  </si>
  <si>
    <t>During the 60-min session, read each answer and mark PC / AC / FB / NA in the Classification column.</t>
  </si>
  <si>
    <t>Classification
PC / AC / FB / NA</t>
  </si>
  <si>
    <t>FB#</t>
  </si>
  <si>
    <t>FB Priority
(P0–P3 if FB)</t>
  </si>
  <si>
    <t>PRODUCT BACKLOG (FB)</t>
  </si>
  <si>
    <t>One document. Branch answers the question. Assessor marks PC / AC / FB. Output sheets auto-populate.</t>
  </si>
  <si>
    <t>BRANCH: Read the Discovery Question in column G and type your answer in column H (yellow).  ASSESSOR: Read the branch's answer and mark column I as PC / AC / FB / NA. For FB items, also set FB Priority in column J.  Output sheets auto-populate as you classify.</t>
  </si>
  <si>
    <t>FB — Positive Pay file generation not currently supported in TownSq. P1 product gap identified in Vantaca focus group.</t>
  </si>
  <si>
    <t>READINESS IS DELIBERATELY SUPPRESSED. A readiness figure is only valid once the branch answer (col H) has been compared against the TownSq capability (col I) and recorded as PC / AC / FB / NA in col J. Until then this column shows "—" by design — it is not a broken formula.</t>
  </si>
  <si>
    <t>Not yet classified = # Questions − PC − AC − FB − NA — the assessor work queue.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</si>
</sst>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name val="Calibri"/>
      <family val="2"/>
      <charset val="1"/>
    </font>
    <font>
      <sz val="10"/>
      <name val="Arial"/>
      <family val="2"/>
    </font>
    <font>
      <b/>
      <sz val="22"/>
      <color rgb="FFFFFFFF"/>
      <name val="Calibri"/>
      <family val="2"/>
      <charset val="1"/>
    </font>
    <font>
      <i/>
      <sz val="11"/>
      <color rgb="FFFFFFFF"/>
      <name val="Calibri"/>
      <family val="2"/>
      <charset val="1"/>
    </font>
    <font>
      <b/>
      <sz val="11"/>
      <color rgb="FF000000"/>
      <name val="Calibri"/>
      <family val="2"/>
      <charset val="1"/>
    </font>
    <font>
      <b/>
      <sz val="12"/>
      <color rgb="FFFFFFFF"/>
      <name val="Calibri"/>
      <family val="2"/>
      <charset val="1"/>
    </font>
    <font>
      <b/>
      <sz val="13"/>
      <color rgb="FF1D4ED8"/>
      <name val="Calibri"/>
      <family val="2"/>
      <charset val="1"/>
    </font>
    <font>
      <sz val="11"/>
      <color rgb="FF000000"/>
      <name val="Calibri"/>
      <family val="2"/>
      <charset val="1"/>
    </font>
    <font>
      <i/>
      <sz val="11"/>
      <color rgb="FF000000"/>
      <name val="Calibri"/>
      <family val="2"/>
      <charset val="1"/>
    </font>
    <font>
      <b/>
      <sz val="13"/>
      <color rgb="FF854D0E"/>
      <name val="Calibri"/>
      <family val="2"/>
      <charset val="1"/>
    </font>
    <font>
      <b/>
      <sz val="13"/>
      <color rgb="FF991B1B"/>
      <name val="Calibri"/>
      <family val="2"/>
      <charset val="1"/>
    </font>
    <font>
      <b/>
      <sz val="13"/>
      <color rgb="FF4B5563"/>
      <name val="Calibri"/>
      <family val="2"/>
      <charset val="1"/>
    </font>
    <font>
      <b/>
      <sz val="11"/>
      <color rgb="FFFFFFFF"/>
      <name val="Calibri"/>
      <family val="2"/>
      <charset val="1"/>
    </font>
    <font>
      <sz val="15"/>
      <color rgb="FFFFFFFF"/>
      <name val="Calibri"/>
      <family val="2"/>
      <charset val="1"/>
    </font>
    <font>
      <sz val="10"/>
      <color rgb="FF444444"/>
      <name val="Calibri"/>
      <family val="2"/>
      <charset val="1"/>
    </font>
    <font>
      <sz val="9"/>
      <color rgb="FF888888"/>
      <name val="Calibri"/>
      <family val="2"/>
      <charset val="1"/>
    </font>
    <font>
      <sz val="10"/>
      <color rgb="FF854D0E"/>
      <name val="Calibri"/>
      <family val="2"/>
      <charset val="1"/>
    </font>
    <font>
      <sz val="10"/>
      <color rgb="FF1B5E20"/>
      <name val="Calibri"/>
      <family val="2"/>
      <charset val="1"/>
    </font>
    <font>
      <i/>
      <sz val="9"/>
      <color rgb="FF888888"/>
      <name val="Calibri"/>
      <family val="2"/>
      <charset val="1"/>
    </font>
    <font>
      <sz val="11"/>
      <color rgb="FFFFFFFF"/>
      <name val="Calibri"/>
      <family val="2"/>
      <charset val="1"/>
    </font>
    <font>
      <sz val="8"/>
      <color rgb="FFAAAAAA"/>
      <name val="Calibri"/>
      <family val="2"/>
      <charset val="1"/>
    </font>
    <font>
      <i/>
      <sz val="10"/>
      <color theme="1"/>
      <name val="Calibri"/>
      <family val="2"/>
      <charset val="1"/>
    </font>
    <font>
      <sz val="10"/>
      <name val="Calibri"/>
      <family val="2"/>
    </font>
    <font>
      <i/>
      <sz val="10"/>
      <color rgb="FF222222"/>
      <name val="Calibri"/>
      <family val="2"/>
      <charset val="1"/>
    </font>
    <font>
      <sz val="10"/>
      <color theme="1"/>
      <name val="Calibri"/>
      <family val="2"/>
      <charset val="1"/>
    </font>
    <font>
      <sz val="10"/>
      <color rgb="FF222222"/>
      <name val="Calibri"/>
      <family val="2"/>
      <charset val="1"/>
    </font>
    <font>
      <sz val="10"/>
      <color rgb="FFFFFFFF"/>
      <name val="Calibri"/>
      <family val="2"/>
      <charset val="1"/>
    </font>
    <font>
      <i/>
      <sz val="10"/>
      <color rgb="FF1B5E20"/>
      <name val="Calibri"/>
      <family val="2"/>
      <charset val="1"/>
    </font>
    <font>
      <i/>
      <sz val="9"/>
      <color rgb="FF555555"/>
      <name val="Calibri"/>
      <family val="2"/>
      <charset val="1"/>
    </font>
    <font>
      <i/>
      <sz val="10"/>
      <color rgb="FF4CAF50"/>
      <name val="Calibri"/>
      <family val="2"/>
      <charset val="1"/>
    </font>
    <font>
      <sz val="10"/>
      <color rgb="FF111827"/>
      <name val="Calibri"/>
      <family val="2"/>
      <charset val="1"/>
    </font>
    <font>
      <sz val="10"/>
      <color rgb="FF374151"/>
      <name val="Calibri"/>
      <family val="2"/>
      <charset val="1"/>
    </font>
    <font>
      <sz val="9"/>
      <color rgb="FF1B5E20"/>
      <name val="Calibri"/>
      <family val="2"/>
      <charset val="1"/>
    </font>
    <font>
      <i/>
      <sz val="10"/>
      <color rgb="FF9B59B6"/>
      <name val="Calibri"/>
      <family val="2"/>
      <charset val="1"/>
    </font>
    <font>
      <b/>
      <sz val="15"/>
      <color rgb="FFFFFFFF"/>
      <name val="Calibri"/>
      <family val="2"/>
      <charset val="1"/>
    </font>
    <font>
      <i/>
      <sz val="10"/>
      <color rgb="FF444444"/>
      <name val="Calibri"/>
      <family val="2"/>
      <charset val="1"/>
    </font>
    <font>
      <b/>
      <sz val="16"/>
      <color rgb="FFFFFFFF"/>
      <name val="Calibri"/>
      <family val="2"/>
      <charset val="1"/>
    </font>
    <font>
      <b/>
      <sz val="11"/>
      <color rgb="FFFFFFFF"/>
      <name val="Calibri"/>
      <family val="2"/>
    </font>
    <font>
      <b/>
      <sz val="11"/>
      <name val="Calibri"/>
      <family val="2"/>
    </font>
    <font>
      <sz val="11"/>
      <name val="Calibri"/>
      <family val="2"/>
    </font>
    <font>
      <i/>
      <sz val="10"/>
      <name val="Calibri"/>
      <family val="2"/>
    </font>
    <font>
      <b/>
      <sz val="10"/>
      <color rgb="FFFFFFFF"/>
      <name val="Calibri"/>
      <family val="2"/>
    </font>
    <font>
      <sz val="9"/>
      <name val="Calibri"/>
      <family val="2"/>
    </font>
  </fonts>
  <fills count="29">
    <fill>
      <patternFill patternType="none"/>
    </fill>
    <fill>
      <patternFill patternType="gray125"/>
    </fill>
    <fill>
      <patternFill patternType="solid">
        <fgColor rgb="FF1E2761"/>
        <bgColor rgb="FF222222"/>
      </patternFill>
    </fill>
    <fill>
      <patternFill patternType="solid">
        <fgColor rgb="FF36454F"/>
        <bgColor rgb="FF374151"/>
      </patternFill>
    </fill>
    <fill>
      <patternFill patternType="solid">
        <fgColor rgb="FFF2F2F2"/>
        <bgColor rgb="FFF0F0F0"/>
      </patternFill>
    </fill>
    <fill>
      <patternFill patternType="solid">
        <fgColor rgb="FFFFFDE7"/>
        <bgColor rgb="FFFFFFF0"/>
      </patternFill>
    </fill>
    <fill>
      <patternFill patternType="solid">
        <fgColor rgb="FFDBEAFE"/>
        <bgColor rgb="FFEEF2FF"/>
      </patternFill>
    </fill>
    <fill>
      <patternFill patternType="solid">
        <fgColor rgb="FFFEF9C3"/>
        <bgColor rgb="FFFFFDE7"/>
      </patternFill>
    </fill>
    <fill>
      <patternFill patternType="solid">
        <fgColor rgb="FFFEE2E2"/>
        <bgColor rgb="FFF5EEF8"/>
      </patternFill>
    </fill>
    <fill>
      <patternFill patternType="solid">
        <fgColor rgb="FFF3F4F6"/>
        <bgColor rgb="FFF2F2F2"/>
      </patternFill>
    </fill>
    <fill>
      <patternFill patternType="solid">
        <fgColor rgb="FFC8E6C9"/>
        <bgColor rgb="FFE0E0E0"/>
      </patternFill>
    </fill>
    <fill>
      <patternFill patternType="solid">
        <fgColor rgb="FF1B5E20"/>
        <bgColor rgb="FF36454F"/>
      </patternFill>
    </fill>
    <fill>
      <patternFill patternType="solid">
        <fgColor rgb="FFB22222"/>
        <bgColor rgb="FF991B1B"/>
      </patternFill>
    </fill>
    <fill>
      <patternFill patternType="solid">
        <fgColor rgb="FFEFF6FF"/>
        <bgColor rgb="FFEEF2FF"/>
      </patternFill>
    </fill>
    <fill>
      <patternFill patternType="solid">
        <fgColor rgb="FFE8F5E9"/>
        <bgColor rgb="FFF1F8E9"/>
      </patternFill>
    </fill>
    <fill>
      <patternFill patternType="solid">
        <fgColor rgb="FFFFFFF0"/>
        <bgColor rgb="FFFFFDE7"/>
      </patternFill>
    </fill>
    <fill>
      <patternFill patternType="solid">
        <fgColor rgb="FFF8FAFC"/>
        <bgColor rgb="FFF5F9FF"/>
      </patternFill>
    </fill>
    <fill>
      <patternFill patternType="solid">
        <fgColor rgb="FFE07A1F"/>
        <bgColor rgb="FFC09000"/>
      </patternFill>
    </fill>
    <fill>
      <patternFill patternType="solid">
        <fgColor rgb="FFF0C808"/>
        <bgColor rgb="FFC09000"/>
      </patternFill>
    </fill>
    <fill>
      <patternFill patternType="solid">
        <fgColor rgb="FF2E8B57"/>
        <bgColor rgb="FF008080"/>
      </patternFill>
    </fill>
    <fill>
      <patternFill patternType="solid">
        <fgColor rgb="FFC09000"/>
        <bgColor rgb="FFE07A1F"/>
      </patternFill>
    </fill>
    <fill>
      <patternFill patternType="solid">
        <fgColor rgb="FFF5F9FF"/>
        <bgColor rgb="FFF8FAFC"/>
      </patternFill>
    </fill>
    <fill>
      <patternFill patternType="solid">
        <fgColor rgb="FFF0F0F0"/>
        <bgColor rgb="FFF2F2F2"/>
      </patternFill>
    </fill>
    <fill>
      <patternFill patternType="solid">
        <fgColor rgb="FFF5EEF8"/>
        <bgColor rgb="FFF2F2F2"/>
      </patternFill>
    </fill>
    <fill>
      <patternFill patternType="solid">
        <fgColor rgb="FFF1F8E9"/>
        <bgColor rgb="FFF3F4F6"/>
      </patternFill>
    </fill>
    <fill>
      <patternFill patternType="solid">
        <fgColor rgb="FFEEF2FF"/>
        <bgColor rgb="FFEFF6FF"/>
      </patternFill>
    </fill>
    <fill>
      <patternFill patternType="solid">
        <fgColor rgb="FF1D4ED8"/>
        <bgColor rgb="FF4B5563"/>
      </patternFill>
    </fill>
    <fill>
      <patternFill patternType="solid">
        <fgColor rgb="FF854D0E"/>
        <bgColor rgb="FF555555"/>
      </patternFill>
    </fill>
    <fill>
      <patternFill patternType="solid">
        <fgColor rgb="FF991B1B"/>
        <bgColor rgb="FFB22222"/>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bottom style="thin">
        <color rgb="FFBFBFBF"/>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s>
  <cellStyleXfs count="1">
    <xf numFmtId="0" fontId="0" fillId="0" borderId="0"/>
  </cellStyleXfs>
  <cellXfs count="159">
    <xf numFmtId="0" fontId="0" fillId="0" borderId="0" xfId="0"/>
    <xf numFmtId="0" fontId="4" fillId="4" borderId="0" xfId="0" applyFont="1" applyFill="1"/>
    <xf numFmtId="0" fontId="6" fillId="6" borderId="1" xfId="0" applyFont="1" applyFill="1" applyBorder="1" applyAlignment="1">
      <alignment horizontal="center" vertical="center" wrapText="1"/>
    </xf>
    <xf numFmtId="0" fontId="4" fillId="0" borderId="1" xfId="0" applyFont="1" applyBorder="1"/>
    <xf numFmtId="0" fontId="9"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2" fillId="3" borderId="0" xfId="0" applyFont="1" applyFill="1" applyAlignment="1">
      <alignment horizontal="center" vertical="center" wrapText="1"/>
    </xf>
    <xf numFmtId="0" fontId="0" fillId="0" borderId="0" xfId="0" applyAlignment="1">
      <alignment horizontal="center" wrapText="1"/>
    </xf>
    <xf numFmtId="0" fontId="0" fillId="0" borderId="0" xfId="0" applyAlignment="1">
      <alignment wrapText="1"/>
    </xf>
    <xf numFmtId="0" fontId="16" fillId="7" borderId="0" xfId="0" applyFont="1" applyFill="1" applyAlignment="1">
      <alignment vertical="center" wrapText="1"/>
    </xf>
    <xf numFmtId="0" fontId="17" fillId="10" borderId="0" xfId="0" applyFont="1" applyFill="1" applyAlignment="1">
      <alignment vertical="center" wrapText="1"/>
    </xf>
    <xf numFmtId="0" fontId="18" fillId="0" borderId="0" xfId="0" applyFont="1" applyAlignment="1">
      <alignment vertical="center" wrapText="1"/>
    </xf>
    <xf numFmtId="0" fontId="19" fillId="3" borderId="1" xfId="0" applyFont="1" applyFill="1" applyBorder="1" applyAlignment="1">
      <alignment horizontal="center" vertical="center" wrapText="1"/>
    </xf>
    <xf numFmtId="0" fontId="19" fillId="3" borderId="1" xfId="0" applyFont="1" applyFill="1" applyBorder="1" applyAlignment="1">
      <alignment vertical="center" wrapText="1"/>
    </xf>
    <xf numFmtId="0" fontId="19" fillId="11" borderId="1" xfId="0" applyFont="1" applyFill="1" applyBorder="1" applyAlignment="1">
      <alignment vertical="center" wrapText="1"/>
    </xf>
    <xf numFmtId="0" fontId="12" fillId="3" borderId="1" xfId="0" applyFont="1" applyFill="1" applyBorder="1" applyAlignment="1">
      <alignment vertical="center" wrapText="1"/>
    </xf>
    <xf numFmtId="0" fontId="20" fillId="0" borderId="0" xfId="0" applyFont="1" applyAlignment="1">
      <alignment wrapText="1"/>
    </xf>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49" fontId="21" fillId="0" borderId="1" xfId="0" applyNumberFormat="1" applyFont="1" applyBorder="1" applyAlignment="1">
      <alignment horizontal="center" vertical="center" wrapText="1"/>
    </xf>
    <xf numFmtId="0" fontId="21" fillId="12" borderId="1" xfId="0" applyFont="1" applyFill="1" applyBorder="1" applyAlignment="1">
      <alignment horizontal="center" vertical="center" wrapText="1"/>
    </xf>
    <xf numFmtId="0" fontId="21" fillId="13" borderId="1" xfId="0" applyFont="1" applyFill="1" applyBorder="1" applyAlignment="1">
      <alignment horizontal="left" vertical="top" wrapText="1"/>
    </xf>
    <xf numFmtId="0" fontId="21" fillId="5" borderId="1" xfId="0" applyFont="1" applyFill="1" applyBorder="1" applyAlignment="1">
      <alignment horizontal="left" vertical="top" wrapText="1"/>
    </xf>
    <xf numFmtId="0" fontId="21" fillId="14" borderId="1" xfId="0" applyFont="1" applyFill="1" applyBorder="1" applyAlignment="1">
      <alignment horizontal="left" vertical="top" wrapText="1"/>
    </xf>
    <xf numFmtId="0" fontId="21" fillId="15" borderId="1" xfId="0" applyFont="1" applyFill="1" applyBorder="1" applyAlignment="1">
      <alignment horizontal="center" vertical="center" wrapText="1"/>
    </xf>
    <xf numFmtId="0" fontId="21" fillId="16" borderId="1" xfId="0" applyFont="1" applyFill="1" applyBorder="1" applyAlignment="1">
      <alignment horizontal="left" vertical="top" wrapText="1"/>
    </xf>
    <xf numFmtId="0" fontId="21" fillId="0" borderId="0" xfId="0" applyFont="1" applyAlignment="1">
      <alignment wrapText="1"/>
    </xf>
    <xf numFmtId="49" fontId="22" fillId="0" borderId="1" xfId="0" applyNumberFormat="1" applyFont="1" applyBorder="1" applyAlignment="1">
      <alignment horizontal="center" vertical="top"/>
    </xf>
    <xf numFmtId="0" fontId="21" fillId="16" borderId="1" xfId="0" applyFont="1" applyFill="1" applyBorder="1" applyAlignment="1">
      <alignment horizontal="center" vertical="center" wrapText="1"/>
    </xf>
    <xf numFmtId="0" fontId="21" fillId="16" borderId="1" xfId="0" applyFont="1" applyFill="1" applyBorder="1" applyAlignment="1">
      <alignment horizontal="left" vertical="center" wrapText="1"/>
    </xf>
    <xf numFmtId="49" fontId="2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horizontal="left" vertical="center" wrapText="1"/>
    </xf>
    <xf numFmtId="49" fontId="0" fillId="16" borderId="1" xfId="0" applyNumberFormat="1" applyFill="1" applyBorder="1" applyAlignment="1">
      <alignment horizontal="center" vertical="center" wrapText="1"/>
    </xf>
    <xf numFmtId="0" fontId="12" fillId="17" borderId="1" xfId="0" applyFont="1" applyFill="1" applyBorder="1" applyAlignment="1">
      <alignment horizontal="center" vertical="center" wrapText="1"/>
    </xf>
    <xf numFmtId="0" fontId="23" fillId="13" borderId="1" xfId="0" applyFont="1" applyFill="1" applyBorder="1" applyAlignment="1">
      <alignment horizontal="left" vertical="top" wrapText="1"/>
    </xf>
    <xf numFmtId="0" fontId="0" fillId="5" borderId="1" xfId="0" applyFill="1" applyBorder="1" applyAlignment="1">
      <alignment horizontal="left" vertical="top" wrapText="1"/>
    </xf>
    <xf numFmtId="0" fontId="17" fillId="14" borderId="1" xfId="0" applyFont="1" applyFill="1" applyBorder="1" applyAlignment="1">
      <alignment horizontal="left" vertical="top" wrapText="1"/>
    </xf>
    <xf numFmtId="0" fontId="0" fillId="15" borderId="1" xfId="0" applyFill="1" applyBorder="1" applyAlignment="1">
      <alignment horizontal="center" vertical="center" wrapText="1"/>
    </xf>
    <xf numFmtId="0" fontId="0" fillId="16" borderId="1" xfId="0"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center" vertical="center" wrapText="1"/>
    </xf>
    <xf numFmtId="0" fontId="12"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24" fillId="0" borderId="1" xfId="0" applyFont="1" applyBorder="1" applyAlignment="1">
      <alignment vertical="center" wrapText="1"/>
    </xf>
    <xf numFmtId="49" fontId="24" fillId="0" borderId="1" xfId="0" applyNumberFormat="1" applyFont="1" applyBorder="1" applyAlignment="1">
      <alignment vertical="center" wrapText="1"/>
    </xf>
    <xf numFmtId="0" fontId="24" fillId="12" borderId="1" xfId="0" applyFont="1" applyFill="1" applyBorder="1" applyAlignment="1">
      <alignment vertical="center" wrapText="1"/>
    </xf>
    <xf numFmtId="0" fontId="24" fillId="13" borderId="1" xfId="0" applyFont="1" applyFill="1" applyBorder="1" applyAlignment="1">
      <alignment vertical="top" wrapText="1"/>
    </xf>
    <xf numFmtId="0" fontId="24" fillId="5" borderId="1" xfId="0" applyFont="1" applyFill="1" applyBorder="1" applyAlignment="1">
      <alignment vertical="top" wrapText="1"/>
    </xf>
    <xf numFmtId="0" fontId="21" fillId="14" borderId="1" xfId="0" applyFont="1" applyFill="1" applyBorder="1" applyAlignment="1">
      <alignment vertical="top" wrapText="1"/>
    </xf>
    <xf numFmtId="0" fontId="21" fillId="15" borderId="1" xfId="0" applyFont="1" applyFill="1" applyBorder="1" applyAlignment="1">
      <alignment vertical="center" wrapText="1"/>
    </xf>
    <xf numFmtId="0" fontId="21" fillId="16" borderId="1" xfId="0" applyFont="1" applyFill="1" applyBorder="1" applyAlignment="1">
      <alignment vertical="top" wrapText="1"/>
    </xf>
    <xf numFmtId="0" fontId="24" fillId="16" borderId="1" xfId="0" applyFont="1" applyFill="1" applyBorder="1" applyAlignment="1">
      <alignment vertical="center" wrapText="1"/>
    </xf>
    <xf numFmtId="49" fontId="24" fillId="16" borderId="1" xfId="0" applyNumberFormat="1" applyFont="1" applyFill="1" applyBorder="1" applyAlignment="1">
      <alignment vertical="center" wrapText="1"/>
    </xf>
    <xf numFmtId="0" fontId="0" fillId="16" borderId="1" xfId="0" applyFill="1" applyBorder="1" applyAlignment="1">
      <alignment vertical="center" wrapText="1"/>
    </xf>
    <xf numFmtId="49" fontId="0" fillId="16" borderId="1" xfId="0" applyNumberFormat="1" applyFill="1" applyBorder="1" applyAlignment="1">
      <alignment vertical="center" wrapText="1"/>
    </xf>
    <xf numFmtId="0" fontId="19" fillId="17" borderId="1" xfId="0" applyFont="1" applyFill="1" applyBorder="1" applyAlignment="1">
      <alignment horizontal="center" vertical="center" wrapText="1"/>
    </xf>
    <xf numFmtId="0" fontId="25" fillId="13" borderId="1" xfId="0" applyFont="1" applyFill="1" applyBorder="1" applyAlignment="1">
      <alignment vertical="top" wrapText="1"/>
    </xf>
    <xf numFmtId="0" fontId="0" fillId="5" borderId="1" xfId="0" applyFill="1" applyBorder="1" applyAlignment="1">
      <alignment vertical="top" wrapText="1"/>
    </xf>
    <xf numFmtId="0" fontId="17" fillId="14" borderId="1" xfId="0" applyFont="1" applyFill="1" applyBorder="1" applyAlignment="1">
      <alignment vertical="top" wrapText="1"/>
    </xf>
    <xf numFmtId="0" fontId="0" fillId="15" borderId="1" xfId="0" applyFill="1" applyBorder="1" applyAlignment="1">
      <alignment vertical="center" wrapText="1"/>
    </xf>
    <xf numFmtId="0" fontId="0" fillId="16" borderId="1" xfId="0" applyFill="1" applyBorder="1" applyAlignment="1">
      <alignment vertical="top" wrapText="1"/>
    </xf>
    <xf numFmtId="0" fontId="0" fillId="0" borderId="1" xfId="0" applyBorder="1" applyAlignment="1">
      <alignment vertical="center" wrapText="1"/>
    </xf>
    <xf numFmtId="49" fontId="0" fillId="0" borderId="1" xfId="0" applyNumberFormat="1" applyBorder="1" applyAlignment="1">
      <alignment vertical="center" wrapText="1"/>
    </xf>
    <xf numFmtId="0" fontId="24" fillId="12" borderId="1" xfId="0" applyFont="1" applyFill="1" applyBorder="1" applyAlignment="1">
      <alignment horizontal="center" vertical="center" wrapText="1"/>
    </xf>
    <xf numFmtId="0" fontId="26" fillId="19" borderId="1" xfId="0" applyFont="1" applyFill="1" applyBorder="1" applyAlignment="1">
      <alignment horizontal="center" vertical="center"/>
    </xf>
    <xf numFmtId="0" fontId="26" fillId="20"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0" borderId="1" xfId="0" applyFont="1" applyBorder="1" applyAlignment="1">
      <alignment horizontal="left" vertical="center" wrapText="1"/>
    </xf>
    <xf numFmtId="49" fontId="24" fillId="0" borderId="1" xfId="0" applyNumberFormat="1" applyFont="1" applyBorder="1" applyAlignment="1">
      <alignment horizontal="center" vertical="center" wrapText="1"/>
    </xf>
    <xf numFmtId="0" fontId="24" fillId="13" borderId="1" xfId="0" applyFont="1" applyFill="1" applyBorder="1" applyAlignment="1">
      <alignment horizontal="left" vertical="top" wrapText="1"/>
    </xf>
    <xf numFmtId="0" fontId="24" fillId="5" borderId="1" xfId="0" applyFont="1" applyFill="1" applyBorder="1" applyAlignment="1">
      <alignment horizontal="left" vertical="top" wrapText="1"/>
    </xf>
    <xf numFmtId="0" fontId="24" fillId="16" borderId="1" xfId="0" applyFont="1" applyFill="1" applyBorder="1" applyAlignment="1">
      <alignment horizontal="center" vertical="center" wrapText="1"/>
    </xf>
    <xf numFmtId="0" fontId="24" fillId="16" borderId="1" xfId="0" applyFont="1" applyFill="1" applyBorder="1" applyAlignment="1">
      <alignment horizontal="left" vertical="center" wrapText="1"/>
    </xf>
    <xf numFmtId="49" fontId="24" fillId="16" borderId="1" xfId="0" applyNumberFormat="1" applyFont="1" applyFill="1" applyBorder="1" applyAlignment="1">
      <alignment horizontal="center" vertical="center" wrapText="1"/>
    </xf>
    <xf numFmtId="0" fontId="25" fillId="13" borderId="1" xfId="0" applyFont="1" applyFill="1" applyBorder="1" applyAlignment="1">
      <alignment horizontal="left" vertical="top" wrapText="1"/>
    </xf>
    <xf numFmtId="0" fontId="26" fillId="17" borderId="1" xfId="0" applyFont="1" applyFill="1" applyBorder="1" applyAlignment="1">
      <alignment horizontal="center" vertical="center" wrapText="1"/>
    </xf>
    <xf numFmtId="0" fontId="27" fillId="14" borderId="1" xfId="0" applyFont="1" applyFill="1" applyBorder="1" applyAlignment="1">
      <alignment horizontal="left" vertical="top" wrapText="1"/>
    </xf>
    <xf numFmtId="0" fontId="28" fillId="16" borderId="1" xfId="0" applyFont="1" applyFill="1" applyBorder="1" applyAlignment="1">
      <alignment horizontal="left" vertical="top" wrapText="1"/>
    </xf>
    <xf numFmtId="0" fontId="29" fillId="14" borderId="1" xfId="0" applyFont="1" applyFill="1" applyBorder="1" applyAlignment="1">
      <alignment horizontal="left" vertical="top" wrapText="1"/>
    </xf>
    <xf numFmtId="0" fontId="24" fillId="12" borderId="4" xfId="0" applyFont="1" applyFill="1" applyBorder="1" applyAlignment="1">
      <alignment horizontal="center" vertical="center" wrapText="1"/>
    </xf>
    <xf numFmtId="0" fontId="24" fillId="21" borderId="4" xfId="0" applyFont="1" applyFill="1" applyBorder="1" applyAlignment="1">
      <alignment horizontal="left" vertical="top" wrapText="1"/>
    </xf>
    <xf numFmtId="0" fontId="24" fillId="5" borderId="4" xfId="0" applyFont="1" applyFill="1" applyBorder="1" applyAlignment="1">
      <alignment horizontal="left" vertical="top" wrapText="1"/>
    </xf>
    <xf numFmtId="0" fontId="21" fillId="22" borderId="4" xfId="0" applyFont="1" applyFill="1" applyBorder="1" applyAlignment="1">
      <alignment horizontal="left" vertical="center" wrapText="1"/>
    </xf>
    <xf numFmtId="0" fontId="21" fillId="22" borderId="4" xfId="0" applyFont="1" applyFill="1" applyBorder="1" applyAlignment="1">
      <alignment horizontal="center" vertical="center" wrapText="1"/>
    </xf>
    <xf numFmtId="0" fontId="21" fillId="22" borderId="4" xfId="0" applyFont="1" applyFill="1" applyBorder="1" applyAlignment="1">
      <alignment wrapText="1"/>
    </xf>
    <xf numFmtId="0" fontId="26" fillId="17" borderId="1" xfId="0" applyFont="1" applyFill="1" applyBorder="1" applyAlignment="1">
      <alignment horizontal="center" vertical="center"/>
    </xf>
    <xf numFmtId="0" fontId="30" fillId="5" borderId="1" xfId="0" applyFont="1" applyFill="1" applyBorder="1" applyAlignment="1">
      <alignment horizontal="left" vertical="top" wrapText="1"/>
    </xf>
    <xf numFmtId="0" fontId="30" fillId="15" borderId="1" xfId="0" applyFont="1" applyFill="1" applyBorder="1" applyAlignment="1">
      <alignment horizontal="center" vertical="center" wrapText="1"/>
    </xf>
    <xf numFmtId="0" fontId="26" fillId="20" borderId="1" xfId="0" applyFont="1" applyFill="1" applyBorder="1" applyAlignment="1">
      <alignment horizontal="center" vertical="center"/>
    </xf>
    <xf numFmtId="0" fontId="26" fillId="20" borderId="4" xfId="0" applyFont="1" applyFill="1" applyBorder="1" applyAlignment="1">
      <alignment horizontal="center" vertical="center"/>
    </xf>
    <xf numFmtId="0" fontId="31" fillId="21" borderId="4" xfId="0" applyFont="1" applyFill="1" applyBorder="1" applyAlignment="1">
      <alignment horizontal="left" vertical="top" wrapText="1"/>
    </xf>
    <xf numFmtId="0" fontId="0" fillId="5" borderId="4" xfId="0" applyFill="1" applyBorder="1" applyAlignment="1">
      <alignment horizontal="left" vertical="top" wrapText="1"/>
    </xf>
    <xf numFmtId="0" fontId="0" fillId="22" borderId="4" xfId="0" applyFill="1" applyBorder="1" applyAlignment="1">
      <alignment horizontal="left" vertical="center" wrapText="1"/>
    </xf>
    <xf numFmtId="0" fontId="0" fillId="22" borderId="4" xfId="0" applyFill="1" applyBorder="1" applyAlignment="1">
      <alignment horizontal="center" vertical="center" wrapText="1"/>
    </xf>
    <xf numFmtId="0" fontId="0" fillId="22" borderId="4" xfId="0" applyFill="1" applyBorder="1"/>
    <xf numFmtId="0" fontId="26" fillId="17" borderId="4" xfId="0" applyFont="1" applyFill="1" applyBorder="1" applyAlignment="1">
      <alignment horizontal="center" vertical="center"/>
    </xf>
    <xf numFmtId="0" fontId="26" fillId="19" borderId="4" xfId="0" applyFont="1" applyFill="1" applyBorder="1" applyAlignment="1">
      <alignment horizontal="center" vertical="center"/>
    </xf>
    <xf numFmtId="0" fontId="19" fillId="19" borderId="1" xfId="0" applyFont="1" applyFill="1" applyBorder="1" applyAlignment="1">
      <alignment horizontal="center" vertical="center" wrapText="1"/>
    </xf>
    <xf numFmtId="0" fontId="32" fillId="14" borderId="1" xfId="0" applyFont="1" applyFill="1" applyBorder="1" applyAlignment="1">
      <alignment horizontal="left" vertical="top" wrapText="1"/>
    </xf>
    <xf numFmtId="0" fontId="33" fillId="23" borderId="1" xfId="0" applyFont="1" applyFill="1" applyBorder="1" applyAlignment="1">
      <alignment horizontal="left" vertical="top" wrapText="1"/>
    </xf>
    <xf numFmtId="0" fontId="29" fillId="24" borderId="1" xfId="0" applyFont="1" applyFill="1" applyBorder="1" applyAlignment="1">
      <alignment horizontal="left" vertical="top" wrapText="1"/>
    </xf>
    <xf numFmtId="0" fontId="0" fillId="25" borderId="1" xfId="0" applyFill="1" applyBorder="1" applyAlignment="1">
      <alignment horizontal="center" vertical="center" wrapText="1"/>
    </xf>
    <xf numFmtId="0" fontId="0" fillId="25" borderId="1" xfId="0" applyFill="1" applyBorder="1" applyAlignment="1">
      <alignment horizontal="left" vertical="center" wrapText="1"/>
    </xf>
    <xf numFmtId="49" fontId="0" fillId="25" borderId="1" xfId="0" applyNumberFormat="1" applyFill="1" applyBorder="1" applyAlignment="1">
      <alignment horizontal="center" vertical="center" wrapText="1"/>
    </xf>
    <xf numFmtId="0" fontId="21" fillId="25" borderId="1" xfId="0" applyFont="1" applyFill="1" applyBorder="1" applyAlignment="1">
      <alignment horizontal="center" vertical="center" wrapText="1"/>
    </xf>
    <xf numFmtId="0" fontId="21" fillId="25" borderId="1" xfId="0" applyFont="1" applyFill="1" applyBorder="1" applyAlignment="1">
      <alignment horizontal="left" vertical="center" wrapText="1"/>
    </xf>
    <xf numFmtId="49" fontId="21" fillId="25" borderId="1" xfId="0" applyNumberFormat="1" applyFont="1" applyFill="1" applyBorder="1" applyAlignment="1">
      <alignment horizontal="center" vertical="center" wrapText="1"/>
    </xf>
    <xf numFmtId="0" fontId="21" fillId="23" borderId="1" xfId="0" applyFont="1" applyFill="1" applyBorder="1" applyAlignment="1">
      <alignment horizontal="left" vertical="top" wrapText="1"/>
    </xf>
    <xf numFmtId="0" fontId="21" fillId="24" borderId="1" xfId="0" applyFont="1" applyFill="1" applyBorder="1" applyAlignment="1">
      <alignment horizontal="left" vertical="top" wrapText="1"/>
    </xf>
    <xf numFmtId="0" fontId="0" fillId="0" borderId="0" xfId="0" applyAlignment="1">
      <alignment horizontal="left"/>
    </xf>
    <xf numFmtId="0" fontId="20" fillId="4" borderId="0" xfId="0" applyFont="1" applyFill="1" applyAlignment="1">
      <alignment horizontal="center" vertical="center" wrapText="1"/>
    </xf>
    <xf numFmtId="0" fontId="12" fillId="26"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20" fillId="0" borderId="0" xfId="0" applyFont="1" applyAlignment="1">
      <alignment horizontal="center" vertical="center" wrapText="1"/>
    </xf>
    <xf numFmtId="0" fontId="7" fillId="0" borderId="1" xfId="0" applyFont="1" applyBorder="1" applyAlignment="1">
      <alignment horizontal="left" vertical="top" wrapText="1"/>
    </xf>
    <xf numFmtId="0" fontId="0" fillId="15" borderId="1" xfId="0" applyFill="1" applyBorder="1" applyAlignment="1">
      <alignment horizontal="left" vertical="top" wrapText="1"/>
    </xf>
    <xf numFmtId="0" fontId="7" fillId="6" borderId="1" xfId="0" applyFont="1" applyFill="1" applyBorder="1" applyAlignment="1">
      <alignment horizontal="left" vertical="top" wrapText="1"/>
    </xf>
    <xf numFmtId="0" fontId="17" fillId="10" borderId="1" xfId="0" applyFont="1" applyFill="1" applyBorder="1" applyAlignment="1">
      <alignment horizontal="left" vertical="top" wrapText="1"/>
    </xf>
    <xf numFmtId="0" fontId="12" fillId="2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12" fillId="28" borderId="1" xfId="0" applyFont="1" applyFill="1" applyBorder="1" applyAlignment="1">
      <alignment horizontal="center" vertical="center" wrapText="1"/>
    </xf>
    <xf numFmtId="0" fontId="7" fillId="8" borderId="1" xfId="0" applyFont="1" applyFill="1" applyBorder="1" applyAlignment="1">
      <alignment horizontal="left" vertical="top" wrapText="1"/>
    </xf>
    <xf numFmtId="0" fontId="4" fillId="0" borderId="0" xfId="0" applyFont="1"/>
    <xf numFmtId="0" fontId="7" fillId="0" borderId="0" xfId="0" applyFont="1"/>
    <xf numFmtId="0" fontId="37" fillId="3" borderId="5" xfId="0" applyFont="1" applyFill="1" applyBorder="1" applyAlignment="1">
      <alignment horizontal="center" vertical="center" wrapText="1"/>
    </xf>
    <xf numFmtId="0" fontId="38" fillId="0" borderId="5" xfId="0" applyFont="1" applyBorder="1" applyAlignment="1">
      <alignment horizontal="center" vertical="center"/>
    </xf>
    <xf numFmtId="0" fontId="39" fillId="0" borderId="5" xfId="0" applyFont="1" applyBorder="1" applyAlignment="1">
      <alignment horizontal="left" vertical="center"/>
    </xf>
    <xf numFmtId="0" fontId="39" fillId="0" borderId="5" xfId="0" applyFont="1" applyBorder="1" applyAlignment="1">
      <alignment horizontal="center" vertical="center"/>
    </xf>
    <xf numFmtId="164" fontId="39" fillId="0" borderId="5" xfId="0" applyNumberFormat="1" applyFont="1" applyBorder="1" applyAlignment="1">
      <alignment horizontal="center" vertical="center"/>
    </xf>
    <xf numFmtId="0" fontId="39" fillId="0" borderId="0" xfId="0" applyFont="1"/>
    <xf numFmtId="0" fontId="38" fillId="16" borderId="5" xfId="0" applyFont="1" applyFill="1" applyBorder="1" applyAlignment="1">
      <alignment horizontal="center" vertical="center"/>
    </xf>
    <xf numFmtId="0" fontId="39" fillId="16" borderId="5" xfId="0" applyFont="1" applyFill="1" applyBorder="1" applyAlignment="1">
      <alignment horizontal="left" vertical="center"/>
    </xf>
    <xf numFmtId="0" fontId="39" fillId="16" borderId="5" xfId="0" applyFont="1" applyFill="1" applyBorder="1" applyAlignment="1">
      <alignment horizontal="center" vertical="center"/>
    </xf>
    <xf numFmtId="164" fontId="39" fillId="16" borderId="5" xfId="0" applyNumberFormat="1" applyFont="1" applyFill="1" applyBorder="1" applyAlignment="1">
      <alignment horizontal="center" vertical="center"/>
    </xf>
    <xf numFmtId="0" fontId="37" fillId="2" borderId="5" xfId="0" applyFont="1" applyFill="1" applyBorder="1" applyAlignment="1">
      <alignment horizontal="center" vertical="center"/>
    </xf>
    <xf numFmtId="0" fontId="37" fillId="2" borderId="5" xfId="0" applyFont="1" applyFill="1" applyBorder="1" applyAlignment="1">
      <alignment horizontal="left" vertical="center"/>
    </xf>
    <xf numFmtId="164" fontId="37" fillId="2" borderId="5" xfId="0" applyNumberFormat="1" applyFont="1" applyFill="1" applyBorder="1" applyAlignment="1">
      <alignment horizontal="center" vertical="center"/>
    </xf>
    <xf numFmtId="0" fontId="41" fillId="3" borderId="0" xfId="0" applyFont="1" applyFill="1" applyAlignment="1">
      <alignment horizontal="center" vertical="center" wrapText="1"/>
    </xf>
    <xf numFmtId="0" fontId="42" fillId="0" borderId="0" xfId="0" applyFont="1" applyAlignment="1">
      <alignment vertical="top"/>
    </xf>
    <xf numFmtId="0" fontId="42" fillId="0" borderId="0" xfId="0" applyFont="1" applyAlignment="1">
      <alignment vertical="top" wrapText="1"/>
    </xf>
    <xf numFmtId="0" fontId="40" fillId="0" borderId="0" xfId="0" applyFont="1" applyAlignment="1">
      <alignment horizontal="left" vertical="top" wrapText="1"/>
    </xf>
    <xf numFmtId="0" fontId="36" fillId="2" borderId="0" xfId="0" applyFont="1" applyFill="1" applyAlignment="1">
      <alignment horizontal="left" vertical="center" indent="2"/>
    </xf>
    <xf numFmtId="0" fontId="2" fillId="2" borderId="0" xfId="0" applyFont="1" applyFill="1" applyAlignment="1">
      <alignment horizontal="left" vertical="center" indent="2"/>
    </xf>
    <xf numFmtId="0" fontId="3" fillId="3" borderId="0" xfId="0" applyFont="1" applyFill="1" applyAlignment="1">
      <alignment horizontal="left" vertical="center" indent="2"/>
    </xf>
    <xf numFmtId="0" fontId="0" fillId="5" borderId="0" xfId="0" applyFill="1"/>
    <xf numFmtId="0" fontId="5" fillId="2" borderId="0" xfId="0" applyFont="1" applyFill="1" applyAlignment="1">
      <alignment horizontal="left" vertical="center" indent="1"/>
    </xf>
    <xf numFmtId="0" fontId="7" fillId="0" borderId="2" xfId="0" applyFont="1" applyBorder="1"/>
    <xf numFmtId="0" fontId="8" fillId="0" borderId="2" xfId="0" applyFont="1" applyBorder="1"/>
    <xf numFmtId="0" fontId="7" fillId="0" borderId="0" xfId="0" applyFont="1" applyAlignment="1">
      <alignment horizontal="left" vertical="center" wrapText="1"/>
    </xf>
    <xf numFmtId="0" fontId="13" fillId="2" borderId="0" xfId="0" applyFont="1" applyFill="1" applyAlignment="1">
      <alignment horizontal="center" vertical="center" wrapText="1"/>
    </xf>
    <xf numFmtId="0" fontId="14" fillId="0" borderId="0" xfId="0" applyFont="1" applyAlignment="1">
      <alignment horizontal="center" vertical="center" wrapText="1"/>
    </xf>
    <xf numFmtId="0" fontId="15" fillId="0" borderId="3" xfId="0" applyFont="1" applyBorder="1" applyAlignment="1">
      <alignment horizontal="center" vertical="center" wrapText="1"/>
    </xf>
    <xf numFmtId="0" fontId="34" fillId="26" borderId="0" xfId="0" applyFont="1" applyFill="1" applyAlignment="1">
      <alignment horizontal="left" vertical="center" indent="2"/>
    </xf>
    <xf numFmtId="0" fontId="35" fillId="0" borderId="0" xfId="0" applyFont="1" applyAlignment="1">
      <alignment horizontal="left" vertical="center" wrapText="1" indent="2"/>
    </xf>
    <xf numFmtId="0" fontId="34" fillId="27" borderId="0" xfId="0" applyFont="1" applyFill="1" applyAlignment="1">
      <alignment horizontal="left" vertical="center" indent="2"/>
    </xf>
    <xf numFmtId="0" fontId="34" fillId="28" borderId="0" xfId="0" applyFont="1" applyFill="1" applyAlignment="1">
      <alignment horizontal="left" vertical="center" indent="2"/>
    </xf>
  </cellXfs>
  <cellStyles count="1">
    <cellStyle name="Normal" xfId="0" builtinId="0"/>
  </cellStyles>
  <dxfs count="5">
    <dxf>
      <font>
        <b/>
        <color rgb="FF991B1B"/>
      </font>
      <fill>
        <patternFill>
          <bgColor rgb="FFFFCCCC"/>
        </patternFill>
      </fill>
    </dxf>
    <dxf>
      <font>
        <b/>
        <color rgb="FF4B5563"/>
      </font>
      <fill>
        <patternFill>
          <bgColor rgb="FFF3F4F6"/>
        </patternFill>
      </fill>
    </dxf>
    <dxf>
      <font>
        <b/>
        <color rgb="FF991B1B"/>
      </font>
      <fill>
        <patternFill>
          <bgColor rgb="FFFEE2E2"/>
        </patternFill>
      </fill>
    </dxf>
    <dxf>
      <font>
        <b/>
        <color rgb="FF854D0E"/>
      </font>
      <fill>
        <patternFill>
          <bgColor rgb="FFFEF9C3"/>
        </patternFill>
      </fill>
    </dxf>
    <dxf>
      <font>
        <b/>
        <color rgb="FF1D4ED8"/>
      </font>
      <fill>
        <patternFill>
          <bgColor rgb="FFDBEAFE"/>
        </patternFill>
      </fill>
    </dxf>
  </dxfs>
  <tableStyles count="0" defaultTableStyle="TableStyleMedium2" defaultPivotStyle="PivotStyleLight16"/>
  <colors>
    <indexedColors>
      <rgbColor rgb="FF000000"/>
      <rgbColor rgb="FFFFFFFF"/>
      <rgbColor rgb="FFFF0000"/>
      <rgbColor rgb="FF00FF00"/>
      <rgbColor rgb="FF0000FF"/>
      <rgbColor rgb="FFF1F8E9"/>
      <rgbColor rgb="FFFF00FF"/>
      <rgbColor rgb="FFEFF6FF"/>
      <rgbColor rgb="FF800000"/>
      <rgbColor rgb="FF1B5E20"/>
      <rgbColor rgb="FF000080"/>
      <rgbColor rgb="FF555555"/>
      <rgbColor rgb="FF800080"/>
      <rgbColor rgb="FF008080"/>
      <rgbColor rgb="FFBFBFBF"/>
      <rgbColor rgb="FF888888"/>
      <rgbColor rgb="FF9B59B6"/>
      <rgbColor rgb="FFB22222"/>
      <rgbColor rgb="FFFEF9C3"/>
      <rgbColor rgb="FFDBEAFE"/>
      <rgbColor rgb="FF444444"/>
      <rgbColor rgb="FFF0F0F0"/>
      <rgbColor rgb="FF1D4ED8"/>
      <rgbColor rgb="FFE0E0E0"/>
      <rgbColor rgb="FF000080"/>
      <rgbColor rgb="FFFF00FF"/>
      <rgbColor rgb="FFFFFFF0"/>
      <rgbColor rgb="FFF3F4F6"/>
      <rgbColor rgb="FF800080"/>
      <rgbColor rgb="FF800000"/>
      <rgbColor rgb="FF008080"/>
      <rgbColor rgb="FF0000FF"/>
      <rgbColor rgb="FFF5F9FF"/>
      <rgbColor rgb="FFE8F5E9"/>
      <rgbColor rgb="FFC8E6C9"/>
      <rgbColor rgb="FFFFFDE7"/>
      <rgbColor rgb="FFEEF2FF"/>
      <rgbColor rgb="FFFEE2E2"/>
      <rgbColor rgb="FFF5EEF8"/>
      <rgbColor rgb="FFFFCCCC"/>
      <rgbColor rgb="FFF8FAFC"/>
      <rgbColor rgb="FF4CAF50"/>
      <rgbColor rgb="FFF2F2F2"/>
      <rgbColor rgb="FFF0C808"/>
      <rgbColor rgb="FFC09000"/>
      <rgbColor rgb="FFE07A1F"/>
      <rgbColor rgb="FF4B5563"/>
      <rgbColor rgb="FFAAAAAA"/>
      <rgbColor rgb="FF1E2761"/>
      <rgbColor rgb="FF2E8B57"/>
      <rgbColor rgb="FF111827"/>
      <rgbColor rgb="FF222222"/>
      <rgbColor rgb="FF991B1B"/>
      <rgbColor rgb="FF854D0E"/>
      <rgbColor rgb="FF36454F"/>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showGridLines="0" topLeftCell="A3" zoomScale="150" zoomScaleNormal="150" workbookViewId="0">
      <selection activeCell="A3" sqref="A3:F3"/>
    </sheetView>
  </sheetViews>
  <sheetFormatPr defaultColWidth="8.7109375" defaultRowHeight="15" x14ac:dyDescent="0.25"/>
  <cols>
    <col min="1" max="1" width="16" customWidth="1"/>
    <col min="2" max="2" width="20" customWidth="1"/>
    <col min="3" max="4" width="28" customWidth="1"/>
    <col min="5" max="5" width="24" customWidth="1"/>
    <col min="6" max="6" width="14" customWidth="1"/>
  </cols>
  <sheetData>
    <row r="1" spans="1:6" ht="25.5" customHeight="1" x14ac:dyDescent="0.25">
      <c r="A1" s="145" t="s">
        <v>0</v>
      </c>
      <c r="B1" s="145"/>
      <c r="C1" s="145"/>
      <c r="D1" s="145"/>
      <c r="E1" s="145"/>
      <c r="F1" s="145"/>
    </row>
    <row r="2" spans="1:6" ht="25.5" customHeight="1" x14ac:dyDescent="0.25">
      <c r="A2" s="145"/>
      <c r="B2" s="145"/>
      <c r="C2" s="145"/>
      <c r="D2" s="145"/>
      <c r="E2" s="145"/>
      <c r="F2" s="145"/>
    </row>
    <row r="3" spans="1:6" ht="19.5" customHeight="1" x14ac:dyDescent="0.25">
      <c r="A3" s="146" t="s">
        <v>2814</v>
      </c>
      <c r="B3" s="146"/>
      <c r="C3" s="146"/>
      <c r="D3" s="146"/>
      <c r="E3" s="146"/>
      <c r="F3" s="146"/>
    </row>
    <row r="5" spans="1:6" ht="19.5" customHeight="1" x14ac:dyDescent="0.25">
      <c r="A5" s="1" t="s">
        <v>1</v>
      </c>
      <c r="B5" s="147"/>
      <c r="C5" s="147"/>
      <c r="D5" s="147"/>
      <c r="E5" s="147"/>
      <c r="F5" s="147"/>
    </row>
    <row r="6" spans="1:6" ht="19.5" customHeight="1" x14ac:dyDescent="0.25">
      <c r="A6" s="1" t="s">
        <v>2</v>
      </c>
      <c r="B6" s="147"/>
      <c r="C6" s="147"/>
      <c r="D6" s="147"/>
      <c r="E6" s="147"/>
      <c r="F6" s="147"/>
    </row>
    <row r="7" spans="1:6" ht="19.5" customHeight="1" x14ac:dyDescent="0.25">
      <c r="A7" s="1" t="s">
        <v>3</v>
      </c>
      <c r="B7" s="147"/>
      <c r="C7" s="147"/>
      <c r="D7" s="147"/>
      <c r="E7" s="147"/>
      <c r="F7" s="147"/>
    </row>
    <row r="8" spans="1:6" ht="19.5" customHeight="1" x14ac:dyDescent="0.25">
      <c r="A8" s="1" t="s">
        <v>4</v>
      </c>
      <c r="B8" s="147"/>
      <c r="C8" s="147"/>
      <c r="D8" s="147"/>
      <c r="E8" s="147"/>
      <c r="F8" s="147"/>
    </row>
    <row r="10" spans="1:6" ht="21.75" customHeight="1" x14ac:dyDescent="0.25">
      <c r="A10" s="148" t="s">
        <v>5</v>
      </c>
      <c r="B10" s="148"/>
      <c r="C10" s="148"/>
      <c r="D10" s="148"/>
      <c r="E10" s="148"/>
      <c r="F10" s="148"/>
    </row>
    <row r="11" spans="1:6" ht="21.75" customHeight="1" x14ac:dyDescent="0.25">
      <c r="A11" s="2" t="s">
        <v>6</v>
      </c>
      <c r="B11" s="3" t="s">
        <v>7</v>
      </c>
      <c r="C11" s="149" t="s">
        <v>8</v>
      </c>
      <c r="D11" s="149"/>
      <c r="E11" s="150" t="s">
        <v>9</v>
      </c>
      <c r="F11" s="150"/>
    </row>
    <row r="12" spans="1:6" ht="21.75" customHeight="1" x14ac:dyDescent="0.25">
      <c r="A12" s="4" t="s">
        <v>10</v>
      </c>
      <c r="B12" s="3" t="s">
        <v>11</v>
      </c>
      <c r="C12" s="149" t="s">
        <v>12</v>
      </c>
      <c r="D12" s="149"/>
      <c r="E12" s="150" t="s">
        <v>13</v>
      </c>
      <c r="F12" s="150"/>
    </row>
    <row r="13" spans="1:6" ht="21.75" customHeight="1" x14ac:dyDescent="0.25">
      <c r="A13" s="5" t="s">
        <v>14</v>
      </c>
      <c r="B13" s="3" t="s">
        <v>15</v>
      </c>
      <c r="C13" s="149" t="s">
        <v>16</v>
      </c>
      <c r="D13" s="149"/>
      <c r="E13" s="150" t="s">
        <v>17</v>
      </c>
      <c r="F13" s="150"/>
    </row>
    <row r="14" spans="1:6" ht="21.75" customHeight="1" x14ac:dyDescent="0.25">
      <c r="A14" s="6" t="s">
        <v>18</v>
      </c>
      <c r="B14" s="3" t="s">
        <v>19</v>
      </c>
      <c r="C14" s="149" t="s">
        <v>20</v>
      </c>
      <c r="D14" s="149"/>
      <c r="E14" s="150" t="s">
        <v>21</v>
      </c>
      <c r="F14" s="150"/>
    </row>
    <row r="16" spans="1:6" ht="21.75" customHeight="1" x14ac:dyDescent="0.25">
      <c r="A16" s="148" t="s">
        <v>22</v>
      </c>
      <c r="B16" s="148"/>
      <c r="C16" s="148"/>
      <c r="D16" s="148"/>
      <c r="E16" s="148"/>
      <c r="F16" s="148"/>
    </row>
    <row r="17" spans="1:6" ht="24" customHeight="1" x14ac:dyDescent="0.25">
      <c r="A17" s="7" t="s">
        <v>23</v>
      </c>
      <c r="B17" s="151" t="s">
        <v>24</v>
      </c>
      <c r="C17" s="151"/>
      <c r="D17" s="151"/>
      <c r="E17" s="151"/>
      <c r="F17" s="151"/>
    </row>
    <row r="18" spans="1:6" ht="24" customHeight="1" x14ac:dyDescent="0.25">
      <c r="A18" s="7" t="s">
        <v>3</v>
      </c>
      <c r="B18" s="151" t="s">
        <v>2809</v>
      </c>
      <c r="C18" s="151"/>
      <c r="D18" s="151"/>
      <c r="E18" s="151"/>
      <c r="F18" s="151"/>
    </row>
    <row r="19" spans="1:6" ht="24" customHeight="1" x14ac:dyDescent="0.25">
      <c r="A19" s="7" t="s">
        <v>25</v>
      </c>
      <c r="B19" s="151" t="s">
        <v>26</v>
      </c>
      <c r="C19" s="151"/>
      <c r="D19" s="151"/>
      <c r="E19" s="151"/>
      <c r="F19" s="151"/>
    </row>
    <row r="20" spans="1:6" ht="24" customHeight="1" x14ac:dyDescent="0.25">
      <c r="A20" s="7" t="s">
        <v>27</v>
      </c>
      <c r="B20" s="151" t="s">
        <v>2808</v>
      </c>
      <c r="C20" s="151"/>
      <c r="D20" s="151"/>
      <c r="E20" s="151"/>
      <c r="F20" s="151"/>
    </row>
    <row r="21" spans="1:6" ht="24" customHeight="1" x14ac:dyDescent="0.25">
      <c r="A21" s="7" t="s">
        <v>28</v>
      </c>
      <c r="B21" s="151" t="s">
        <v>29</v>
      </c>
      <c r="C21" s="151"/>
      <c r="D21" s="151"/>
      <c r="E21" s="151"/>
      <c r="F21" s="151"/>
    </row>
  </sheetData>
  <mergeCells count="21">
    <mergeCell ref="B17:F17"/>
    <mergeCell ref="B18:F18"/>
    <mergeCell ref="B19:F19"/>
    <mergeCell ref="B20:F20"/>
    <mergeCell ref="B21:F21"/>
    <mergeCell ref="C13:D13"/>
    <mergeCell ref="E13:F13"/>
    <mergeCell ref="C14:D14"/>
    <mergeCell ref="E14:F14"/>
    <mergeCell ref="A16:F16"/>
    <mergeCell ref="B8:F8"/>
    <mergeCell ref="A10:F10"/>
    <mergeCell ref="C11:D11"/>
    <mergeCell ref="E11:F11"/>
    <mergeCell ref="C12:D12"/>
    <mergeCell ref="E12:F12"/>
    <mergeCell ref="A1:F2"/>
    <mergeCell ref="A3:F3"/>
    <mergeCell ref="B5:F5"/>
    <mergeCell ref="B6:F6"/>
    <mergeCell ref="B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30"/>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H520" sqref="H5:H520"/>
    </sheetView>
  </sheetViews>
  <sheetFormatPr defaultColWidth="8.7109375" defaultRowHeight="15" x14ac:dyDescent="0.25"/>
  <cols>
    <col min="1" max="1" width="11.7109375" style="8" customWidth="1"/>
    <col min="2" max="2" width="11.28515625" style="9" customWidth="1"/>
    <col min="3" max="3" width="8" style="9" customWidth="1"/>
    <col min="4" max="4" width="13.42578125" style="9" customWidth="1"/>
    <col min="5" max="5" width="24.42578125" style="9" customWidth="1"/>
    <col min="6" max="6" width="10" style="9" customWidth="1"/>
    <col min="7" max="7" width="104.85546875" style="9" customWidth="1"/>
    <col min="8" max="8" width="61.42578125" style="9" customWidth="1"/>
    <col min="9" max="9" width="66.42578125" style="9" customWidth="1"/>
    <col min="10" max="10" width="16" style="9" customWidth="1"/>
    <col min="11" max="11" width="14" style="9" customWidth="1"/>
    <col min="12" max="14" width="30" style="9" customWidth="1"/>
    <col min="15" max="15" width="0.42578125" style="9" customWidth="1"/>
    <col min="16" max="16" width="13" customWidth="1"/>
    <col min="17" max="17" width="12" customWidth="1"/>
  </cols>
  <sheetData>
    <row r="1" spans="1:17" ht="19.5" customHeight="1" x14ac:dyDescent="0.25">
      <c r="A1" s="152" t="s">
        <v>30</v>
      </c>
      <c r="B1" s="152"/>
      <c r="C1" s="152"/>
      <c r="D1" s="152"/>
      <c r="E1" s="152"/>
      <c r="F1" s="152"/>
      <c r="G1" s="152"/>
      <c r="H1" s="152"/>
    </row>
    <row r="2" spans="1:17" ht="31.5" customHeight="1" x14ac:dyDescent="0.25">
      <c r="A2" s="153" t="s">
        <v>2815</v>
      </c>
      <c r="B2" s="153"/>
      <c r="C2" s="153"/>
      <c r="D2" s="153"/>
      <c r="E2" s="153"/>
      <c r="F2" s="153"/>
      <c r="G2" s="153"/>
      <c r="H2" s="153"/>
    </row>
    <row r="3" spans="1:17" ht="15" customHeight="1" x14ac:dyDescent="0.25">
      <c r="A3" s="154" t="s">
        <v>31</v>
      </c>
      <c r="B3" s="154"/>
      <c r="C3" s="154"/>
      <c r="D3" s="154"/>
      <c r="E3" s="154"/>
      <c r="F3" s="154"/>
      <c r="G3" s="154"/>
      <c r="H3" s="10" t="s">
        <v>32</v>
      </c>
      <c r="I3" s="11" t="s">
        <v>33</v>
      </c>
      <c r="L3" s="12" t="s">
        <v>34</v>
      </c>
    </row>
    <row r="4" spans="1:17" ht="36.75" customHeight="1" x14ac:dyDescent="0.25">
      <c r="A4" s="13" t="s">
        <v>35</v>
      </c>
      <c r="B4" s="14" t="s">
        <v>36</v>
      </c>
      <c r="C4" s="14" t="s">
        <v>37</v>
      </c>
      <c r="D4" s="14" t="s">
        <v>38</v>
      </c>
      <c r="E4" s="14" t="s">
        <v>39</v>
      </c>
      <c r="F4" s="14" t="s">
        <v>40</v>
      </c>
      <c r="G4" s="14" t="s">
        <v>41</v>
      </c>
      <c r="H4" s="14" t="s">
        <v>42</v>
      </c>
      <c r="I4" s="15" t="s">
        <v>43</v>
      </c>
      <c r="J4" s="16" t="s">
        <v>2810</v>
      </c>
      <c r="K4" s="16" t="s">
        <v>2812</v>
      </c>
      <c r="L4" s="16" t="s">
        <v>44</v>
      </c>
      <c r="M4" s="17" t="s">
        <v>45</v>
      </c>
      <c r="N4" s="17" t="s">
        <v>2811</v>
      </c>
      <c r="O4" s="17" t="s">
        <v>46</v>
      </c>
      <c r="P4" s="14" t="s">
        <v>47</v>
      </c>
      <c r="Q4" s="14" t="s">
        <v>48</v>
      </c>
    </row>
    <row r="5" spans="1:17" s="27" customFormat="1" ht="40.5" customHeight="1" x14ac:dyDescent="0.2">
      <c r="A5" s="18">
        <v>1</v>
      </c>
      <c r="B5" s="19" t="s">
        <v>49</v>
      </c>
      <c r="C5" s="20" t="s">
        <v>50</v>
      </c>
      <c r="D5" s="19" t="s">
        <v>51</v>
      </c>
      <c r="E5" s="19" t="s">
        <v>52</v>
      </c>
      <c r="F5" s="21" t="s">
        <v>53</v>
      </c>
      <c r="G5" s="22" t="s">
        <v>54</v>
      </c>
      <c r="H5" s="23"/>
      <c r="I5" s="24" t="s">
        <v>55</v>
      </c>
      <c r="J5" s="25"/>
      <c r="K5" s="25"/>
      <c r="L5" s="26"/>
      <c r="M5" s="27" t="str">
        <f>IF($J5="AC",COUNTIF($J$5:$J5,"AC"),"")</f>
        <v/>
      </c>
      <c r="N5" s="27" t="str">
        <f>IF($J5="FB",COUNTIF($J$5:$J5,"FB"),"")</f>
        <v/>
      </c>
      <c r="O5" s="27" t="str">
        <f>IF($J5="PC",COUNTIF($J$5:$J5,"PC"),"")</f>
        <v/>
      </c>
      <c r="P5" s="28" t="s">
        <v>56</v>
      </c>
      <c r="Q5" s="28" t="s">
        <v>57</v>
      </c>
    </row>
    <row r="6" spans="1:17" s="27" customFormat="1" ht="27.75" customHeight="1" x14ac:dyDescent="0.2">
      <c r="A6" s="29">
        <v>1</v>
      </c>
      <c r="B6" s="30" t="s">
        <v>49</v>
      </c>
      <c r="C6" s="31" t="s">
        <v>50</v>
      </c>
      <c r="D6" s="30" t="s">
        <v>51</v>
      </c>
      <c r="E6" s="30" t="s">
        <v>58</v>
      </c>
      <c r="F6" s="21" t="s">
        <v>53</v>
      </c>
      <c r="G6" s="22" t="s">
        <v>59</v>
      </c>
      <c r="H6" s="23"/>
      <c r="I6" s="24" t="s">
        <v>60</v>
      </c>
      <c r="J6" s="25"/>
      <c r="K6" s="25"/>
      <c r="L6" s="26"/>
      <c r="M6" s="27" t="str">
        <f>IF($J6="AC",COUNTIF($J$5:$J6,"AC"),"")</f>
        <v/>
      </c>
      <c r="N6" s="27" t="str">
        <f>IF($J6="FB",COUNTIF($J$5:$J6,"FB"),"")</f>
        <v/>
      </c>
      <c r="O6" s="27" t="str">
        <f>IF($J6="PC",COUNTIF($J$5:$J6,"PC"),"")</f>
        <v/>
      </c>
      <c r="P6" s="28" t="s">
        <v>61</v>
      </c>
      <c r="Q6" s="28" t="s">
        <v>62</v>
      </c>
    </row>
    <row r="7" spans="1:17" s="27" customFormat="1" ht="27.75" customHeight="1" x14ac:dyDescent="0.2">
      <c r="A7" s="18">
        <v>1</v>
      </c>
      <c r="B7" s="19" t="s">
        <v>49</v>
      </c>
      <c r="C7" s="20" t="s">
        <v>50</v>
      </c>
      <c r="D7" s="19" t="s">
        <v>51</v>
      </c>
      <c r="E7" s="19" t="s">
        <v>63</v>
      </c>
      <c r="F7" s="21" t="s">
        <v>53</v>
      </c>
      <c r="G7" s="22" t="s">
        <v>64</v>
      </c>
      <c r="H7" s="23"/>
      <c r="I7" s="24" t="s">
        <v>65</v>
      </c>
      <c r="J7" s="25"/>
      <c r="K7" s="25"/>
      <c r="L7" s="26"/>
      <c r="M7" s="27" t="str">
        <f>IF($J7="AC",COUNTIF($J$5:$J7,"AC"),"")</f>
        <v/>
      </c>
      <c r="N7" s="27" t="str">
        <f>IF($J7="FB",COUNTIF($J$5:$J7,"FB"),"")</f>
        <v/>
      </c>
      <c r="O7" s="27" t="str">
        <f>IF($J7="PC",COUNTIF($J$5:$J7,"PC"),"")</f>
        <v/>
      </c>
      <c r="P7" s="28" t="s">
        <v>66</v>
      </c>
      <c r="Q7" s="28" t="s">
        <v>67</v>
      </c>
    </row>
    <row r="8" spans="1:17" ht="30.75" customHeight="1" x14ac:dyDescent="0.25">
      <c r="A8" s="32">
        <v>1</v>
      </c>
      <c r="B8" s="33" t="s">
        <v>49</v>
      </c>
      <c r="C8" s="34" t="s">
        <v>50</v>
      </c>
      <c r="D8" s="33" t="s">
        <v>51</v>
      </c>
      <c r="E8" s="33" t="s">
        <v>68</v>
      </c>
      <c r="F8" s="35" t="s">
        <v>69</v>
      </c>
      <c r="G8" s="36" t="s">
        <v>70</v>
      </c>
      <c r="H8" s="37"/>
      <c r="I8" s="38" t="s">
        <v>71</v>
      </c>
      <c r="J8" s="39"/>
      <c r="K8" s="39"/>
      <c r="L8" s="40"/>
      <c r="M8" s="9" t="str">
        <f>IF($J8="AC",COUNTIF($J$5:$J8,"AC"),"")</f>
        <v/>
      </c>
      <c r="N8" s="9" t="str">
        <f>IF($J8="FB",COUNTIF($J$5:$J8,"FB"),"")</f>
        <v/>
      </c>
      <c r="O8" s="9" t="str">
        <f>IF($J8="PC",COUNTIF($J$5:$J8,"PC"),"")</f>
        <v/>
      </c>
      <c r="P8" s="28" t="s">
        <v>72</v>
      </c>
      <c r="Q8" s="28" t="s">
        <v>73</v>
      </c>
    </row>
    <row r="9" spans="1:17" s="27" customFormat="1" ht="27.75" customHeight="1" x14ac:dyDescent="0.2">
      <c r="A9" s="18">
        <v>1</v>
      </c>
      <c r="B9" s="19" t="s">
        <v>49</v>
      </c>
      <c r="C9" s="20" t="s">
        <v>74</v>
      </c>
      <c r="D9" s="19" t="s">
        <v>75</v>
      </c>
      <c r="E9" s="19" t="s">
        <v>76</v>
      </c>
      <c r="F9" s="21" t="s">
        <v>53</v>
      </c>
      <c r="G9" s="22" t="s">
        <v>77</v>
      </c>
      <c r="H9" s="23"/>
      <c r="I9" s="24" t="s">
        <v>78</v>
      </c>
      <c r="J9" s="25"/>
      <c r="K9" s="25"/>
      <c r="L9" s="26"/>
      <c r="M9" s="27" t="str">
        <f>IF($J9="AC",COUNTIF($J$5:$J9,"AC"),"")</f>
        <v/>
      </c>
      <c r="N9" s="27" t="str">
        <f>IF($J9="FB",COUNTIF($J$5:$J9,"FB"),"")</f>
        <v/>
      </c>
      <c r="O9" s="27" t="str">
        <f>IF($J9="PC",COUNTIF($J$5:$J9,"PC"),"")</f>
        <v/>
      </c>
      <c r="P9" s="28" t="s">
        <v>79</v>
      </c>
      <c r="Q9" s="28" t="s">
        <v>80</v>
      </c>
    </row>
    <row r="10" spans="1:17" s="27" customFormat="1" ht="27.75" customHeight="1" x14ac:dyDescent="0.2">
      <c r="A10" s="29">
        <v>1</v>
      </c>
      <c r="B10" s="30" t="s">
        <v>49</v>
      </c>
      <c r="C10" s="31" t="s">
        <v>74</v>
      </c>
      <c r="D10" s="30" t="s">
        <v>75</v>
      </c>
      <c r="E10" s="30" t="s">
        <v>81</v>
      </c>
      <c r="F10" s="21" t="s">
        <v>53</v>
      </c>
      <c r="G10" s="22" t="s">
        <v>82</v>
      </c>
      <c r="H10" s="23"/>
      <c r="I10" s="24" t="s">
        <v>83</v>
      </c>
      <c r="J10" s="25"/>
      <c r="K10" s="25"/>
      <c r="L10" s="26"/>
      <c r="M10" s="27" t="str">
        <f>IF($J10="AC",COUNTIF($J$5:$J10,"AC"),"")</f>
        <v/>
      </c>
      <c r="N10" s="27" t="str">
        <f>IF($J10="FB",COUNTIF($J$5:$J10,"FB"),"")</f>
        <v/>
      </c>
      <c r="O10" s="27" t="str">
        <f>IF($J10="PC",COUNTIF($J$5:$J10,"PC"),"")</f>
        <v/>
      </c>
      <c r="P10" s="28" t="s">
        <v>84</v>
      </c>
      <c r="Q10" s="28" t="s">
        <v>85</v>
      </c>
    </row>
    <row r="11" spans="1:17" ht="40.5" customHeight="1" x14ac:dyDescent="0.25">
      <c r="A11" s="41">
        <v>1</v>
      </c>
      <c r="B11" s="42" t="s">
        <v>49</v>
      </c>
      <c r="C11" s="43" t="s">
        <v>74</v>
      </c>
      <c r="D11" s="42" t="s">
        <v>75</v>
      </c>
      <c r="E11" s="42" t="s">
        <v>86</v>
      </c>
      <c r="F11" s="35" t="s">
        <v>69</v>
      </c>
      <c r="G11" s="36" t="s">
        <v>87</v>
      </c>
      <c r="H11" s="37"/>
      <c r="I11" s="38" t="s">
        <v>88</v>
      </c>
      <c r="J11" s="39"/>
      <c r="K11" s="39"/>
      <c r="L11" s="40"/>
      <c r="M11" s="9" t="str">
        <f>IF($J11="AC",COUNTIF($J$5:$J11,"AC"),"")</f>
        <v/>
      </c>
      <c r="N11" s="9" t="str">
        <f>IF($J11="FB",COUNTIF($J$5:$J11,"FB"),"")</f>
        <v/>
      </c>
      <c r="O11" s="9" t="str">
        <f>IF($J11="PC",COUNTIF($J$5:$J11,"PC"),"")</f>
        <v/>
      </c>
      <c r="P11" s="28" t="s">
        <v>89</v>
      </c>
      <c r="Q11" s="28" t="s">
        <v>90</v>
      </c>
    </row>
    <row r="12" spans="1:17" ht="30.75" customHeight="1" x14ac:dyDescent="0.25">
      <c r="A12" s="32">
        <v>1</v>
      </c>
      <c r="B12" s="33" t="s">
        <v>49</v>
      </c>
      <c r="C12" s="34" t="s">
        <v>74</v>
      </c>
      <c r="D12" s="33" t="s">
        <v>75</v>
      </c>
      <c r="E12" s="33" t="s">
        <v>91</v>
      </c>
      <c r="F12" s="44" t="s">
        <v>92</v>
      </c>
      <c r="G12" s="36" t="s">
        <v>93</v>
      </c>
      <c r="H12" s="37"/>
      <c r="I12" s="38" t="s">
        <v>94</v>
      </c>
      <c r="J12" s="39"/>
      <c r="K12" s="39"/>
      <c r="L12" s="40"/>
      <c r="M12" s="9" t="str">
        <f>IF($J12="AC",COUNTIF($J$5:$J12,"AC"),"")</f>
        <v/>
      </c>
      <c r="N12" s="9" t="str">
        <f>IF($J12="FB",COUNTIF($J$5:$J12,"FB"),"")</f>
        <v/>
      </c>
      <c r="O12" s="9" t="str">
        <f>IF($J12="PC",COUNTIF($J$5:$J12,"PC"),"")</f>
        <v/>
      </c>
      <c r="P12" s="28" t="s">
        <v>95</v>
      </c>
      <c r="Q12" s="28" t="s">
        <v>96</v>
      </c>
    </row>
    <row r="13" spans="1:17" s="27" customFormat="1" ht="40.5" customHeight="1" x14ac:dyDescent="0.2">
      <c r="A13" s="18">
        <v>1</v>
      </c>
      <c r="B13" s="19" t="s">
        <v>49</v>
      </c>
      <c r="C13" s="20" t="s">
        <v>97</v>
      </c>
      <c r="D13" s="19" t="s">
        <v>98</v>
      </c>
      <c r="E13" s="19" t="s">
        <v>99</v>
      </c>
      <c r="F13" s="21" t="s">
        <v>53</v>
      </c>
      <c r="G13" s="22" t="s">
        <v>100</v>
      </c>
      <c r="H13" s="23"/>
      <c r="I13" s="24" t="s">
        <v>101</v>
      </c>
      <c r="J13" s="25"/>
      <c r="K13" s="25"/>
      <c r="L13" s="26"/>
      <c r="M13" s="27" t="str">
        <f>IF($J13="AC",COUNTIF($J$5:$J13,"AC"),"")</f>
        <v/>
      </c>
      <c r="N13" s="27" t="str">
        <f>IF($J13="FB",COUNTIF($J$5:$J13,"FB"),"")</f>
        <v/>
      </c>
      <c r="O13" s="27" t="str">
        <f>IF($J13="PC",COUNTIF($J$5:$J13,"PC"),"")</f>
        <v/>
      </c>
      <c r="P13" s="28" t="s">
        <v>102</v>
      </c>
      <c r="Q13" s="28" t="s">
        <v>103</v>
      </c>
    </row>
    <row r="14" spans="1:17" s="27" customFormat="1" ht="40.5" customHeight="1" x14ac:dyDescent="0.2">
      <c r="A14" s="29">
        <v>1</v>
      </c>
      <c r="B14" s="30" t="s">
        <v>49</v>
      </c>
      <c r="C14" s="31" t="s">
        <v>97</v>
      </c>
      <c r="D14" s="30" t="s">
        <v>98</v>
      </c>
      <c r="E14" s="30" t="s">
        <v>104</v>
      </c>
      <c r="F14" s="21" t="s">
        <v>53</v>
      </c>
      <c r="G14" s="22" t="s">
        <v>105</v>
      </c>
      <c r="H14" s="23"/>
      <c r="I14" s="24" t="s">
        <v>106</v>
      </c>
      <c r="J14" s="25"/>
      <c r="K14" s="25"/>
      <c r="L14" s="26"/>
      <c r="M14" s="27" t="str">
        <f>IF($J14="AC",COUNTIF($J$5:$J14,"AC"),"")</f>
        <v/>
      </c>
      <c r="N14" s="27" t="str">
        <f>IF($J14="FB",COUNTIF($J$5:$J14,"FB"),"")</f>
        <v/>
      </c>
      <c r="O14" s="27" t="str">
        <f>IF($J14="PC",COUNTIF($J$5:$J14,"PC"),"")</f>
        <v/>
      </c>
      <c r="P14" s="28" t="s">
        <v>107</v>
      </c>
      <c r="Q14" s="28" t="s">
        <v>108</v>
      </c>
    </row>
    <row r="15" spans="1:17" s="27" customFormat="1" ht="40.5" customHeight="1" x14ac:dyDescent="0.2">
      <c r="A15" s="18">
        <v>1</v>
      </c>
      <c r="B15" s="19" t="s">
        <v>49</v>
      </c>
      <c r="C15" s="20" t="s">
        <v>97</v>
      </c>
      <c r="D15" s="19" t="s">
        <v>98</v>
      </c>
      <c r="E15" s="19" t="s">
        <v>109</v>
      </c>
      <c r="F15" s="21" t="s">
        <v>53</v>
      </c>
      <c r="G15" s="22" t="s">
        <v>110</v>
      </c>
      <c r="H15" s="23"/>
      <c r="I15" s="24" t="s">
        <v>111</v>
      </c>
      <c r="J15" s="25"/>
      <c r="K15" s="25"/>
      <c r="L15" s="26"/>
      <c r="M15" s="27" t="str">
        <f>IF($J15="AC",COUNTIF($J$5:$J15,"AC"),"")</f>
        <v/>
      </c>
      <c r="N15" s="27" t="str">
        <f>IF($J15="FB",COUNTIF($J$5:$J15,"FB"),"")</f>
        <v/>
      </c>
      <c r="O15" s="27" t="str">
        <f>IF($J15="PC",COUNTIF($J$5:$J15,"PC"),"")</f>
        <v/>
      </c>
      <c r="P15" s="28" t="s">
        <v>112</v>
      </c>
      <c r="Q15" s="28" t="s">
        <v>113</v>
      </c>
    </row>
    <row r="16" spans="1:17" s="27" customFormat="1" ht="40.5" customHeight="1" x14ac:dyDescent="0.2">
      <c r="A16" s="29">
        <v>1</v>
      </c>
      <c r="B16" s="30" t="s">
        <v>49</v>
      </c>
      <c r="C16" s="31" t="s">
        <v>97</v>
      </c>
      <c r="D16" s="30" t="s">
        <v>98</v>
      </c>
      <c r="E16" s="30" t="s">
        <v>114</v>
      </c>
      <c r="F16" s="21" t="s">
        <v>53</v>
      </c>
      <c r="G16" s="22" t="s">
        <v>115</v>
      </c>
      <c r="H16" s="23"/>
      <c r="I16" s="24" t="s">
        <v>116</v>
      </c>
      <c r="J16" s="25"/>
      <c r="K16" s="25"/>
      <c r="L16" s="26"/>
      <c r="M16" s="27" t="str">
        <f>IF($J16="AC",COUNTIF($J$5:$J16,"AC"),"")</f>
        <v/>
      </c>
      <c r="N16" s="27" t="str">
        <f>IF($J16="FB",COUNTIF($J$5:$J16,"FB"),"")</f>
        <v/>
      </c>
      <c r="O16" s="27" t="str">
        <f>IF($J16="PC",COUNTIF($J$5:$J16,"PC"),"")</f>
        <v/>
      </c>
      <c r="P16" s="28" t="s">
        <v>117</v>
      </c>
      <c r="Q16" s="28" t="s">
        <v>118</v>
      </c>
    </row>
    <row r="17" spans="1:17" ht="45.75" customHeight="1" x14ac:dyDescent="0.25">
      <c r="A17" s="41">
        <v>1</v>
      </c>
      <c r="B17" s="42" t="s">
        <v>49</v>
      </c>
      <c r="C17" s="43" t="s">
        <v>97</v>
      </c>
      <c r="D17" s="42" t="s">
        <v>98</v>
      </c>
      <c r="E17" s="42" t="s">
        <v>119</v>
      </c>
      <c r="F17" s="35" t="s">
        <v>69</v>
      </c>
      <c r="G17" s="36" t="s">
        <v>120</v>
      </c>
      <c r="H17" s="37"/>
      <c r="I17" s="38" t="s">
        <v>121</v>
      </c>
      <c r="J17" s="39"/>
      <c r="K17" s="39"/>
      <c r="L17" s="40"/>
      <c r="M17" s="9" t="str">
        <f>IF($J17="AC",COUNTIF($J$5:$J17,"AC"),"")</f>
        <v/>
      </c>
      <c r="N17" s="9" t="str">
        <f>IF($J17="FB",COUNTIF($J$5:$J17,"FB"),"")</f>
        <v/>
      </c>
      <c r="O17" s="9" t="str">
        <f>IF($J17="PC",COUNTIF($J$5:$J17,"PC"),"")</f>
        <v/>
      </c>
      <c r="P17" s="28" t="s">
        <v>122</v>
      </c>
      <c r="Q17" s="28" t="s">
        <v>123</v>
      </c>
    </row>
    <row r="18" spans="1:17" ht="45.75" customHeight="1" x14ac:dyDescent="0.25">
      <c r="A18" s="32">
        <v>2</v>
      </c>
      <c r="B18" s="33" t="s">
        <v>124</v>
      </c>
      <c r="C18" s="34" t="s">
        <v>125</v>
      </c>
      <c r="D18" s="33" t="s">
        <v>126</v>
      </c>
      <c r="E18" s="33" t="s">
        <v>127</v>
      </c>
      <c r="F18" s="35" t="s">
        <v>69</v>
      </c>
      <c r="G18" s="36" t="s">
        <v>128</v>
      </c>
      <c r="H18" s="37"/>
      <c r="I18" s="38" t="s">
        <v>129</v>
      </c>
      <c r="J18" s="39"/>
      <c r="K18" s="39"/>
      <c r="L18" s="40"/>
      <c r="M18" s="9" t="str">
        <f>IF($J18="AC",COUNTIF($J$5:$J18,"AC"),"")</f>
        <v/>
      </c>
      <c r="N18" s="9" t="str">
        <f>IF($J18="FB",COUNTIF($J$5:$J18,"FB"),"")</f>
        <v/>
      </c>
      <c r="O18" s="9" t="str">
        <f>IF($J18="PC",COUNTIF($J$5:$J18,"PC"),"")</f>
        <v/>
      </c>
      <c r="P18" s="28" t="s">
        <v>130</v>
      </c>
      <c r="Q18" s="28" t="s">
        <v>131</v>
      </c>
    </row>
    <row r="19" spans="1:17" ht="45.75" customHeight="1" x14ac:dyDescent="0.25">
      <c r="A19" s="41">
        <v>2</v>
      </c>
      <c r="B19" s="42" t="s">
        <v>124</v>
      </c>
      <c r="C19" s="43" t="s">
        <v>125</v>
      </c>
      <c r="D19" s="42" t="s">
        <v>126</v>
      </c>
      <c r="E19" s="42" t="s">
        <v>132</v>
      </c>
      <c r="F19" s="35" t="s">
        <v>69</v>
      </c>
      <c r="G19" s="36" t="s">
        <v>133</v>
      </c>
      <c r="H19" s="37"/>
      <c r="I19" s="38" t="s">
        <v>134</v>
      </c>
      <c r="J19" s="39"/>
      <c r="K19" s="39"/>
      <c r="L19" s="40"/>
      <c r="M19" s="9" t="str">
        <f>IF($J19="AC",COUNTIF($J$5:$J19,"AC"),"")</f>
        <v/>
      </c>
      <c r="N19" s="9" t="str">
        <f>IF($J19="FB",COUNTIF($J$5:$J19,"FB"),"")</f>
        <v/>
      </c>
      <c r="O19" s="9" t="str">
        <f>IF($J19="PC",COUNTIF($J$5:$J19,"PC"),"")</f>
        <v/>
      </c>
      <c r="P19" s="28" t="s">
        <v>135</v>
      </c>
      <c r="Q19" s="28" t="s">
        <v>136</v>
      </c>
    </row>
    <row r="20" spans="1:17" ht="45.75" customHeight="1" x14ac:dyDescent="0.25">
      <c r="A20" s="32">
        <v>2</v>
      </c>
      <c r="B20" s="33" t="s">
        <v>124</v>
      </c>
      <c r="C20" s="34" t="s">
        <v>125</v>
      </c>
      <c r="D20" s="33" t="s">
        <v>126</v>
      </c>
      <c r="E20" s="33" t="s">
        <v>137</v>
      </c>
      <c r="F20" s="44" t="s">
        <v>92</v>
      </c>
      <c r="G20" s="36" t="s">
        <v>138</v>
      </c>
      <c r="H20" s="37"/>
      <c r="I20" s="38" t="s">
        <v>139</v>
      </c>
      <c r="J20" s="39"/>
      <c r="K20" s="39"/>
      <c r="L20" s="40"/>
      <c r="M20" s="9" t="str">
        <f>IF($J20="AC",COUNTIF($J$5:$J20,"AC"),"")</f>
        <v/>
      </c>
      <c r="N20" s="9" t="str">
        <f>IF($J20="FB",COUNTIF($J$5:$J20,"FB"),"")</f>
        <v/>
      </c>
      <c r="O20" s="9" t="str">
        <f>IF($J20="PC",COUNTIF($J$5:$J20,"PC"),"")</f>
        <v/>
      </c>
      <c r="P20" s="28" t="s">
        <v>140</v>
      </c>
      <c r="Q20" s="28" t="s">
        <v>141</v>
      </c>
    </row>
    <row r="21" spans="1:17" ht="45.75" customHeight="1" x14ac:dyDescent="0.25">
      <c r="A21" s="41">
        <v>2</v>
      </c>
      <c r="B21" s="42" t="s">
        <v>124</v>
      </c>
      <c r="C21" s="43" t="s">
        <v>125</v>
      </c>
      <c r="D21" s="42" t="s">
        <v>126</v>
      </c>
      <c r="E21" s="42" t="s">
        <v>142</v>
      </c>
      <c r="F21" s="44" t="s">
        <v>92</v>
      </c>
      <c r="G21" s="36" t="s">
        <v>143</v>
      </c>
      <c r="H21" s="37"/>
      <c r="I21" s="38" t="s">
        <v>144</v>
      </c>
      <c r="J21" s="39"/>
      <c r="K21" s="39"/>
      <c r="L21" s="40"/>
      <c r="M21" s="9" t="str">
        <f>IF($J21="AC",COUNTIF($J$5:$J21,"AC"),"")</f>
        <v/>
      </c>
      <c r="N21" s="9" t="str">
        <f>IF($J21="FB",COUNTIF($J$5:$J21,"FB"),"")</f>
        <v/>
      </c>
      <c r="O21" s="9" t="str">
        <f>IF($J21="PC",COUNTIF($J$5:$J21,"PC"),"")</f>
        <v/>
      </c>
      <c r="P21" s="28" t="s">
        <v>145</v>
      </c>
      <c r="Q21" s="28" t="s">
        <v>146</v>
      </c>
    </row>
    <row r="22" spans="1:17" ht="45.75" customHeight="1" x14ac:dyDescent="0.25">
      <c r="A22" s="32">
        <v>2</v>
      </c>
      <c r="B22" s="33" t="s">
        <v>124</v>
      </c>
      <c r="C22" s="34" t="s">
        <v>147</v>
      </c>
      <c r="D22" s="33" t="s">
        <v>148</v>
      </c>
      <c r="E22" s="33" t="s">
        <v>149</v>
      </c>
      <c r="F22" s="35" t="s">
        <v>69</v>
      </c>
      <c r="G22" s="36" t="s">
        <v>150</v>
      </c>
      <c r="H22" s="37"/>
      <c r="I22" s="38" t="s">
        <v>151</v>
      </c>
      <c r="J22" s="39"/>
      <c r="K22" s="39"/>
      <c r="L22" s="40"/>
      <c r="M22" s="9" t="str">
        <f>IF($J22="AC",COUNTIF($J$5:$J22,"AC"),"")</f>
        <v/>
      </c>
      <c r="N22" s="9" t="str">
        <f>IF($J22="FB",COUNTIF($J$5:$J22,"FB"),"")</f>
        <v/>
      </c>
      <c r="O22" s="9" t="str">
        <f>IF($J22="PC",COUNTIF($J$5:$J22,"PC"),"")</f>
        <v/>
      </c>
      <c r="P22" s="28" t="s">
        <v>152</v>
      </c>
      <c r="Q22" s="28" t="s">
        <v>153</v>
      </c>
    </row>
    <row r="23" spans="1:17" ht="45.75" customHeight="1" x14ac:dyDescent="0.25">
      <c r="A23" s="41">
        <v>2</v>
      </c>
      <c r="B23" s="42" t="s">
        <v>124</v>
      </c>
      <c r="C23" s="43" t="s">
        <v>147</v>
      </c>
      <c r="D23" s="42" t="s">
        <v>148</v>
      </c>
      <c r="E23" s="42" t="s">
        <v>154</v>
      </c>
      <c r="F23" s="35" t="s">
        <v>69</v>
      </c>
      <c r="G23" s="36" t="s">
        <v>155</v>
      </c>
      <c r="H23" s="37"/>
      <c r="I23" s="38" t="s">
        <v>156</v>
      </c>
      <c r="J23" s="39"/>
      <c r="K23" s="39"/>
      <c r="L23" s="40"/>
      <c r="M23" s="9" t="str">
        <f>IF($J23="AC",COUNTIF($J$5:$J23,"AC"),"")</f>
        <v/>
      </c>
      <c r="N23" s="9" t="str">
        <f>IF($J23="FB",COUNTIF($J$5:$J23,"FB"),"")</f>
        <v/>
      </c>
      <c r="O23" s="9" t="str">
        <f>IF($J23="PC",COUNTIF($J$5:$J23,"PC"),"")</f>
        <v/>
      </c>
      <c r="P23" s="28" t="s">
        <v>157</v>
      </c>
      <c r="Q23" s="28" t="s">
        <v>158</v>
      </c>
    </row>
    <row r="24" spans="1:17" ht="45.75" customHeight="1" x14ac:dyDescent="0.25">
      <c r="A24" s="32">
        <v>2</v>
      </c>
      <c r="B24" s="33" t="s">
        <v>124</v>
      </c>
      <c r="C24" s="34" t="s">
        <v>147</v>
      </c>
      <c r="D24" s="33" t="s">
        <v>148</v>
      </c>
      <c r="E24" s="33" t="s">
        <v>159</v>
      </c>
      <c r="F24" s="44" t="s">
        <v>92</v>
      </c>
      <c r="G24" s="36" t="s">
        <v>160</v>
      </c>
      <c r="H24" s="37"/>
      <c r="I24" s="38" t="s">
        <v>161</v>
      </c>
      <c r="J24" s="39"/>
      <c r="K24" s="39"/>
      <c r="L24" s="40"/>
      <c r="M24" s="9" t="str">
        <f>IF($J24="AC",COUNTIF($J$5:$J24,"AC"),"")</f>
        <v/>
      </c>
      <c r="N24" s="9" t="str">
        <f>IF($J24="FB",COUNTIF($J$5:$J24,"FB"),"")</f>
        <v/>
      </c>
      <c r="O24" s="9" t="str">
        <f>IF($J24="PC",COUNTIF($J$5:$J24,"PC"),"")</f>
        <v/>
      </c>
      <c r="P24" s="28" t="s">
        <v>162</v>
      </c>
      <c r="Q24" s="28" t="s">
        <v>163</v>
      </c>
    </row>
    <row r="25" spans="1:17" ht="45.75" customHeight="1" x14ac:dyDescent="0.25">
      <c r="A25" s="41">
        <v>2</v>
      </c>
      <c r="B25" s="42" t="s">
        <v>124</v>
      </c>
      <c r="C25" s="43" t="s">
        <v>147</v>
      </c>
      <c r="D25" s="42" t="s">
        <v>148</v>
      </c>
      <c r="E25" s="42" t="s">
        <v>164</v>
      </c>
      <c r="F25" s="45" t="s">
        <v>165</v>
      </c>
      <c r="G25" s="36" t="s">
        <v>166</v>
      </c>
      <c r="H25" s="37"/>
      <c r="I25" s="38" t="s">
        <v>167</v>
      </c>
      <c r="J25" s="39"/>
      <c r="K25" s="39"/>
      <c r="L25" s="40"/>
      <c r="M25" s="9" t="str">
        <f>IF($J25="AC",COUNTIF($J$5:$J25,"AC"),"")</f>
        <v/>
      </c>
      <c r="N25" s="9" t="str">
        <f>IF($J25="FB",COUNTIF($J$5:$J25,"FB"),"")</f>
        <v/>
      </c>
      <c r="O25" s="9" t="str">
        <f>IF($J25="PC",COUNTIF($J$5:$J25,"PC"),"")</f>
        <v/>
      </c>
      <c r="P25" s="28" t="s">
        <v>168</v>
      </c>
      <c r="Q25" s="28" t="s">
        <v>169</v>
      </c>
    </row>
    <row r="26" spans="1:17" ht="45.75" customHeight="1" x14ac:dyDescent="0.25">
      <c r="A26" s="32">
        <v>2</v>
      </c>
      <c r="B26" s="33" t="s">
        <v>124</v>
      </c>
      <c r="C26" s="34" t="s">
        <v>170</v>
      </c>
      <c r="D26" s="33" t="s">
        <v>171</v>
      </c>
      <c r="E26" s="33" t="s">
        <v>172</v>
      </c>
      <c r="F26" s="44" t="s">
        <v>92</v>
      </c>
      <c r="G26" s="36" t="s">
        <v>173</v>
      </c>
      <c r="H26" s="37"/>
      <c r="I26" s="38" t="s">
        <v>174</v>
      </c>
      <c r="J26" s="39"/>
      <c r="K26" s="39"/>
      <c r="L26" s="40"/>
      <c r="M26" s="9" t="str">
        <f>IF($J26="AC",COUNTIF($J$5:$J26,"AC"),"")</f>
        <v/>
      </c>
      <c r="N26" s="9" t="str">
        <f>IF($J26="FB",COUNTIF($J$5:$J26,"FB"),"")</f>
        <v/>
      </c>
      <c r="O26" s="9" t="str">
        <f>IF($J26="PC",COUNTIF($J$5:$J26,"PC"),"")</f>
        <v/>
      </c>
      <c r="P26" s="28" t="s">
        <v>175</v>
      </c>
      <c r="Q26" s="28" t="s">
        <v>176</v>
      </c>
    </row>
    <row r="27" spans="1:17" ht="45.75" customHeight="1" x14ac:dyDescent="0.25">
      <c r="A27" s="41">
        <v>2</v>
      </c>
      <c r="B27" s="42" t="s">
        <v>124</v>
      </c>
      <c r="C27" s="43" t="s">
        <v>170</v>
      </c>
      <c r="D27" s="42" t="s">
        <v>171</v>
      </c>
      <c r="E27" s="42" t="s">
        <v>177</v>
      </c>
      <c r="F27" s="44" t="s">
        <v>92</v>
      </c>
      <c r="G27" s="36" t="s">
        <v>178</v>
      </c>
      <c r="H27" s="37"/>
      <c r="I27" s="38" t="s">
        <v>179</v>
      </c>
      <c r="J27" s="39"/>
      <c r="K27" s="39"/>
      <c r="L27" s="40"/>
      <c r="M27" s="9" t="str">
        <f>IF($J27="AC",COUNTIF($J$5:$J27,"AC"),"")</f>
        <v/>
      </c>
      <c r="N27" s="9" t="str">
        <f>IF($J27="FB",COUNTIF($J$5:$J27,"FB"),"")</f>
        <v/>
      </c>
      <c r="O27" s="9" t="str">
        <f>IF($J27="PC",COUNTIF($J$5:$J27,"PC"),"")</f>
        <v/>
      </c>
      <c r="P27" s="28" t="s">
        <v>180</v>
      </c>
      <c r="Q27" s="28" t="s">
        <v>181</v>
      </c>
    </row>
    <row r="28" spans="1:17" ht="45.75" customHeight="1" x14ac:dyDescent="0.25">
      <c r="A28" s="32">
        <v>2</v>
      </c>
      <c r="B28" s="33" t="s">
        <v>124</v>
      </c>
      <c r="C28" s="34" t="s">
        <v>170</v>
      </c>
      <c r="D28" s="33" t="s">
        <v>171</v>
      </c>
      <c r="E28" s="33" t="s">
        <v>182</v>
      </c>
      <c r="F28" s="44" t="s">
        <v>92</v>
      </c>
      <c r="G28" s="36" t="s">
        <v>183</v>
      </c>
      <c r="H28" s="37"/>
      <c r="I28" s="38" t="s">
        <v>184</v>
      </c>
      <c r="J28" s="39"/>
      <c r="K28" s="39"/>
      <c r="L28" s="40"/>
      <c r="M28" s="9" t="str">
        <f>IF($J28="AC",COUNTIF($J$5:$J28,"AC"),"")</f>
        <v/>
      </c>
      <c r="N28" s="9" t="str">
        <f>IF($J28="FB",COUNTIF($J$5:$J28,"FB"),"")</f>
        <v/>
      </c>
      <c r="O28" s="9" t="str">
        <f>IF($J28="PC",COUNTIF($J$5:$J28,"PC"),"")</f>
        <v/>
      </c>
      <c r="P28" s="28" t="s">
        <v>185</v>
      </c>
      <c r="Q28" s="28" t="s">
        <v>186</v>
      </c>
    </row>
    <row r="29" spans="1:17" ht="45.75" customHeight="1" x14ac:dyDescent="0.25">
      <c r="A29" s="41">
        <v>2</v>
      </c>
      <c r="B29" s="42" t="s">
        <v>124</v>
      </c>
      <c r="C29" s="43" t="s">
        <v>187</v>
      </c>
      <c r="D29" s="42" t="s">
        <v>188</v>
      </c>
      <c r="E29" s="42" t="s">
        <v>189</v>
      </c>
      <c r="F29" s="35" t="s">
        <v>69</v>
      </c>
      <c r="G29" s="36" t="s">
        <v>190</v>
      </c>
      <c r="H29" s="37"/>
      <c r="I29" s="38" t="s">
        <v>191</v>
      </c>
      <c r="J29" s="39"/>
      <c r="K29" s="39"/>
      <c r="L29" s="40"/>
      <c r="M29" s="9" t="str">
        <f>IF($J29="AC",COUNTIF($J$5:$J29,"AC"),"")</f>
        <v/>
      </c>
      <c r="N29" s="9" t="str">
        <f>IF($J29="FB",COUNTIF($J$5:$J29,"FB"),"")</f>
        <v/>
      </c>
      <c r="O29" s="9" t="str">
        <f>IF($J29="PC",COUNTIF($J$5:$J29,"PC"),"")</f>
        <v/>
      </c>
      <c r="P29" s="28" t="s">
        <v>192</v>
      </c>
      <c r="Q29" s="28" t="s">
        <v>193</v>
      </c>
    </row>
    <row r="30" spans="1:17" ht="45.75" customHeight="1" x14ac:dyDescent="0.25">
      <c r="A30" s="32">
        <v>2</v>
      </c>
      <c r="B30" s="33" t="s">
        <v>124</v>
      </c>
      <c r="C30" s="34" t="s">
        <v>187</v>
      </c>
      <c r="D30" s="33" t="s">
        <v>188</v>
      </c>
      <c r="E30" s="33" t="s">
        <v>194</v>
      </c>
      <c r="F30" s="44" t="s">
        <v>92</v>
      </c>
      <c r="G30" s="36" t="s">
        <v>195</v>
      </c>
      <c r="H30" s="37"/>
      <c r="I30" s="38" t="s">
        <v>196</v>
      </c>
      <c r="J30" s="39"/>
      <c r="K30" s="39"/>
      <c r="L30" s="40"/>
      <c r="M30" s="9" t="str">
        <f>IF($J30="AC",COUNTIF($J$5:$J30,"AC"),"")</f>
        <v/>
      </c>
      <c r="N30" s="9" t="str">
        <f>IF($J30="FB",COUNTIF($J$5:$J30,"FB"),"")</f>
        <v/>
      </c>
      <c r="O30" s="9" t="str">
        <f>IF($J30="PC",COUNTIF($J$5:$J30,"PC"),"")</f>
        <v/>
      </c>
      <c r="P30" s="28" t="s">
        <v>197</v>
      </c>
      <c r="Q30" s="28" t="s">
        <v>198</v>
      </c>
    </row>
    <row r="31" spans="1:17" ht="45.75" customHeight="1" x14ac:dyDescent="0.25">
      <c r="A31" s="41">
        <v>2</v>
      </c>
      <c r="B31" s="42" t="s">
        <v>124</v>
      </c>
      <c r="C31" s="43" t="s">
        <v>187</v>
      </c>
      <c r="D31" s="42" t="s">
        <v>188</v>
      </c>
      <c r="E31" s="42" t="s">
        <v>199</v>
      </c>
      <c r="F31" s="35" t="s">
        <v>69</v>
      </c>
      <c r="G31" s="36" t="s">
        <v>200</v>
      </c>
      <c r="H31" s="37"/>
      <c r="I31" s="38" t="s">
        <v>201</v>
      </c>
      <c r="J31" s="39"/>
      <c r="K31" s="39"/>
      <c r="L31" s="40"/>
      <c r="M31" s="9" t="str">
        <f>IF($J31="AC",COUNTIF($J$5:$J31,"AC"),"")</f>
        <v/>
      </c>
      <c r="N31" s="9" t="str">
        <f>IF($J31="FB",COUNTIF($J$5:$J31,"FB"),"")</f>
        <v/>
      </c>
      <c r="O31" s="9" t="str">
        <f>IF($J31="PC",COUNTIF($J$5:$J31,"PC"),"")</f>
        <v/>
      </c>
      <c r="P31" s="28" t="s">
        <v>202</v>
      </c>
      <c r="Q31" s="28" t="s">
        <v>203</v>
      </c>
    </row>
    <row r="32" spans="1:17" ht="45.75" customHeight="1" x14ac:dyDescent="0.25">
      <c r="A32" s="32">
        <v>2</v>
      </c>
      <c r="B32" s="33" t="s">
        <v>124</v>
      </c>
      <c r="C32" s="34" t="s">
        <v>187</v>
      </c>
      <c r="D32" s="33" t="s">
        <v>188</v>
      </c>
      <c r="E32" s="33" t="s">
        <v>204</v>
      </c>
      <c r="F32" s="44" t="s">
        <v>92</v>
      </c>
      <c r="G32" s="36" t="s">
        <v>205</v>
      </c>
      <c r="H32" s="37"/>
      <c r="I32" s="38" t="s">
        <v>206</v>
      </c>
      <c r="J32" s="39"/>
      <c r="K32" s="39"/>
      <c r="L32" s="40"/>
      <c r="M32" s="9" t="str">
        <f>IF($J32="AC",COUNTIF($J$5:$J32,"AC"),"")</f>
        <v/>
      </c>
      <c r="N32" s="9" t="str">
        <f>IF($J32="FB",COUNTIF($J$5:$J32,"FB"),"")</f>
        <v/>
      </c>
      <c r="O32" s="9" t="str">
        <f>IF($J32="PC",COUNTIF($J$5:$J32,"PC"),"")</f>
        <v/>
      </c>
      <c r="P32" s="28" t="s">
        <v>207</v>
      </c>
      <c r="Q32" s="28" t="s">
        <v>208</v>
      </c>
    </row>
    <row r="33" spans="1:17" ht="45.75" customHeight="1" x14ac:dyDescent="0.25">
      <c r="A33" s="41">
        <v>3</v>
      </c>
      <c r="B33" s="42" t="s">
        <v>209</v>
      </c>
      <c r="C33" s="43" t="s">
        <v>210</v>
      </c>
      <c r="D33" s="42" t="s">
        <v>211</v>
      </c>
      <c r="E33" s="42" t="s">
        <v>212</v>
      </c>
      <c r="F33" s="35" t="s">
        <v>69</v>
      </c>
      <c r="G33" s="36" t="s">
        <v>213</v>
      </c>
      <c r="H33" s="37"/>
      <c r="I33" s="38" t="s">
        <v>214</v>
      </c>
      <c r="J33" s="39"/>
      <c r="K33" s="39"/>
      <c r="L33" s="40"/>
      <c r="M33" s="9" t="str">
        <f>IF($J33="AC",COUNTIF($J$5:$J33,"AC"),"")</f>
        <v/>
      </c>
      <c r="N33" s="9" t="str">
        <f>IF($J33="FB",COUNTIF($J$5:$J33,"FB"),"")</f>
        <v/>
      </c>
      <c r="O33" s="9" t="str">
        <f>IF($J33="PC",COUNTIF($J$5:$J33,"PC"),"")</f>
        <v/>
      </c>
      <c r="P33" s="28" t="s">
        <v>215</v>
      </c>
      <c r="Q33" s="28" t="s">
        <v>216</v>
      </c>
    </row>
    <row r="34" spans="1:17" ht="45.75" customHeight="1" x14ac:dyDescent="0.25">
      <c r="A34" s="32">
        <v>3</v>
      </c>
      <c r="B34" s="33" t="s">
        <v>209</v>
      </c>
      <c r="C34" s="34" t="s">
        <v>210</v>
      </c>
      <c r="D34" s="33" t="s">
        <v>211</v>
      </c>
      <c r="E34" s="33" t="s">
        <v>217</v>
      </c>
      <c r="F34" s="35" t="s">
        <v>69</v>
      </c>
      <c r="G34" s="36" t="s">
        <v>218</v>
      </c>
      <c r="H34" s="37"/>
      <c r="I34" s="38" t="s">
        <v>219</v>
      </c>
      <c r="J34" s="39"/>
      <c r="K34" s="39"/>
      <c r="L34" s="40"/>
      <c r="M34" s="9" t="str">
        <f>IF($J34="AC",COUNTIF($J$5:$J34,"AC"),"")</f>
        <v/>
      </c>
      <c r="N34" s="9" t="str">
        <f>IF($J34="FB",COUNTIF($J$5:$J34,"FB"),"")</f>
        <v/>
      </c>
      <c r="O34" s="9" t="str">
        <f>IF($J34="PC",COUNTIF($J$5:$J34,"PC"),"")</f>
        <v/>
      </c>
      <c r="P34" s="28" t="s">
        <v>220</v>
      </c>
      <c r="Q34" s="28" t="s">
        <v>221</v>
      </c>
    </row>
    <row r="35" spans="1:17" ht="45.75" customHeight="1" x14ac:dyDescent="0.25">
      <c r="A35" s="41">
        <v>3</v>
      </c>
      <c r="B35" s="42" t="s">
        <v>209</v>
      </c>
      <c r="C35" s="43" t="s">
        <v>210</v>
      </c>
      <c r="D35" s="42" t="s">
        <v>211</v>
      </c>
      <c r="E35" s="42" t="s">
        <v>222</v>
      </c>
      <c r="F35" s="35" t="s">
        <v>69</v>
      </c>
      <c r="G35" s="36" t="s">
        <v>223</v>
      </c>
      <c r="H35" s="37"/>
      <c r="I35" s="38" t="s">
        <v>224</v>
      </c>
      <c r="J35" s="39"/>
      <c r="K35" s="39"/>
      <c r="L35" s="40"/>
      <c r="M35" s="9" t="str">
        <f>IF($J35="AC",COUNTIF($J$5:$J35,"AC"),"")</f>
        <v/>
      </c>
      <c r="N35" s="9" t="str">
        <f>IF($J35="FB",COUNTIF($J$5:$J35,"FB"),"")</f>
        <v/>
      </c>
      <c r="O35" s="9" t="str">
        <f>IF($J35="PC",COUNTIF($J$5:$J35,"PC"),"")</f>
        <v/>
      </c>
      <c r="P35" s="28" t="s">
        <v>225</v>
      </c>
      <c r="Q35" s="28" t="s">
        <v>226</v>
      </c>
    </row>
    <row r="36" spans="1:17" ht="45.75" customHeight="1" x14ac:dyDescent="0.25">
      <c r="A36" s="32">
        <v>3</v>
      </c>
      <c r="B36" s="33" t="s">
        <v>209</v>
      </c>
      <c r="C36" s="34" t="s">
        <v>210</v>
      </c>
      <c r="D36" s="33" t="s">
        <v>211</v>
      </c>
      <c r="E36" s="33" t="s">
        <v>227</v>
      </c>
      <c r="F36" s="44" t="s">
        <v>92</v>
      </c>
      <c r="G36" s="36" t="s">
        <v>228</v>
      </c>
      <c r="H36" s="37"/>
      <c r="I36" s="38" t="s">
        <v>229</v>
      </c>
      <c r="J36" s="39"/>
      <c r="K36" s="39"/>
      <c r="L36" s="40"/>
      <c r="M36" s="9" t="str">
        <f>IF($J36="AC",COUNTIF($J$5:$J36,"AC"),"")</f>
        <v/>
      </c>
      <c r="N36" s="9" t="str">
        <f>IF($J36="FB",COUNTIF($J$5:$J36,"FB"),"")</f>
        <v/>
      </c>
      <c r="O36" s="9" t="str">
        <f>IF($J36="PC",COUNTIF($J$5:$J36,"PC"),"")</f>
        <v/>
      </c>
      <c r="P36" s="28" t="s">
        <v>230</v>
      </c>
      <c r="Q36" s="28" t="s">
        <v>231</v>
      </c>
    </row>
    <row r="37" spans="1:17" ht="30.75" customHeight="1" x14ac:dyDescent="0.25">
      <c r="A37" s="41">
        <v>3</v>
      </c>
      <c r="B37" s="42" t="s">
        <v>209</v>
      </c>
      <c r="C37" s="43" t="s">
        <v>232</v>
      </c>
      <c r="D37" s="42" t="s">
        <v>233</v>
      </c>
      <c r="E37" s="42" t="s">
        <v>234</v>
      </c>
      <c r="F37" s="35" t="s">
        <v>69</v>
      </c>
      <c r="G37" s="36" t="s">
        <v>235</v>
      </c>
      <c r="H37" s="37"/>
      <c r="I37" s="38" t="s">
        <v>236</v>
      </c>
      <c r="J37" s="39"/>
      <c r="K37" s="39"/>
      <c r="L37" s="40"/>
      <c r="M37" s="9" t="str">
        <f>IF($J37="AC",COUNTIF($J$5:$J37,"AC"),"")</f>
        <v/>
      </c>
      <c r="N37" s="9" t="str">
        <f>IF($J37="FB",COUNTIF($J$5:$J37,"FB"),"")</f>
        <v/>
      </c>
      <c r="O37" s="9" t="str">
        <f>IF($J37="PC",COUNTIF($J$5:$J37,"PC"),"")</f>
        <v/>
      </c>
      <c r="P37" s="28" t="s">
        <v>237</v>
      </c>
      <c r="Q37" s="28" t="s">
        <v>238</v>
      </c>
    </row>
    <row r="38" spans="1:17" s="27" customFormat="1" ht="42" customHeight="1" x14ac:dyDescent="0.2">
      <c r="A38" s="29">
        <v>3</v>
      </c>
      <c r="B38" s="30" t="s">
        <v>209</v>
      </c>
      <c r="C38" s="31" t="s">
        <v>232</v>
      </c>
      <c r="D38" s="30" t="s">
        <v>233</v>
      </c>
      <c r="E38" s="30" t="s">
        <v>239</v>
      </c>
      <c r="F38" s="21" t="s">
        <v>53</v>
      </c>
      <c r="G38" s="22" t="s">
        <v>240</v>
      </c>
      <c r="H38" s="23"/>
      <c r="I38" s="24" t="s">
        <v>241</v>
      </c>
      <c r="J38" s="25"/>
      <c r="K38" s="25"/>
      <c r="L38" s="26"/>
      <c r="M38" s="27" t="str">
        <f>IF($J38="AC",COUNTIF($J$5:$J38,"AC"),"")</f>
        <v/>
      </c>
      <c r="N38" s="27" t="str">
        <f>IF($J38="FB",COUNTIF($J$5:$J38,"FB"),"")</f>
        <v/>
      </c>
      <c r="O38" s="27" t="str">
        <f>IF($J38="PC",COUNTIF($J$5:$J38,"PC"),"")</f>
        <v/>
      </c>
      <c r="P38" s="28" t="s">
        <v>242</v>
      </c>
      <c r="Q38" s="28" t="s">
        <v>243</v>
      </c>
    </row>
    <row r="39" spans="1:17" ht="30.75" customHeight="1" x14ac:dyDescent="0.25">
      <c r="A39" s="41">
        <v>3</v>
      </c>
      <c r="B39" s="42" t="s">
        <v>209</v>
      </c>
      <c r="C39" s="43" t="s">
        <v>232</v>
      </c>
      <c r="D39" s="42" t="s">
        <v>233</v>
      </c>
      <c r="E39" s="42" t="s">
        <v>244</v>
      </c>
      <c r="F39" s="44" t="s">
        <v>92</v>
      </c>
      <c r="G39" s="36" t="s">
        <v>245</v>
      </c>
      <c r="H39" s="37"/>
      <c r="I39" s="38" t="s">
        <v>246</v>
      </c>
      <c r="J39" s="39"/>
      <c r="K39" s="39"/>
      <c r="L39" s="40"/>
      <c r="M39" s="9" t="str">
        <f>IF($J39="AC",COUNTIF($J$5:$J39,"AC"),"")</f>
        <v/>
      </c>
      <c r="N39" s="9" t="str">
        <f>IF($J39="FB",COUNTIF($J$5:$J39,"FB"),"")</f>
        <v/>
      </c>
      <c r="O39" s="9" t="str">
        <f>IF($J39="PC",COUNTIF($J$5:$J39,"PC"),"")</f>
        <v/>
      </c>
      <c r="P39" s="28" t="s">
        <v>247</v>
      </c>
      <c r="Q39" s="28" t="s">
        <v>248</v>
      </c>
    </row>
    <row r="40" spans="1:17" ht="30.75" customHeight="1" x14ac:dyDescent="0.25">
      <c r="A40" s="32">
        <v>3</v>
      </c>
      <c r="B40" s="33" t="s">
        <v>209</v>
      </c>
      <c r="C40" s="34" t="s">
        <v>232</v>
      </c>
      <c r="D40" s="33" t="s">
        <v>233</v>
      </c>
      <c r="E40" s="33" t="s">
        <v>249</v>
      </c>
      <c r="F40" s="44" t="s">
        <v>92</v>
      </c>
      <c r="G40" s="36" t="s">
        <v>250</v>
      </c>
      <c r="H40" s="37"/>
      <c r="I40" s="38" t="s">
        <v>251</v>
      </c>
      <c r="J40" s="39"/>
      <c r="K40" s="39"/>
      <c r="L40" s="40"/>
      <c r="M40" s="9" t="str">
        <f>IF($J40="AC",COUNTIF($J$5:$J40,"AC"),"")</f>
        <v/>
      </c>
      <c r="N40" s="9" t="str">
        <f>IF($J40="FB",COUNTIF($J$5:$J40,"FB"),"")</f>
        <v/>
      </c>
      <c r="O40" s="9" t="str">
        <f>IF($J40="PC",COUNTIF($J$5:$J40,"PC"),"")</f>
        <v/>
      </c>
      <c r="P40" s="28" t="s">
        <v>252</v>
      </c>
      <c r="Q40" s="28" t="s">
        <v>253</v>
      </c>
    </row>
    <row r="41" spans="1:17" ht="45.75" customHeight="1" x14ac:dyDescent="0.25">
      <c r="A41" s="41">
        <v>3</v>
      </c>
      <c r="B41" s="42" t="s">
        <v>209</v>
      </c>
      <c r="C41" s="43" t="s">
        <v>254</v>
      </c>
      <c r="D41" s="42" t="s">
        <v>255</v>
      </c>
      <c r="E41" s="42" t="s">
        <v>256</v>
      </c>
      <c r="F41" s="35" t="s">
        <v>69</v>
      </c>
      <c r="G41" s="36" t="s">
        <v>257</v>
      </c>
      <c r="H41" s="37"/>
      <c r="I41" s="38" t="s">
        <v>258</v>
      </c>
      <c r="J41" s="39"/>
      <c r="K41" s="39"/>
      <c r="L41" s="40"/>
      <c r="M41" s="9" t="str">
        <f>IF($J41="AC",COUNTIF($J$5:$J41,"AC"),"")</f>
        <v/>
      </c>
      <c r="N41" s="9" t="str">
        <f>IF($J41="FB",COUNTIF($J$5:$J41,"FB"),"")</f>
        <v/>
      </c>
      <c r="O41" s="9" t="str">
        <f>IF($J41="PC",COUNTIF($J$5:$J41,"PC"),"")</f>
        <v/>
      </c>
      <c r="P41" s="28" t="s">
        <v>259</v>
      </c>
      <c r="Q41" s="28" t="s">
        <v>260</v>
      </c>
    </row>
    <row r="42" spans="1:17" ht="45.75" customHeight="1" x14ac:dyDescent="0.25">
      <c r="A42" s="32">
        <v>3</v>
      </c>
      <c r="B42" s="33" t="s">
        <v>209</v>
      </c>
      <c r="C42" s="34" t="s">
        <v>254</v>
      </c>
      <c r="D42" s="33" t="s">
        <v>255</v>
      </c>
      <c r="E42" s="33" t="s">
        <v>261</v>
      </c>
      <c r="F42" s="35" t="s">
        <v>69</v>
      </c>
      <c r="G42" s="36" t="s">
        <v>262</v>
      </c>
      <c r="H42" s="37"/>
      <c r="I42" s="38" t="s">
        <v>263</v>
      </c>
      <c r="J42" s="39"/>
      <c r="K42" s="39"/>
      <c r="L42" s="40"/>
      <c r="M42" s="9" t="str">
        <f>IF($J42="AC",COUNTIF($J$5:$J42,"AC"),"")</f>
        <v/>
      </c>
      <c r="N42" s="9" t="str">
        <f>IF($J42="FB",COUNTIF($J$5:$J42,"FB"),"")</f>
        <v/>
      </c>
      <c r="O42" s="9" t="str">
        <f>IF($J42="PC",COUNTIF($J$5:$J42,"PC"),"")</f>
        <v/>
      </c>
      <c r="P42" s="28" t="s">
        <v>264</v>
      </c>
      <c r="Q42" s="28" t="s">
        <v>265</v>
      </c>
    </row>
    <row r="43" spans="1:17" ht="45.75" customHeight="1" x14ac:dyDescent="0.25">
      <c r="A43" s="41">
        <v>3</v>
      </c>
      <c r="B43" s="42" t="s">
        <v>209</v>
      </c>
      <c r="C43" s="43" t="s">
        <v>254</v>
      </c>
      <c r="D43" s="42" t="s">
        <v>255</v>
      </c>
      <c r="E43" s="42" t="s">
        <v>266</v>
      </c>
      <c r="F43" s="35" t="s">
        <v>69</v>
      </c>
      <c r="G43" s="36" t="s">
        <v>267</v>
      </c>
      <c r="H43" s="37"/>
      <c r="I43" s="38" t="s">
        <v>268</v>
      </c>
      <c r="J43" s="39"/>
      <c r="K43" s="39"/>
      <c r="L43" s="40"/>
      <c r="M43" s="9" t="str">
        <f>IF($J43="AC",COUNTIF($J$5:$J43,"AC"),"")</f>
        <v/>
      </c>
      <c r="N43" s="9" t="str">
        <f>IF($J43="FB",COUNTIF($J$5:$J43,"FB"),"")</f>
        <v/>
      </c>
      <c r="O43" s="9" t="str">
        <f>IF($J43="PC",COUNTIF($J$5:$J43,"PC"),"")</f>
        <v/>
      </c>
      <c r="P43" s="28" t="s">
        <v>269</v>
      </c>
      <c r="Q43" s="28" t="s">
        <v>270</v>
      </c>
    </row>
    <row r="44" spans="1:17" ht="45.75" customHeight="1" x14ac:dyDescent="0.25">
      <c r="A44" s="32">
        <v>3</v>
      </c>
      <c r="B44" s="33" t="s">
        <v>209</v>
      </c>
      <c r="C44" s="34" t="s">
        <v>254</v>
      </c>
      <c r="D44" s="33" t="s">
        <v>255</v>
      </c>
      <c r="E44" s="33" t="s">
        <v>271</v>
      </c>
      <c r="F44" s="44" t="s">
        <v>92</v>
      </c>
      <c r="G44" s="36" t="s">
        <v>272</v>
      </c>
      <c r="H44" s="37"/>
      <c r="I44" s="38" t="s">
        <v>273</v>
      </c>
      <c r="J44" s="39"/>
      <c r="K44" s="39"/>
      <c r="L44" s="40"/>
      <c r="M44" s="9" t="str">
        <f>IF($J44="AC",COUNTIF($J$5:$J44,"AC"),"")</f>
        <v/>
      </c>
      <c r="N44" s="9" t="str">
        <f>IF($J44="FB",COUNTIF($J$5:$J44,"FB"),"")</f>
        <v/>
      </c>
      <c r="O44" s="9" t="str">
        <f>IF($J44="PC",COUNTIF($J$5:$J44,"PC"),"")</f>
        <v/>
      </c>
      <c r="P44" s="28" t="s">
        <v>274</v>
      </c>
      <c r="Q44" s="28" t="s">
        <v>275</v>
      </c>
    </row>
    <row r="45" spans="1:17" ht="45.75" customHeight="1" x14ac:dyDescent="0.25">
      <c r="A45" s="41">
        <v>3</v>
      </c>
      <c r="B45" s="42" t="s">
        <v>209</v>
      </c>
      <c r="C45" s="43" t="s">
        <v>276</v>
      </c>
      <c r="D45" s="42" t="s">
        <v>277</v>
      </c>
      <c r="E45" s="42" t="s">
        <v>278</v>
      </c>
      <c r="F45" s="35" t="s">
        <v>69</v>
      </c>
      <c r="G45" s="36" t="s">
        <v>279</v>
      </c>
      <c r="H45" s="37"/>
      <c r="I45" s="38" t="s">
        <v>280</v>
      </c>
      <c r="J45" s="39"/>
      <c r="K45" s="39"/>
      <c r="L45" s="40"/>
      <c r="M45" s="9" t="str">
        <f>IF($J45="AC",COUNTIF($J$5:$J45,"AC"),"")</f>
        <v/>
      </c>
      <c r="N45" s="9" t="str">
        <f>IF($J45="FB",COUNTIF($J$5:$J45,"FB"),"")</f>
        <v/>
      </c>
      <c r="O45" s="9" t="str">
        <f>IF($J45="PC",COUNTIF($J$5:$J45,"PC"),"")</f>
        <v/>
      </c>
      <c r="P45" s="28" t="s">
        <v>281</v>
      </c>
      <c r="Q45" s="28" t="s">
        <v>282</v>
      </c>
    </row>
    <row r="46" spans="1:17" ht="45.75" customHeight="1" x14ac:dyDescent="0.25">
      <c r="A46" s="32">
        <v>3</v>
      </c>
      <c r="B46" s="33" t="s">
        <v>209</v>
      </c>
      <c r="C46" s="34" t="s">
        <v>276</v>
      </c>
      <c r="D46" s="33" t="s">
        <v>277</v>
      </c>
      <c r="E46" s="33" t="s">
        <v>283</v>
      </c>
      <c r="F46" s="44" t="s">
        <v>92</v>
      </c>
      <c r="G46" s="36" t="s">
        <v>284</v>
      </c>
      <c r="H46" s="37"/>
      <c r="I46" s="38" t="s">
        <v>285</v>
      </c>
      <c r="J46" s="39"/>
      <c r="K46" s="39"/>
      <c r="L46" s="40"/>
      <c r="M46" s="9" t="str">
        <f>IF($J46="AC",COUNTIF($J$5:$J46,"AC"),"")</f>
        <v/>
      </c>
      <c r="N46" s="9" t="str">
        <f>IF($J46="FB",COUNTIF($J$5:$J46,"FB"),"")</f>
        <v/>
      </c>
      <c r="O46" s="9" t="str">
        <f>IF($J46="PC",COUNTIF($J$5:$J46,"PC"),"")</f>
        <v/>
      </c>
      <c r="P46" s="28" t="s">
        <v>286</v>
      </c>
      <c r="Q46" s="28" t="s">
        <v>287</v>
      </c>
    </row>
    <row r="47" spans="1:17" ht="45.75" customHeight="1" x14ac:dyDescent="0.25">
      <c r="A47" s="41">
        <v>3</v>
      </c>
      <c r="B47" s="42" t="s">
        <v>209</v>
      </c>
      <c r="C47" s="43" t="s">
        <v>276</v>
      </c>
      <c r="D47" s="42" t="s">
        <v>277</v>
      </c>
      <c r="E47" s="42" t="s">
        <v>288</v>
      </c>
      <c r="F47" s="44" t="s">
        <v>92</v>
      </c>
      <c r="G47" s="36" t="s">
        <v>289</v>
      </c>
      <c r="H47" s="37"/>
      <c r="I47" s="38" t="s">
        <v>290</v>
      </c>
      <c r="J47" s="39"/>
      <c r="K47" s="39"/>
      <c r="L47" s="40"/>
      <c r="M47" s="9" t="str">
        <f>IF($J47="AC",COUNTIF($J$5:$J47,"AC"),"")</f>
        <v/>
      </c>
      <c r="N47" s="9" t="str">
        <f>IF($J47="FB",COUNTIF($J$5:$J47,"FB"),"")</f>
        <v/>
      </c>
      <c r="O47" s="9" t="str">
        <f>IF($J47="PC",COUNTIF($J$5:$J47,"PC"),"")</f>
        <v/>
      </c>
      <c r="P47" s="28" t="s">
        <v>291</v>
      </c>
      <c r="Q47" s="28" t="s">
        <v>292</v>
      </c>
    </row>
    <row r="48" spans="1:17" ht="42" customHeight="1" x14ac:dyDescent="0.25">
      <c r="A48" s="32">
        <v>3</v>
      </c>
      <c r="B48" s="33" t="s">
        <v>209</v>
      </c>
      <c r="C48" s="34" t="s">
        <v>293</v>
      </c>
      <c r="D48" s="33" t="s">
        <v>294</v>
      </c>
      <c r="E48" s="33" t="s">
        <v>295</v>
      </c>
      <c r="F48" s="44" t="s">
        <v>92</v>
      </c>
      <c r="G48" s="36" t="s">
        <v>296</v>
      </c>
      <c r="H48" s="37"/>
      <c r="I48" s="38" t="s">
        <v>297</v>
      </c>
      <c r="J48" s="39"/>
      <c r="K48" s="39"/>
      <c r="L48" s="40"/>
      <c r="M48" s="9" t="str">
        <f>IF($J48="AC",COUNTIF($J$5:$J48,"AC"),"")</f>
        <v/>
      </c>
      <c r="N48" s="9" t="str">
        <f>IF($J48="FB",COUNTIF($J$5:$J48,"FB"),"")</f>
        <v/>
      </c>
      <c r="O48" s="9" t="str">
        <f>IF($J48="PC",COUNTIF($J$5:$J48,"PC"),"")</f>
        <v/>
      </c>
      <c r="P48" s="28" t="s">
        <v>298</v>
      </c>
      <c r="Q48" s="28" t="s">
        <v>299</v>
      </c>
    </row>
    <row r="49" spans="1:17" ht="30.75" customHeight="1" x14ac:dyDescent="0.25">
      <c r="A49" s="41">
        <v>3</v>
      </c>
      <c r="B49" s="42" t="s">
        <v>209</v>
      </c>
      <c r="C49" s="43" t="s">
        <v>293</v>
      </c>
      <c r="D49" s="42" t="s">
        <v>294</v>
      </c>
      <c r="E49" s="42" t="s">
        <v>300</v>
      </c>
      <c r="F49" s="44" t="s">
        <v>92</v>
      </c>
      <c r="G49" s="36" t="s">
        <v>301</v>
      </c>
      <c r="H49" s="37"/>
      <c r="I49" s="38" t="s">
        <v>302</v>
      </c>
      <c r="J49" s="39"/>
      <c r="K49" s="39"/>
      <c r="L49" s="40"/>
      <c r="M49" s="9" t="str">
        <f>IF($J49="AC",COUNTIF($J$5:$J49,"AC"),"")</f>
        <v/>
      </c>
      <c r="N49" s="9" t="str">
        <f>IF($J49="FB",COUNTIF($J$5:$J49,"FB"),"")</f>
        <v/>
      </c>
      <c r="O49" s="9" t="str">
        <f>IF($J49="PC",COUNTIF($J$5:$J49,"PC"),"")</f>
        <v/>
      </c>
      <c r="P49" s="28" t="s">
        <v>303</v>
      </c>
      <c r="Q49" s="28" t="s">
        <v>304</v>
      </c>
    </row>
    <row r="50" spans="1:17" ht="30.75" customHeight="1" x14ac:dyDescent="0.25">
      <c r="A50" s="32">
        <v>3</v>
      </c>
      <c r="B50" s="33" t="s">
        <v>209</v>
      </c>
      <c r="C50" s="34" t="s">
        <v>293</v>
      </c>
      <c r="D50" s="33" t="s">
        <v>294</v>
      </c>
      <c r="E50" s="33" t="s">
        <v>305</v>
      </c>
      <c r="F50" s="44" t="s">
        <v>92</v>
      </c>
      <c r="G50" s="36" t="s">
        <v>306</v>
      </c>
      <c r="H50" s="37"/>
      <c r="I50" s="38" t="s">
        <v>307</v>
      </c>
      <c r="J50" s="39"/>
      <c r="K50" s="39"/>
      <c r="L50" s="40"/>
      <c r="M50" s="9" t="str">
        <f>IF($J50="AC",COUNTIF($J$5:$J50,"AC"),"")</f>
        <v/>
      </c>
      <c r="N50" s="9" t="str">
        <f>IF($J50="FB",COUNTIF($J$5:$J50,"FB"),"")</f>
        <v/>
      </c>
      <c r="O50" s="9" t="str">
        <f>IF($J50="PC",COUNTIF($J$5:$J50,"PC"),"")</f>
        <v/>
      </c>
      <c r="P50" s="28" t="s">
        <v>308</v>
      </c>
      <c r="Q50" s="28" t="s">
        <v>309</v>
      </c>
    </row>
    <row r="51" spans="1:17" s="27" customFormat="1" ht="40.5" customHeight="1" x14ac:dyDescent="0.2">
      <c r="A51" s="18">
        <v>4</v>
      </c>
      <c r="B51" s="19" t="s">
        <v>310</v>
      </c>
      <c r="C51" s="20" t="s">
        <v>311</v>
      </c>
      <c r="D51" s="19" t="s">
        <v>312</v>
      </c>
      <c r="E51" s="19" t="s">
        <v>313</v>
      </c>
      <c r="F51" s="21" t="s">
        <v>53</v>
      </c>
      <c r="G51" s="22" t="s">
        <v>314</v>
      </c>
      <c r="H51" s="23"/>
      <c r="I51" s="24" t="s">
        <v>315</v>
      </c>
      <c r="J51" s="25"/>
      <c r="K51" s="25"/>
      <c r="L51" s="26"/>
      <c r="M51" s="27" t="str">
        <f>IF($J51="AC",COUNTIF($J$5:$J51,"AC"),"")</f>
        <v/>
      </c>
      <c r="N51" s="27" t="str">
        <f>IF($J51="FB",COUNTIF($J$5:$J51,"FB"),"")</f>
        <v/>
      </c>
      <c r="O51" s="27" t="str">
        <f>IF($J51="PC",COUNTIF($J$5:$J51,"PC"),"")</f>
        <v/>
      </c>
      <c r="P51" s="28" t="s">
        <v>316</v>
      </c>
      <c r="Q51" s="28" t="s">
        <v>317</v>
      </c>
    </row>
    <row r="52" spans="1:17" s="27" customFormat="1" ht="40.5" customHeight="1" x14ac:dyDescent="0.2">
      <c r="A52" s="29">
        <v>4</v>
      </c>
      <c r="B52" s="30" t="s">
        <v>310</v>
      </c>
      <c r="C52" s="31" t="s">
        <v>311</v>
      </c>
      <c r="D52" s="30" t="s">
        <v>312</v>
      </c>
      <c r="E52" s="30" t="s">
        <v>318</v>
      </c>
      <c r="F52" s="21" t="s">
        <v>53</v>
      </c>
      <c r="G52" s="22" t="s">
        <v>319</v>
      </c>
      <c r="H52" s="23"/>
      <c r="I52" s="24" t="s">
        <v>320</v>
      </c>
      <c r="J52" s="25"/>
      <c r="K52" s="25"/>
      <c r="L52" s="26"/>
      <c r="M52" s="27" t="str">
        <f>IF($J52="AC",COUNTIF($J$5:$J52,"AC"),"")</f>
        <v/>
      </c>
      <c r="N52" s="27" t="str">
        <f>IF($J52="FB",COUNTIF($J$5:$J52,"FB"),"")</f>
        <v/>
      </c>
      <c r="O52" s="27" t="str">
        <f>IF($J52="PC",COUNTIF($J$5:$J52,"PC"),"")</f>
        <v/>
      </c>
      <c r="P52" s="28" t="s">
        <v>321</v>
      </c>
      <c r="Q52" s="28" t="s">
        <v>322</v>
      </c>
    </row>
    <row r="53" spans="1:17" ht="60.75" customHeight="1" x14ac:dyDescent="0.25">
      <c r="A53" s="41">
        <v>4</v>
      </c>
      <c r="B53" s="30" t="s">
        <v>310</v>
      </c>
      <c r="C53" s="43" t="s">
        <v>311</v>
      </c>
      <c r="D53" s="42" t="s">
        <v>312</v>
      </c>
      <c r="E53" s="42" t="s">
        <v>323</v>
      </c>
      <c r="F53" s="44" t="s">
        <v>92</v>
      </c>
      <c r="G53" s="36" t="s">
        <v>324</v>
      </c>
      <c r="H53" s="37"/>
      <c r="I53" s="38" t="s">
        <v>325</v>
      </c>
      <c r="J53" s="39"/>
      <c r="K53" s="39"/>
      <c r="L53" s="40"/>
      <c r="M53" s="9" t="str">
        <f>IF($J53="AC",COUNTIF($J$5:$J53,"AC"),"")</f>
        <v/>
      </c>
      <c r="N53" s="9" t="str">
        <f>IF($J53="FB",COUNTIF($J$5:$J53,"FB"),"")</f>
        <v/>
      </c>
      <c r="O53" s="9" t="str">
        <f>IF($J53="PC",COUNTIF($J$5:$J53,"PC"),"")</f>
        <v/>
      </c>
      <c r="P53" s="28" t="s">
        <v>326</v>
      </c>
      <c r="Q53" s="28" t="s">
        <v>327</v>
      </c>
    </row>
    <row r="54" spans="1:17" ht="60.75" customHeight="1" x14ac:dyDescent="0.25">
      <c r="A54" s="32">
        <v>4</v>
      </c>
      <c r="B54" s="30" t="s">
        <v>310</v>
      </c>
      <c r="C54" s="34" t="s">
        <v>311</v>
      </c>
      <c r="D54" s="33" t="s">
        <v>312</v>
      </c>
      <c r="E54" s="33" t="s">
        <v>328</v>
      </c>
      <c r="F54" s="35" t="s">
        <v>69</v>
      </c>
      <c r="G54" s="36" t="s">
        <v>329</v>
      </c>
      <c r="H54" s="37"/>
      <c r="I54" s="38" t="s">
        <v>330</v>
      </c>
      <c r="J54" s="39"/>
      <c r="K54" s="39"/>
      <c r="L54" s="40"/>
      <c r="M54" s="9" t="str">
        <f>IF($J54="AC",COUNTIF($J$5:$J54,"AC"),"")</f>
        <v/>
      </c>
      <c r="N54" s="9" t="str">
        <f>IF($J54="FB",COUNTIF($J$5:$J54,"FB"),"")</f>
        <v/>
      </c>
      <c r="O54" s="9" t="str">
        <f>IF($J54="PC",COUNTIF($J$5:$J54,"PC"),"")</f>
        <v/>
      </c>
      <c r="P54" s="28" t="s">
        <v>331</v>
      </c>
      <c r="Q54" s="28" t="s">
        <v>332</v>
      </c>
    </row>
    <row r="55" spans="1:17" ht="60.75" customHeight="1" x14ac:dyDescent="0.25">
      <c r="A55" s="41">
        <v>4</v>
      </c>
      <c r="B55" s="30" t="s">
        <v>310</v>
      </c>
      <c r="C55" s="43" t="s">
        <v>311</v>
      </c>
      <c r="D55" s="42" t="s">
        <v>312</v>
      </c>
      <c r="E55" s="42" t="s">
        <v>333</v>
      </c>
      <c r="F55" s="35" t="s">
        <v>69</v>
      </c>
      <c r="G55" s="36" t="s">
        <v>334</v>
      </c>
      <c r="H55" s="37"/>
      <c r="I55" s="38" t="s">
        <v>335</v>
      </c>
      <c r="J55" s="39"/>
      <c r="K55" s="39"/>
      <c r="L55" s="40"/>
      <c r="M55" s="9" t="str">
        <f>IF($J55="AC",COUNTIF($J$5:$J55,"AC"),"")</f>
        <v/>
      </c>
      <c r="N55" s="9" t="str">
        <f>IF($J55="FB",COUNTIF($J$5:$J55,"FB"),"")</f>
        <v/>
      </c>
      <c r="O55" s="9" t="str">
        <f>IF($J55="PC",COUNTIF($J$5:$J55,"PC"),"")</f>
        <v/>
      </c>
      <c r="P55" s="28" t="s">
        <v>336</v>
      </c>
      <c r="Q55" s="28" t="s">
        <v>337</v>
      </c>
    </row>
    <row r="56" spans="1:17" s="27" customFormat="1" ht="40.5" customHeight="1" x14ac:dyDescent="0.2">
      <c r="A56" s="29">
        <v>4</v>
      </c>
      <c r="B56" s="30" t="s">
        <v>310</v>
      </c>
      <c r="C56" s="31" t="s">
        <v>338</v>
      </c>
      <c r="D56" s="30" t="s">
        <v>339</v>
      </c>
      <c r="E56" s="30" t="s">
        <v>340</v>
      </c>
      <c r="F56" s="21" t="s">
        <v>53</v>
      </c>
      <c r="G56" s="22" t="s">
        <v>341</v>
      </c>
      <c r="H56" s="23"/>
      <c r="I56" s="24" t="s">
        <v>342</v>
      </c>
      <c r="J56" s="25"/>
      <c r="K56" s="25"/>
      <c r="L56" s="26"/>
      <c r="M56" s="27" t="str">
        <f>IF($J56="AC",COUNTIF($J$5:$J56,"AC"),"")</f>
        <v/>
      </c>
      <c r="N56" s="27" t="str">
        <f>IF($J56="FB",COUNTIF($J$5:$J56,"FB"),"")</f>
        <v/>
      </c>
      <c r="O56" s="27" t="str">
        <f>IF($J56="PC",COUNTIF($J$5:$J56,"PC"),"")</f>
        <v/>
      </c>
      <c r="P56" s="28" t="s">
        <v>343</v>
      </c>
      <c r="Q56" s="28" t="s">
        <v>344</v>
      </c>
    </row>
    <row r="57" spans="1:17" s="27" customFormat="1" ht="40.5" customHeight="1" x14ac:dyDescent="0.2">
      <c r="A57" s="18">
        <v>4</v>
      </c>
      <c r="B57" s="19" t="s">
        <v>310</v>
      </c>
      <c r="C57" s="20" t="s">
        <v>338</v>
      </c>
      <c r="D57" s="19" t="s">
        <v>339</v>
      </c>
      <c r="E57" s="19" t="s">
        <v>345</v>
      </c>
      <c r="F57" s="21" t="s">
        <v>53</v>
      </c>
      <c r="G57" s="22" t="s">
        <v>346</v>
      </c>
      <c r="H57" s="23"/>
      <c r="I57" s="24" t="s">
        <v>347</v>
      </c>
      <c r="J57" s="25"/>
      <c r="K57" s="25"/>
      <c r="L57" s="26"/>
      <c r="M57" s="27" t="str">
        <f>IF($J57="AC",COUNTIF($J$5:$J57,"AC"),"")</f>
        <v/>
      </c>
      <c r="N57" s="27" t="str">
        <f>IF($J57="FB",COUNTIF($J$5:$J57,"FB"),"")</f>
        <v/>
      </c>
      <c r="O57" s="27" t="str">
        <f>IF($J57="PC",COUNTIF($J$5:$J57,"PC"),"")</f>
        <v/>
      </c>
      <c r="P57" s="28" t="s">
        <v>348</v>
      </c>
      <c r="Q57" s="28" t="s">
        <v>349</v>
      </c>
    </row>
    <row r="58" spans="1:17" ht="60.75" customHeight="1" x14ac:dyDescent="0.25">
      <c r="A58" s="32">
        <v>4</v>
      </c>
      <c r="B58" s="19" t="s">
        <v>310</v>
      </c>
      <c r="C58" s="34" t="s">
        <v>338</v>
      </c>
      <c r="D58" s="33" t="s">
        <v>339</v>
      </c>
      <c r="E58" s="33" t="s">
        <v>350</v>
      </c>
      <c r="F58" s="35" t="s">
        <v>69</v>
      </c>
      <c r="G58" s="36" t="s">
        <v>351</v>
      </c>
      <c r="H58" s="37"/>
      <c r="I58" s="38" t="s">
        <v>352</v>
      </c>
      <c r="J58" s="39"/>
      <c r="K58" s="39"/>
      <c r="L58" s="40"/>
      <c r="M58" s="9" t="str">
        <f>IF($J58="AC",COUNTIF($J$5:$J58,"AC"),"")</f>
        <v/>
      </c>
      <c r="N58" s="9" t="str">
        <f>IF($J58="FB",COUNTIF($J$5:$J58,"FB"),"")</f>
        <v/>
      </c>
      <c r="O58" s="9" t="str">
        <f>IF($J58="PC",COUNTIF($J$5:$J58,"PC"),"")</f>
        <v/>
      </c>
      <c r="P58" s="28" t="s">
        <v>353</v>
      </c>
      <c r="Q58" s="28" t="s">
        <v>354</v>
      </c>
    </row>
    <row r="59" spans="1:17" ht="60.75" customHeight="1" x14ac:dyDescent="0.25">
      <c r="A59" s="41">
        <v>4</v>
      </c>
      <c r="B59" s="19" t="s">
        <v>310</v>
      </c>
      <c r="C59" s="43" t="s">
        <v>338</v>
      </c>
      <c r="D59" s="42" t="s">
        <v>339</v>
      </c>
      <c r="E59" s="42" t="s">
        <v>355</v>
      </c>
      <c r="F59" s="35" t="s">
        <v>69</v>
      </c>
      <c r="G59" s="36" t="s">
        <v>356</v>
      </c>
      <c r="H59" s="37"/>
      <c r="I59" s="38" t="s">
        <v>357</v>
      </c>
      <c r="J59" s="39"/>
      <c r="K59" s="39"/>
      <c r="L59" s="40"/>
      <c r="M59" s="9" t="str">
        <f>IF($J59="AC",COUNTIF($J$5:$J59,"AC"),"")</f>
        <v/>
      </c>
      <c r="N59" s="9" t="str">
        <f>IF($J59="FB",COUNTIF($J$5:$J59,"FB"),"")</f>
        <v/>
      </c>
      <c r="O59" s="9" t="str">
        <f>IF($J59="PC",COUNTIF($J$5:$J59,"PC"),"")</f>
        <v/>
      </c>
      <c r="P59" s="28" t="s">
        <v>358</v>
      </c>
      <c r="Q59" s="28" t="s">
        <v>359</v>
      </c>
    </row>
    <row r="60" spans="1:17" ht="60.75" customHeight="1" x14ac:dyDescent="0.25">
      <c r="A60" s="32">
        <v>4</v>
      </c>
      <c r="B60" s="19" t="s">
        <v>310</v>
      </c>
      <c r="C60" s="34" t="s">
        <v>360</v>
      </c>
      <c r="D60" s="33" t="s">
        <v>361</v>
      </c>
      <c r="E60" s="33" t="s">
        <v>362</v>
      </c>
      <c r="F60" s="35" t="s">
        <v>69</v>
      </c>
      <c r="G60" s="36" t="s">
        <v>363</v>
      </c>
      <c r="H60" s="37"/>
      <c r="I60" s="38" t="s">
        <v>364</v>
      </c>
      <c r="J60" s="39"/>
      <c r="K60" s="39"/>
      <c r="L60" s="40"/>
      <c r="M60" s="9" t="str">
        <f>IF($J60="AC",COUNTIF($J$5:$J60,"AC"),"")</f>
        <v/>
      </c>
      <c r="N60" s="9" t="str">
        <f>IF($J60="FB",COUNTIF($J$5:$J60,"FB"),"")</f>
        <v/>
      </c>
      <c r="O60" s="9" t="str">
        <f>IF($J60="PC",COUNTIF($J$5:$J60,"PC"),"")</f>
        <v/>
      </c>
      <c r="P60" s="28" t="s">
        <v>365</v>
      </c>
      <c r="Q60" s="28" t="s">
        <v>366</v>
      </c>
    </row>
    <row r="61" spans="1:17" ht="60.75" customHeight="1" x14ac:dyDescent="0.25">
      <c r="A61" s="41">
        <v>4</v>
      </c>
      <c r="B61" s="19" t="s">
        <v>310</v>
      </c>
      <c r="C61" s="43" t="s">
        <v>360</v>
      </c>
      <c r="D61" s="42" t="s">
        <v>361</v>
      </c>
      <c r="E61" s="42" t="s">
        <v>367</v>
      </c>
      <c r="F61" s="35" t="s">
        <v>69</v>
      </c>
      <c r="G61" s="36" t="s">
        <v>368</v>
      </c>
      <c r="H61" s="37"/>
      <c r="I61" s="38" t="s">
        <v>369</v>
      </c>
      <c r="J61" s="39"/>
      <c r="K61" s="39"/>
      <c r="L61" s="40"/>
      <c r="M61" s="9" t="str">
        <f>IF($J61="AC",COUNTIF($J$5:$J61,"AC"),"")</f>
        <v/>
      </c>
      <c r="N61" s="9" t="str">
        <f>IF($J61="FB",COUNTIF($J$5:$J61,"FB"),"")</f>
        <v/>
      </c>
      <c r="O61" s="9" t="str">
        <f>IF($J61="PC",COUNTIF($J$5:$J61,"PC"),"")</f>
        <v/>
      </c>
      <c r="P61" s="28" t="s">
        <v>370</v>
      </c>
      <c r="Q61" s="28" t="s">
        <v>371</v>
      </c>
    </row>
    <row r="62" spans="1:17" ht="60.75" customHeight="1" x14ac:dyDescent="0.25">
      <c r="A62" s="32">
        <v>4</v>
      </c>
      <c r="B62" s="19" t="s">
        <v>310</v>
      </c>
      <c r="C62" s="34" t="s">
        <v>360</v>
      </c>
      <c r="D62" s="33" t="s">
        <v>361</v>
      </c>
      <c r="E62" s="33" t="s">
        <v>372</v>
      </c>
      <c r="F62" s="35" t="s">
        <v>69</v>
      </c>
      <c r="G62" s="36" t="s">
        <v>373</v>
      </c>
      <c r="H62" s="37"/>
      <c r="I62" s="38" t="s">
        <v>374</v>
      </c>
      <c r="J62" s="39"/>
      <c r="K62" s="39"/>
      <c r="L62" s="40"/>
      <c r="M62" s="9" t="str">
        <f>IF($J62="AC",COUNTIF($J$5:$J62,"AC"),"")</f>
        <v/>
      </c>
      <c r="N62" s="9" t="str">
        <f>IF($J62="FB",COUNTIF($J$5:$J62,"FB"),"")</f>
        <v/>
      </c>
      <c r="O62" s="9" t="str">
        <f>IF($J62="PC",COUNTIF($J$5:$J62,"PC"),"")</f>
        <v/>
      </c>
      <c r="P62" s="28" t="s">
        <v>375</v>
      </c>
      <c r="Q62" s="28" t="s">
        <v>376</v>
      </c>
    </row>
    <row r="63" spans="1:17" ht="60.75" customHeight="1" x14ac:dyDescent="0.25">
      <c r="A63" s="41">
        <v>4</v>
      </c>
      <c r="B63" s="19" t="s">
        <v>310</v>
      </c>
      <c r="C63" s="43" t="s">
        <v>360</v>
      </c>
      <c r="D63" s="42" t="s">
        <v>361</v>
      </c>
      <c r="E63" s="42" t="s">
        <v>377</v>
      </c>
      <c r="F63" s="44" t="s">
        <v>92</v>
      </c>
      <c r="G63" s="36" t="s">
        <v>378</v>
      </c>
      <c r="H63" s="37"/>
      <c r="I63" s="38" t="s">
        <v>379</v>
      </c>
      <c r="J63" s="39"/>
      <c r="K63" s="39"/>
      <c r="L63" s="40"/>
      <c r="M63" s="9" t="str">
        <f>IF($J63="AC",COUNTIF($J$5:$J63,"AC"),"")</f>
        <v/>
      </c>
      <c r="N63" s="9" t="str">
        <f>IF($J63="FB",COUNTIF($J$5:$J63,"FB"),"")</f>
        <v/>
      </c>
      <c r="O63" s="9" t="str">
        <f>IF($J63="PC",COUNTIF($J$5:$J63,"PC"),"")</f>
        <v/>
      </c>
      <c r="P63" s="28" t="s">
        <v>380</v>
      </c>
      <c r="Q63" s="28" t="s">
        <v>381</v>
      </c>
    </row>
    <row r="64" spans="1:17" ht="60.75" customHeight="1" x14ac:dyDescent="0.25">
      <c r="A64" s="32">
        <v>4</v>
      </c>
      <c r="B64" s="19" t="s">
        <v>310</v>
      </c>
      <c r="C64" s="34" t="s">
        <v>360</v>
      </c>
      <c r="D64" s="33" t="s">
        <v>361</v>
      </c>
      <c r="E64" s="33" t="s">
        <v>382</v>
      </c>
      <c r="F64" s="44" t="s">
        <v>92</v>
      </c>
      <c r="G64" s="36" t="s">
        <v>383</v>
      </c>
      <c r="H64" s="37"/>
      <c r="I64" s="38" t="s">
        <v>384</v>
      </c>
      <c r="J64" s="39"/>
      <c r="K64" s="39"/>
      <c r="L64" s="40"/>
      <c r="M64" s="9" t="str">
        <f>IF($J64="AC",COUNTIF($J$5:$J64,"AC"),"")</f>
        <v/>
      </c>
      <c r="N64" s="9" t="str">
        <f>IF($J64="FB",COUNTIF($J$5:$J64,"FB"),"")</f>
        <v/>
      </c>
      <c r="O64" s="9" t="str">
        <f>IF($J64="PC",COUNTIF($J$5:$J64,"PC"),"")</f>
        <v/>
      </c>
      <c r="P64" s="28" t="s">
        <v>385</v>
      </c>
      <c r="Q64" s="28" t="s">
        <v>386</v>
      </c>
    </row>
    <row r="65" spans="1:17" ht="60.75" customHeight="1" x14ac:dyDescent="0.25">
      <c r="A65" s="41">
        <v>4</v>
      </c>
      <c r="B65" s="19" t="s">
        <v>310</v>
      </c>
      <c r="C65" s="43" t="s">
        <v>360</v>
      </c>
      <c r="D65" s="42" t="s">
        <v>361</v>
      </c>
      <c r="E65" s="42" t="s">
        <v>387</v>
      </c>
      <c r="F65" s="35" t="s">
        <v>69</v>
      </c>
      <c r="G65" s="36" t="s">
        <v>388</v>
      </c>
      <c r="H65" s="37"/>
      <c r="I65" s="38" t="s">
        <v>389</v>
      </c>
      <c r="J65" s="39"/>
      <c r="K65" s="39"/>
      <c r="L65" s="40"/>
      <c r="M65" s="9" t="str">
        <f>IF($J65="AC",COUNTIF($J$5:$J65,"AC"),"")</f>
        <v/>
      </c>
      <c r="N65" s="9" t="str">
        <f>IF($J65="FB",COUNTIF($J$5:$J65,"FB"),"")</f>
        <v/>
      </c>
      <c r="O65" s="9" t="str">
        <f>IF($J65="PC",COUNTIF($J$5:$J65,"PC"),"")</f>
        <v/>
      </c>
      <c r="P65" s="28" t="s">
        <v>390</v>
      </c>
      <c r="Q65" s="28" t="s">
        <v>391</v>
      </c>
    </row>
    <row r="66" spans="1:17" ht="60.75" customHeight="1" x14ac:dyDescent="0.25">
      <c r="A66" s="32">
        <v>4</v>
      </c>
      <c r="B66" s="19" t="s">
        <v>310</v>
      </c>
      <c r="C66" s="34" t="s">
        <v>392</v>
      </c>
      <c r="D66" s="33" t="s">
        <v>393</v>
      </c>
      <c r="E66" s="33" t="s">
        <v>394</v>
      </c>
      <c r="F66" s="44" t="s">
        <v>92</v>
      </c>
      <c r="G66" s="36" t="s">
        <v>395</v>
      </c>
      <c r="H66" s="37"/>
      <c r="I66" s="38" t="s">
        <v>396</v>
      </c>
      <c r="J66" s="39"/>
      <c r="K66" s="39"/>
      <c r="L66" s="40"/>
      <c r="M66" s="9" t="str">
        <f>IF($J66="AC",COUNTIF($J$5:$J66,"AC"),"")</f>
        <v/>
      </c>
      <c r="N66" s="9" t="str">
        <f>IF($J66="FB",COUNTIF($J$5:$J66,"FB"),"")</f>
        <v/>
      </c>
      <c r="O66" s="9" t="str">
        <f>IF($J66="PC",COUNTIF($J$5:$J66,"PC"),"")</f>
        <v/>
      </c>
      <c r="P66" s="28" t="s">
        <v>397</v>
      </c>
      <c r="Q66" s="28" t="s">
        <v>398</v>
      </c>
    </row>
    <row r="67" spans="1:17" ht="60.75" customHeight="1" x14ac:dyDescent="0.25">
      <c r="A67" s="41">
        <v>4</v>
      </c>
      <c r="B67" s="19" t="s">
        <v>310</v>
      </c>
      <c r="C67" s="43" t="s">
        <v>392</v>
      </c>
      <c r="D67" s="42" t="s">
        <v>393</v>
      </c>
      <c r="E67" s="42" t="s">
        <v>399</v>
      </c>
      <c r="F67" s="44" t="s">
        <v>92</v>
      </c>
      <c r="G67" s="36" t="s">
        <v>400</v>
      </c>
      <c r="H67" s="37"/>
      <c r="I67" s="38" t="s">
        <v>401</v>
      </c>
      <c r="J67" s="39"/>
      <c r="K67" s="39"/>
      <c r="L67" s="40"/>
      <c r="M67" s="9" t="str">
        <f>IF($J67="AC",COUNTIF($J$5:$J67,"AC"),"")</f>
        <v/>
      </c>
      <c r="N67" s="9" t="str">
        <f>IF($J67="FB",COUNTIF($J$5:$J67,"FB"),"")</f>
        <v/>
      </c>
      <c r="O67" s="9" t="str">
        <f>IF($J67="PC",COUNTIF($J$5:$J67,"PC"),"")</f>
        <v/>
      </c>
      <c r="P67" s="28" t="s">
        <v>402</v>
      </c>
      <c r="Q67" s="28" t="s">
        <v>403</v>
      </c>
    </row>
    <row r="68" spans="1:17" ht="60.75" customHeight="1" x14ac:dyDescent="0.25">
      <c r="A68" s="32">
        <v>4</v>
      </c>
      <c r="B68" s="19" t="s">
        <v>310</v>
      </c>
      <c r="C68" s="34" t="s">
        <v>392</v>
      </c>
      <c r="D68" s="33" t="s">
        <v>393</v>
      </c>
      <c r="E68" s="33" t="s">
        <v>404</v>
      </c>
      <c r="F68" s="44" t="s">
        <v>92</v>
      </c>
      <c r="G68" s="36" t="s">
        <v>405</v>
      </c>
      <c r="H68" s="37"/>
      <c r="I68" s="38" t="s">
        <v>406</v>
      </c>
      <c r="J68" s="39"/>
      <c r="K68" s="39"/>
      <c r="L68" s="40"/>
      <c r="M68" s="9" t="str">
        <f>IF($J68="AC",COUNTIF($J$5:$J68,"AC"),"")</f>
        <v/>
      </c>
      <c r="N68" s="9" t="str">
        <f>IF($J68="FB",COUNTIF($J$5:$J68,"FB"),"")</f>
        <v/>
      </c>
      <c r="O68" s="9" t="str">
        <f>IF($J68="PC",COUNTIF($J$5:$J68,"PC"),"")</f>
        <v/>
      </c>
      <c r="P68" s="28" t="s">
        <v>407</v>
      </c>
      <c r="Q68" s="28" t="s">
        <v>408</v>
      </c>
    </row>
    <row r="69" spans="1:17" ht="60.75" customHeight="1" x14ac:dyDescent="0.25">
      <c r="A69" s="41">
        <v>4</v>
      </c>
      <c r="B69" s="19" t="s">
        <v>310</v>
      </c>
      <c r="C69" s="43" t="s">
        <v>392</v>
      </c>
      <c r="D69" s="42" t="s">
        <v>393</v>
      </c>
      <c r="E69" s="42" t="s">
        <v>409</v>
      </c>
      <c r="F69" s="45" t="s">
        <v>165</v>
      </c>
      <c r="G69" s="36" t="s">
        <v>410</v>
      </c>
      <c r="H69" s="37"/>
      <c r="I69" s="38" t="s">
        <v>411</v>
      </c>
      <c r="J69" s="39"/>
      <c r="K69" s="39"/>
      <c r="L69" s="40"/>
      <c r="M69" s="9" t="str">
        <f>IF($J69="AC",COUNTIF($J$5:$J69,"AC"),"")</f>
        <v/>
      </c>
      <c r="N69" s="9" t="str">
        <f>IF($J69="FB",COUNTIF($J$5:$J69,"FB"),"")</f>
        <v/>
      </c>
      <c r="O69" s="9" t="str">
        <f>IF($J69="PC",COUNTIF($J$5:$J69,"PC"),"")</f>
        <v/>
      </c>
      <c r="P69" s="28" t="s">
        <v>412</v>
      </c>
      <c r="Q69" s="28" t="s">
        <v>413</v>
      </c>
    </row>
    <row r="70" spans="1:17" ht="60.75" customHeight="1" x14ac:dyDescent="0.25">
      <c r="A70" s="32">
        <v>4</v>
      </c>
      <c r="B70" s="19" t="s">
        <v>310</v>
      </c>
      <c r="C70" s="34" t="s">
        <v>392</v>
      </c>
      <c r="D70" s="33" t="s">
        <v>393</v>
      </c>
      <c r="E70" s="33" t="s">
        <v>414</v>
      </c>
      <c r="F70" s="45" t="s">
        <v>165</v>
      </c>
      <c r="G70" s="36" t="s">
        <v>415</v>
      </c>
      <c r="H70" s="37"/>
      <c r="I70" s="38" t="s">
        <v>416</v>
      </c>
      <c r="J70" s="39"/>
      <c r="K70" s="39"/>
      <c r="L70" s="40"/>
      <c r="M70" s="9" t="str">
        <f>IF($J70="AC",COUNTIF($J$5:$J70,"AC"),"")</f>
        <v/>
      </c>
      <c r="N70" s="9" t="str">
        <f>IF($J70="FB",COUNTIF($J$5:$J70,"FB"),"")</f>
        <v/>
      </c>
      <c r="O70" s="9" t="str">
        <f>IF($J70="PC",COUNTIF($J$5:$J70,"PC"),"")</f>
        <v/>
      </c>
      <c r="P70" s="28" t="s">
        <v>417</v>
      </c>
      <c r="Q70" s="28" t="s">
        <v>418</v>
      </c>
    </row>
    <row r="71" spans="1:17" ht="40.5" customHeight="1" x14ac:dyDescent="0.25">
      <c r="A71" s="41">
        <v>5</v>
      </c>
      <c r="B71" s="42" t="s">
        <v>419</v>
      </c>
      <c r="C71" s="43" t="s">
        <v>420</v>
      </c>
      <c r="D71" s="42" t="s">
        <v>421</v>
      </c>
      <c r="E71" s="42" t="s">
        <v>422</v>
      </c>
      <c r="F71" s="35" t="s">
        <v>69</v>
      </c>
      <c r="G71" s="36" t="s">
        <v>423</v>
      </c>
      <c r="H71" s="37"/>
      <c r="I71" s="38" t="s">
        <v>424</v>
      </c>
      <c r="J71" s="39"/>
      <c r="K71" s="39"/>
      <c r="L71" s="40"/>
      <c r="M71" s="9" t="str">
        <f>IF($J71="AC",COUNTIF($J$5:$J71,"AC"),"")</f>
        <v/>
      </c>
      <c r="N71" s="9" t="str">
        <f>IF($J71="FB",COUNTIF($J$5:$J71,"FB"),"")</f>
        <v/>
      </c>
      <c r="O71" s="9" t="str">
        <f>IF($J71="PC",COUNTIF($J$5:$J71,"PC"),"")</f>
        <v/>
      </c>
      <c r="P71" s="28" t="s">
        <v>425</v>
      </c>
      <c r="Q71" s="28" t="s">
        <v>426</v>
      </c>
    </row>
    <row r="72" spans="1:17" ht="30.75" customHeight="1" x14ac:dyDescent="0.25">
      <c r="A72" s="32">
        <v>5</v>
      </c>
      <c r="B72" s="33" t="s">
        <v>419</v>
      </c>
      <c r="C72" s="34" t="s">
        <v>420</v>
      </c>
      <c r="D72" s="33" t="s">
        <v>421</v>
      </c>
      <c r="E72" s="33" t="s">
        <v>427</v>
      </c>
      <c r="F72" s="44" t="s">
        <v>92</v>
      </c>
      <c r="G72" s="36" t="s">
        <v>428</v>
      </c>
      <c r="H72" s="37"/>
      <c r="I72" s="38" t="s">
        <v>429</v>
      </c>
      <c r="J72" s="39"/>
      <c r="K72" s="39"/>
      <c r="L72" s="40"/>
      <c r="M72" s="9" t="str">
        <f>IF($J72="AC",COUNTIF($J$5:$J72,"AC"),"")</f>
        <v/>
      </c>
      <c r="N72" s="9" t="str">
        <f>IF($J72="FB",COUNTIF($J$5:$J72,"FB"),"")</f>
        <v/>
      </c>
      <c r="O72" s="9" t="str">
        <f>IF($J72="PC",COUNTIF($J$5:$J72,"PC"),"")</f>
        <v/>
      </c>
      <c r="P72" s="28" t="s">
        <v>430</v>
      </c>
      <c r="Q72" s="28" t="s">
        <v>431</v>
      </c>
    </row>
    <row r="73" spans="1:17" ht="30.75" customHeight="1" x14ac:dyDescent="0.25">
      <c r="A73" s="41">
        <v>5</v>
      </c>
      <c r="B73" s="42" t="s">
        <v>419</v>
      </c>
      <c r="C73" s="43" t="s">
        <v>420</v>
      </c>
      <c r="D73" s="42" t="s">
        <v>421</v>
      </c>
      <c r="E73" s="42" t="s">
        <v>432</v>
      </c>
      <c r="F73" s="44" t="s">
        <v>92</v>
      </c>
      <c r="G73" s="36" t="s">
        <v>433</v>
      </c>
      <c r="H73" s="37"/>
      <c r="I73" s="38" t="s">
        <v>434</v>
      </c>
      <c r="J73" s="39"/>
      <c r="K73" s="39"/>
      <c r="L73" s="40"/>
      <c r="M73" s="9" t="str">
        <f>IF($J73="AC",COUNTIF($J$5:$J73,"AC"),"")</f>
        <v/>
      </c>
      <c r="N73" s="9" t="str">
        <f>IF($J73="FB",COUNTIF($J$5:$J73,"FB"),"")</f>
        <v/>
      </c>
      <c r="O73" s="9" t="str">
        <f>IF($J73="PC",COUNTIF($J$5:$J73,"PC"),"")</f>
        <v/>
      </c>
      <c r="P73" s="28" t="s">
        <v>435</v>
      </c>
      <c r="Q73" s="28" t="s">
        <v>436</v>
      </c>
    </row>
    <row r="74" spans="1:17" ht="30.75" customHeight="1" x14ac:dyDescent="0.25">
      <c r="A74" s="32">
        <v>5</v>
      </c>
      <c r="B74" s="33" t="s">
        <v>419</v>
      </c>
      <c r="C74" s="34" t="s">
        <v>420</v>
      </c>
      <c r="D74" s="33" t="s">
        <v>421</v>
      </c>
      <c r="E74" s="33" t="s">
        <v>437</v>
      </c>
      <c r="F74" s="44" t="s">
        <v>92</v>
      </c>
      <c r="G74" s="36" t="s">
        <v>438</v>
      </c>
      <c r="H74" s="37"/>
      <c r="I74" s="38" t="s">
        <v>439</v>
      </c>
      <c r="J74" s="39"/>
      <c r="K74" s="39"/>
      <c r="L74" s="40"/>
      <c r="M74" s="9" t="str">
        <f>IF($J74="AC",COUNTIF($J$5:$J74,"AC"),"")</f>
        <v/>
      </c>
      <c r="N74" s="9" t="str">
        <f>IF($J74="FB",COUNTIF($J$5:$J74,"FB"),"")</f>
        <v/>
      </c>
      <c r="O74" s="9" t="str">
        <f>IF($J74="PC",COUNTIF($J$5:$J74,"PC"),"")</f>
        <v/>
      </c>
      <c r="P74" s="28" t="s">
        <v>440</v>
      </c>
      <c r="Q74" s="28" t="s">
        <v>441</v>
      </c>
    </row>
    <row r="75" spans="1:17" ht="30.75" customHeight="1" x14ac:dyDescent="0.25">
      <c r="A75" s="41">
        <v>5</v>
      </c>
      <c r="B75" s="42" t="s">
        <v>419</v>
      </c>
      <c r="C75" s="43" t="s">
        <v>420</v>
      </c>
      <c r="D75" s="42" t="s">
        <v>421</v>
      </c>
      <c r="E75" s="42" t="s">
        <v>442</v>
      </c>
      <c r="F75" s="45" t="s">
        <v>165</v>
      </c>
      <c r="G75" s="36" t="s">
        <v>443</v>
      </c>
      <c r="H75" s="37"/>
      <c r="I75" s="38" t="s">
        <v>444</v>
      </c>
      <c r="J75" s="39"/>
      <c r="K75" s="39"/>
      <c r="L75" s="40"/>
      <c r="M75" s="9" t="str">
        <f>IF($J75="AC",COUNTIF($J$5:$J75,"AC"),"")</f>
        <v/>
      </c>
      <c r="N75" s="9" t="str">
        <f>IF($J75="FB",COUNTIF($J$5:$J75,"FB"),"")</f>
        <v/>
      </c>
      <c r="O75" s="9" t="str">
        <f>IF($J75="PC",COUNTIF($J$5:$J75,"PC"),"")</f>
        <v/>
      </c>
      <c r="P75" s="28" t="s">
        <v>445</v>
      </c>
      <c r="Q75" s="28" t="s">
        <v>446</v>
      </c>
    </row>
    <row r="76" spans="1:17" ht="40.5" customHeight="1" x14ac:dyDescent="0.25">
      <c r="A76" s="32">
        <v>5</v>
      </c>
      <c r="B76" s="33" t="s">
        <v>419</v>
      </c>
      <c r="C76" s="34" t="s">
        <v>447</v>
      </c>
      <c r="D76" s="33" t="s">
        <v>448</v>
      </c>
      <c r="E76" s="33" t="s">
        <v>449</v>
      </c>
      <c r="F76" s="35" t="s">
        <v>69</v>
      </c>
      <c r="G76" s="36" t="s">
        <v>450</v>
      </c>
      <c r="H76" s="37"/>
      <c r="I76" s="38" t="s">
        <v>451</v>
      </c>
      <c r="J76" s="39"/>
      <c r="K76" s="39"/>
      <c r="L76" s="40"/>
      <c r="M76" s="9" t="str">
        <f>IF($J76="AC",COUNTIF($J$5:$J76,"AC"),"")</f>
        <v/>
      </c>
      <c r="N76" s="9" t="str">
        <f>IF($J76="FB",COUNTIF($J$5:$J76,"FB"),"")</f>
        <v/>
      </c>
      <c r="O76" s="9" t="str">
        <f>IF($J76="PC",COUNTIF($J$5:$J76,"PC"),"")</f>
        <v/>
      </c>
      <c r="P76" s="28" t="s">
        <v>452</v>
      </c>
      <c r="Q76" s="28" t="s">
        <v>453</v>
      </c>
    </row>
    <row r="77" spans="1:17" ht="40.5" customHeight="1" x14ac:dyDescent="0.25">
      <c r="A77" s="41">
        <v>5</v>
      </c>
      <c r="B77" s="42" t="s">
        <v>419</v>
      </c>
      <c r="C77" s="43" t="s">
        <v>447</v>
      </c>
      <c r="D77" s="42" t="s">
        <v>448</v>
      </c>
      <c r="E77" s="42" t="s">
        <v>454</v>
      </c>
      <c r="F77" s="44" t="s">
        <v>92</v>
      </c>
      <c r="G77" s="36" t="s">
        <v>455</v>
      </c>
      <c r="H77" s="37"/>
      <c r="I77" s="38" t="s">
        <v>456</v>
      </c>
      <c r="J77" s="39"/>
      <c r="K77" s="39"/>
      <c r="L77" s="40"/>
      <c r="M77" s="9" t="str">
        <f>IF($J77="AC",COUNTIF($J$5:$J77,"AC"),"")</f>
        <v/>
      </c>
      <c r="N77" s="9" t="str">
        <f>IF($J77="FB",COUNTIF($J$5:$J77,"FB"),"")</f>
        <v/>
      </c>
      <c r="O77" s="9" t="str">
        <f>IF($J77="PC",COUNTIF($J$5:$J77,"PC"),"")</f>
        <v/>
      </c>
      <c r="P77" s="28" t="s">
        <v>457</v>
      </c>
      <c r="Q77" s="28" t="s">
        <v>458</v>
      </c>
    </row>
    <row r="78" spans="1:17" ht="30.75" customHeight="1" x14ac:dyDescent="0.25">
      <c r="A78" s="32">
        <v>5</v>
      </c>
      <c r="B78" s="33" t="s">
        <v>419</v>
      </c>
      <c r="C78" s="34" t="s">
        <v>447</v>
      </c>
      <c r="D78" s="33" t="s">
        <v>448</v>
      </c>
      <c r="E78" s="33" t="s">
        <v>459</v>
      </c>
      <c r="F78" s="44" t="s">
        <v>92</v>
      </c>
      <c r="G78" s="36" t="s">
        <v>460</v>
      </c>
      <c r="H78" s="37"/>
      <c r="I78" s="38" t="s">
        <v>461</v>
      </c>
      <c r="J78" s="39"/>
      <c r="K78" s="39"/>
      <c r="L78" s="40"/>
      <c r="M78" s="9" t="str">
        <f>IF($J78="AC",COUNTIF($J$5:$J78,"AC"),"")</f>
        <v/>
      </c>
      <c r="N78" s="9" t="str">
        <f>IF($J78="FB",COUNTIF($J$5:$J78,"FB"),"")</f>
        <v/>
      </c>
      <c r="O78" s="9" t="str">
        <f>IF($J78="PC",COUNTIF($J$5:$J78,"PC"),"")</f>
        <v/>
      </c>
      <c r="P78" s="28" t="s">
        <v>462</v>
      </c>
      <c r="Q78" s="28" t="s">
        <v>463</v>
      </c>
    </row>
    <row r="79" spans="1:17" ht="30.75" customHeight="1" x14ac:dyDescent="0.25">
      <c r="A79" s="41">
        <v>5</v>
      </c>
      <c r="B79" s="42" t="s">
        <v>419</v>
      </c>
      <c r="C79" s="43" t="s">
        <v>447</v>
      </c>
      <c r="D79" s="42" t="s">
        <v>448</v>
      </c>
      <c r="E79" s="42" t="s">
        <v>464</v>
      </c>
      <c r="F79" s="44" t="s">
        <v>92</v>
      </c>
      <c r="G79" s="36" t="s">
        <v>465</v>
      </c>
      <c r="H79" s="37"/>
      <c r="I79" s="38" t="s">
        <v>466</v>
      </c>
      <c r="J79" s="39"/>
      <c r="K79" s="39"/>
      <c r="L79" s="40"/>
      <c r="M79" s="9" t="str">
        <f>IF($J79="AC",COUNTIF($J$5:$J79,"AC"),"")</f>
        <v/>
      </c>
      <c r="N79" s="9" t="str">
        <f>IF($J79="FB",COUNTIF($J$5:$J79,"FB"),"")</f>
        <v/>
      </c>
      <c r="O79" s="9" t="str">
        <f>IF($J79="PC",COUNTIF($J$5:$J79,"PC"),"")</f>
        <v/>
      </c>
      <c r="P79" s="28" t="s">
        <v>467</v>
      </c>
      <c r="Q79" s="28" t="s">
        <v>468</v>
      </c>
    </row>
    <row r="80" spans="1:17" ht="40.5" customHeight="1" x14ac:dyDescent="0.25">
      <c r="A80" s="32">
        <v>5</v>
      </c>
      <c r="B80" s="33" t="s">
        <v>419</v>
      </c>
      <c r="C80" s="34" t="s">
        <v>469</v>
      </c>
      <c r="D80" s="33" t="s">
        <v>470</v>
      </c>
      <c r="E80" s="33" t="s">
        <v>471</v>
      </c>
      <c r="F80" s="35" t="s">
        <v>69</v>
      </c>
      <c r="G80" s="36" t="s">
        <v>472</v>
      </c>
      <c r="H80" s="37"/>
      <c r="I80" s="38" t="s">
        <v>473</v>
      </c>
      <c r="J80" s="39"/>
      <c r="K80" s="39"/>
      <c r="L80" s="40"/>
      <c r="M80" s="9" t="str">
        <f>IF($J80="AC",COUNTIF($J$5:$J80,"AC"),"")</f>
        <v/>
      </c>
      <c r="N80" s="9" t="str">
        <f>IF($J80="FB",COUNTIF($J$5:$J80,"FB"),"")</f>
        <v/>
      </c>
      <c r="O80" s="9" t="str">
        <f>IF($J80="PC",COUNTIF($J$5:$J80,"PC"),"")</f>
        <v/>
      </c>
      <c r="P80" s="28" t="s">
        <v>474</v>
      </c>
      <c r="Q80" s="28" t="s">
        <v>475</v>
      </c>
    </row>
    <row r="81" spans="1:17" ht="40.5" customHeight="1" x14ac:dyDescent="0.25">
      <c r="A81" s="41">
        <v>5</v>
      </c>
      <c r="B81" s="42" t="s">
        <v>419</v>
      </c>
      <c r="C81" s="43" t="s">
        <v>469</v>
      </c>
      <c r="D81" s="42" t="s">
        <v>470</v>
      </c>
      <c r="E81" s="42" t="s">
        <v>476</v>
      </c>
      <c r="F81" s="35" t="s">
        <v>69</v>
      </c>
      <c r="G81" s="36" t="s">
        <v>477</v>
      </c>
      <c r="H81" s="37"/>
      <c r="I81" s="38" t="s">
        <v>478</v>
      </c>
      <c r="J81" s="39"/>
      <c r="K81" s="39"/>
      <c r="L81" s="40"/>
      <c r="M81" s="9" t="str">
        <f>IF($J81="AC",COUNTIF($J$5:$J81,"AC"),"")</f>
        <v/>
      </c>
      <c r="N81" s="9" t="str">
        <f>IF($J81="FB",COUNTIF($J$5:$J81,"FB"),"")</f>
        <v/>
      </c>
      <c r="O81" s="9" t="str">
        <f>IF($J81="PC",COUNTIF($J$5:$J81,"PC"),"")</f>
        <v/>
      </c>
      <c r="P81" s="28" t="s">
        <v>479</v>
      </c>
      <c r="Q81" s="28" t="s">
        <v>480</v>
      </c>
    </row>
    <row r="82" spans="1:17" ht="30.75" customHeight="1" x14ac:dyDescent="0.25">
      <c r="A82" s="32">
        <v>5</v>
      </c>
      <c r="B82" s="33" t="s">
        <v>419</v>
      </c>
      <c r="C82" s="34" t="s">
        <v>469</v>
      </c>
      <c r="D82" s="33" t="s">
        <v>470</v>
      </c>
      <c r="E82" s="33" t="s">
        <v>481</v>
      </c>
      <c r="F82" s="35" t="s">
        <v>69</v>
      </c>
      <c r="G82" s="36" t="s">
        <v>482</v>
      </c>
      <c r="H82" s="37"/>
      <c r="I82" s="38" t="s">
        <v>483</v>
      </c>
      <c r="J82" s="39"/>
      <c r="K82" s="39"/>
      <c r="L82" s="40"/>
      <c r="M82" s="9" t="str">
        <f>IF($J82="AC",COUNTIF($J$5:$J82,"AC"),"")</f>
        <v/>
      </c>
      <c r="N82" s="9" t="str">
        <f>IF($J82="FB",COUNTIF($J$5:$J82,"FB"),"")</f>
        <v/>
      </c>
      <c r="O82" s="9" t="str">
        <f>IF($J82="PC",COUNTIF($J$5:$J82,"PC"),"")</f>
        <v/>
      </c>
      <c r="P82" s="28" t="s">
        <v>484</v>
      </c>
      <c r="Q82" s="28" t="s">
        <v>485</v>
      </c>
    </row>
    <row r="83" spans="1:17" ht="40.5" customHeight="1" x14ac:dyDescent="0.25">
      <c r="A83" s="41">
        <v>5</v>
      </c>
      <c r="B83" s="42" t="s">
        <v>419</v>
      </c>
      <c r="C83" s="43" t="s">
        <v>469</v>
      </c>
      <c r="D83" s="42" t="s">
        <v>470</v>
      </c>
      <c r="E83" s="42" t="s">
        <v>486</v>
      </c>
      <c r="F83" s="44" t="s">
        <v>92</v>
      </c>
      <c r="G83" s="36" t="s">
        <v>487</v>
      </c>
      <c r="H83" s="37"/>
      <c r="I83" s="38" t="s">
        <v>488</v>
      </c>
      <c r="J83" s="39"/>
      <c r="K83" s="39"/>
      <c r="L83" s="40"/>
      <c r="M83" s="9" t="str">
        <f>IF($J83="AC",COUNTIF($J$5:$J83,"AC"),"")</f>
        <v/>
      </c>
      <c r="N83" s="9" t="str">
        <f>IF($J83="FB",COUNTIF($J$5:$J83,"FB"),"")</f>
        <v/>
      </c>
      <c r="O83" s="9" t="str">
        <f>IF($J83="PC",COUNTIF($J$5:$J83,"PC"),"")</f>
        <v/>
      </c>
      <c r="P83" s="28" t="s">
        <v>489</v>
      </c>
      <c r="Q83" s="28" t="s">
        <v>490</v>
      </c>
    </row>
    <row r="84" spans="1:17" ht="45.75" customHeight="1" x14ac:dyDescent="0.25">
      <c r="A84" s="32">
        <v>5</v>
      </c>
      <c r="B84" s="33" t="s">
        <v>419</v>
      </c>
      <c r="C84" s="34" t="s">
        <v>491</v>
      </c>
      <c r="D84" s="33" t="s">
        <v>492</v>
      </c>
      <c r="E84" s="33" t="s">
        <v>493</v>
      </c>
      <c r="F84" s="44" t="s">
        <v>92</v>
      </c>
      <c r="G84" s="36" t="s">
        <v>494</v>
      </c>
      <c r="H84" s="37"/>
      <c r="I84" s="38" t="s">
        <v>495</v>
      </c>
      <c r="J84" s="39"/>
      <c r="K84" s="39"/>
      <c r="L84" s="40"/>
      <c r="M84" s="9" t="str">
        <f>IF($J84="AC",COUNTIF($J$5:$J84,"AC"),"")</f>
        <v/>
      </c>
      <c r="N84" s="9" t="str">
        <f>IF($J84="FB",COUNTIF($J$5:$J84,"FB"),"")</f>
        <v/>
      </c>
      <c r="O84" s="9" t="str">
        <f>IF($J84="PC",COUNTIF($J$5:$J84,"PC"),"")</f>
        <v/>
      </c>
      <c r="P84" s="28" t="s">
        <v>496</v>
      </c>
      <c r="Q84" s="28" t="s">
        <v>497</v>
      </c>
    </row>
    <row r="85" spans="1:17" ht="45.75" customHeight="1" x14ac:dyDescent="0.25">
      <c r="A85" s="41">
        <v>5</v>
      </c>
      <c r="B85" s="42" t="s">
        <v>419</v>
      </c>
      <c r="C85" s="43" t="s">
        <v>491</v>
      </c>
      <c r="D85" s="42" t="s">
        <v>492</v>
      </c>
      <c r="E85" s="42" t="s">
        <v>498</v>
      </c>
      <c r="F85" s="44" t="s">
        <v>92</v>
      </c>
      <c r="G85" s="36" t="s">
        <v>499</v>
      </c>
      <c r="H85" s="37"/>
      <c r="I85" s="38" t="s">
        <v>500</v>
      </c>
      <c r="J85" s="39"/>
      <c r="K85" s="39"/>
      <c r="L85" s="40"/>
      <c r="M85" s="9" t="str">
        <f>IF($J85="AC",COUNTIF($J$5:$J85,"AC"),"")</f>
        <v/>
      </c>
      <c r="N85" s="9" t="str">
        <f>IF($J85="FB",COUNTIF($J$5:$J85,"FB"),"")</f>
        <v/>
      </c>
      <c r="O85" s="9" t="str">
        <f>IF($J85="PC",COUNTIF($J$5:$J85,"PC"),"")</f>
        <v/>
      </c>
      <c r="P85" s="28" t="s">
        <v>501</v>
      </c>
      <c r="Q85" s="28" t="s">
        <v>502</v>
      </c>
    </row>
    <row r="86" spans="1:17" ht="45.75" customHeight="1" x14ac:dyDescent="0.25">
      <c r="A86" s="32">
        <v>5</v>
      </c>
      <c r="B86" s="33" t="s">
        <v>419</v>
      </c>
      <c r="C86" s="34" t="s">
        <v>503</v>
      </c>
      <c r="D86" s="33" t="s">
        <v>504</v>
      </c>
      <c r="E86" s="33" t="s">
        <v>505</v>
      </c>
      <c r="F86" s="44" t="s">
        <v>92</v>
      </c>
      <c r="G86" s="36" t="s">
        <v>506</v>
      </c>
      <c r="H86" s="37"/>
      <c r="I86" s="38" t="s">
        <v>507</v>
      </c>
      <c r="J86" s="39"/>
      <c r="K86" s="39"/>
      <c r="L86" s="40"/>
      <c r="M86" s="9" t="str">
        <f>IF($J86="AC",COUNTIF($J$5:$J86,"AC"),"")</f>
        <v/>
      </c>
      <c r="N86" s="9" t="str">
        <f>IF($J86="FB",COUNTIF($J$5:$J86,"FB"),"")</f>
        <v/>
      </c>
      <c r="O86" s="9" t="str">
        <f>IF($J86="PC",COUNTIF($J$5:$J86,"PC"),"")</f>
        <v/>
      </c>
      <c r="P86" s="28" t="s">
        <v>508</v>
      </c>
      <c r="Q86" s="28" t="s">
        <v>509</v>
      </c>
    </row>
    <row r="87" spans="1:17" ht="45.75" customHeight="1" x14ac:dyDescent="0.25">
      <c r="A87" s="41">
        <v>5</v>
      </c>
      <c r="B87" s="42" t="s">
        <v>419</v>
      </c>
      <c r="C87" s="43" t="s">
        <v>503</v>
      </c>
      <c r="D87" s="42" t="s">
        <v>504</v>
      </c>
      <c r="E87" s="42" t="s">
        <v>510</v>
      </c>
      <c r="F87" s="44" t="s">
        <v>92</v>
      </c>
      <c r="G87" s="36" t="s">
        <v>511</v>
      </c>
      <c r="H87" s="37"/>
      <c r="I87" s="38" t="s">
        <v>512</v>
      </c>
      <c r="J87" s="39"/>
      <c r="K87" s="39"/>
      <c r="L87" s="40"/>
      <c r="M87" s="9" t="str">
        <f>IF($J87="AC",COUNTIF($J$5:$J87,"AC"),"")</f>
        <v/>
      </c>
      <c r="N87" s="9" t="str">
        <f>IF($J87="FB",COUNTIF($J$5:$J87,"FB"),"")</f>
        <v/>
      </c>
      <c r="O87" s="9" t="str">
        <f>IF($J87="PC",COUNTIF($J$5:$J87,"PC"),"")</f>
        <v/>
      </c>
      <c r="P87" s="28" t="s">
        <v>513</v>
      </c>
      <c r="Q87" s="28" t="s">
        <v>514</v>
      </c>
    </row>
    <row r="88" spans="1:17" ht="45.75" customHeight="1" x14ac:dyDescent="0.25">
      <c r="A88" s="32">
        <v>5</v>
      </c>
      <c r="B88" s="33" t="s">
        <v>419</v>
      </c>
      <c r="C88" s="34" t="s">
        <v>503</v>
      </c>
      <c r="D88" s="33" t="s">
        <v>504</v>
      </c>
      <c r="E88" s="33" t="s">
        <v>515</v>
      </c>
      <c r="F88" s="44" t="s">
        <v>92</v>
      </c>
      <c r="G88" s="36" t="s">
        <v>516</v>
      </c>
      <c r="H88" s="37"/>
      <c r="I88" s="38" t="s">
        <v>517</v>
      </c>
      <c r="J88" s="39"/>
      <c r="K88" s="39"/>
      <c r="L88" s="40"/>
      <c r="M88" s="9" t="str">
        <f>IF($J88="AC",COUNTIF($J$5:$J88,"AC"),"")</f>
        <v/>
      </c>
      <c r="N88" s="9" t="str">
        <f>IF($J88="FB",COUNTIF($J$5:$J88,"FB"),"")</f>
        <v/>
      </c>
      <c r="O88" s="9" t="str">
        <f>IF($J88="PC",COUNTIF($J$5:$J88,"PC"),"")</f>
        <v/>
      </c>
      <c r="P88" s="28" t="s">
        <v>518</v>
      </c>
      <c r="Q88" s="28" t="s">
        <v>519</v>
      </c>
    </row>
    <row r="89" spans="1:17" ht="45.75" customHeight="1" x14ac:dyDescent="0.25">
      <c r="A89" s="41">
        <v>5</v>
      </c>
      <c r="B89" s="42" t="s">
        <v>419</v>
      </c>
      <c r="C89" s="43" t="s">
        <v>503</v>
      </c>
      <c r="D89" s="42" t="s">
        <v>504</v>
      </c>
      <c r="E89" s="42" t="s">
        <v>520</v>
      </c>
      <c r="F89" s="45" t="s">
        <v>165</v>
      </c>
      <c r="G89" s="36" t="s">
        <v>521</v>
      </c>
      <c r="H89" s="37"/>
      <c r="I89" s="38" t="s">
        <v>522</v>
      </c>
      <c r="J89" s="39"/>
      <c r="K89" s="39"/>
      <c r="L89" s="40"/>
      <c r="M89" s="9" t="str">
        <f>IF($J89="AC",COUNTIF($J$5:$J89,"AC"),"")</f>
        <v/>
      </c>
      <c r="N89" s="9" t="str">
        <f>IF($J89="FB",COUNTIF($J$5:$J89,"FB"),"")</f>
        <v/>
      </c>
      <c r="O89" s="9" t="str">
        <f>IF($J89="PC",COUNTIF($J$5:$J89,"PC"),"")</f>
        <v/>
      </c>
      <c r="P89" s="28" t="s">
        <v>523</v>
      </c>
      <c r="Q89" s="28" t="s">
        <v>524</v>
      </c>
    </row>
    <row r="90" spans="1:17" ht="42" customHeight="1" x14ac:dyDescent="0.25">
      <c r="A90" s="32">
        <v>5</v>
      </c>
      <c r="B90" s="33" t="s">
        <v>419</v>
      </c>
      <c r="C90" s="34" t="s">
        <v>525</v>
      </c>
      <c r="D90" s="33" t="s">
        <v>526</v>
      </c>
      <c r="E90" s="33" t="s">
        <v>527</v>
      </c>
      <c r="F90" s="35" t="s">
        <v>69</v>
      </c>
      <c r="G90" s="36" t="s">
        <v>528</v>
      </c>
      <c r="H90" s="37"/>
      <c r="I90" s="38" t="s">
        <v>529</v>
      </c>
      <c r="J90" s="39"/>
      <c r="K90" s="39"/>
      <c r="L90" s="40"/>
      <c r="M90" s="9" t="str">
        <f>IF($J90="AC",COUNTIF($J$5:$J90,"AC"),"")</f>
        <v/>
      </c>
      <c r="N90" s="9" t="str">
        <f>IF($J90="FB",COUNTIF($J$5:$J90,"FB"),"")</f>
        <v/>
      </c>
      <c r="O90" s="9" t="str">
        <f>IF($J90="PC",COUNTIF($J$5:$J90,"PC"),"")</f>
        <v/>
      </c>
      <c r="P90" s="28" t="s">
        <v>530</v>
      </c>
      <c r="Q90" s="28" t="s">
        <v>531</v>
      </c>
    </row>
    <row r="91" spans="1:17" ht="30.75" customHeight="1" x14ac:dyDescent="0.25">
      <c r="A91" s="41">
        <v>5</v>
      </c>
      <c r="B91" s="42" t="s">
        <v>419</v>
      </c>
      <c r="C91" s="43" t="s">
        <v>525</v>
      </c>
      <c r="D91" s="42" t="s">
        <v>526</v>
      </c>
      <c r="E91" s="42" t="s">
        <v>532</v>
      </c>
      <c r="F91" s="44" t="s">
        <v>92</v>
      </c>
      <c r="G91" s="36" t="s">
        <v>533</v>
      </c>
      <c r="H91" s="37"/>
      <c r="I91" s="38" t="s">
        <v>534</v>
      </c>
      <c r="J91" s="39"/>
      <c r="K91" s="39"/>
      <c r="L91" s="40"/>
      <c r="M91" s="9" t="str">
        <f>IF($J91="AC",COUNTIF($J$5:$J91,"AC"),"")</f>
        <v/>
      </c>
      <c r="N91" s="9" t="str">
        <f>IF($J91="FB",COUNTIF($J$5:$J91,"FB"),"")</f>
        <v/>
      </c>
      <c r="O91" s="9" t="str">
        <f>IF($J91="PC",COUNTIF($J$5:$J91,"PC"),"")</f>
        <v/>
      </c>
      <c r="P91" s="28" t="s">
        <v>535</v>
      </c>
      <c r="Q91" s="28" t="s">
        <v>536</v>
      </c>
    </row>
    <row r="92" spans="1:17" ht="30.75" customHeight="1" x14ac:dyDescent="0.25">
      <c r="A92" s="32">
        <v>5</v>
      </c>
      <c r="B92" s="33" t="s">
        <v>419</v>
      </c>
      <c r="C92" s="34" t="s">
        <v>525</v>
      </c>
      <c r="D92" s="33" t="s">
        <v>526</v>
      </c>
      <c r="E92" s="33" t="s">
        <v>537</v>
      </c>
      <c r="F92" s="35" t="s">
        <v>69</v>
      </c>
      <c r="G92" s="36" t="s">
        <v>538</v>
      </c>
      <c r="H92" s="37"/>
      <c r="I92" s="38" t="s">
        <v>539</v>
      </c>
      <c r="J92" s="39"/>
      <c r="K92" s="39"/>
      <c r="L92" s="40"/>
      <c r="M92" s="9" t="str">
        <f>IF($J92="AC",COUNTIF($J$5:$J92,"AC"),"")</f>
        <v/>
      </c>
      <c r="N92" s="9" t="str">
        <f>IF($J92="FB",COUNTIF($J$5:$J92,"FB"),"")</f>
        <v/>
      </c>
      <c r="O92" s="9" t="str">
        <f>IF($J92="PC",COUNTIF($J$5:$J92,"PC"),"")</f>
        <v/>
      </c>
      <c r="P92" s="28" t="s">
        <v>540</v>
      </c>
      <c r="Q92" s="28" t="s">
        <v>541</v>
      </c>
    </row>
    <row r="93" spans="1:17" s="27" customFormat="1" ht="165" customHeight="1" x14ac:dyDescent="0.2">
      <c r="A93" s="46">
        <v>6</v>
      </c>
      <c r="B93" s="46" t="s">
        <v>542</v>
      </c>
      <c r="C93" s="47" t="s">
        <v>543</v>
      </c>
      <c r="D93" s="46" t="s">
        <v>544</v>
      </c>
      <c r="E93" s="46" t="s">
        <v>545</v>
      </c>
      <c r="F93" s="48" t="s">
        <v>53</v>
      </c>
      <c r="G93" s="49" t="s">
        <v>546</v>
      </c>
      <c r="H93" s="50"/>
      <c r="I93" s="51" t="s">
        <v>547</v>
      </c>
      <c r="J93" s="52"/>
      <c r="K93" s="52"/>
      <c r="L93" s="53"/>
      <c r="O93" s="27" t="str">
        <f>IF($J93="PC",COUNTIF($J$5:$J93,"PC"),"")</f>
        <v/>
      </c>
      <c r="P93" s="28" t="s">
        <v>548</v>
      </c>
      <c r="Q93" s="28" t="s">
        <v>549</v>
      </c>
    </row>
    <row r="94" spans="1:17" s="27" customFormat="1" ht="120" customHeight="1" x14ac:dyDescent="0.2">
      <c r="A94" s="54">
        <v>6</v>
      </c>
      <c r="B94" s="54" t="s">
        <v>542</v>
      </c>
      <c r="C94" s="55" t="s">
        <v>543</v>
      </c>
      <c r="D94" s="54" t="s">
        <v>544</v>
      </c>
      <c r="E94" s="54" t="s">
        <v>550</v>
      </c>
      <c r="F94" s="48" t="s">
        <v>53</v>
      </c>
      <c r="G94" s="49" t="s">
        <v>551</v>
      </c>
      <c r="H94" s="50"/>
      <c r="I94" s="51" t="s">
        <v>552</v>
      </c>
      <c r="J94" s="52"/>
      <c r="K94" s="52"/>
      <c r="L94" s="53"/>
      <c r="O94" s="27" t="str">
        <f>IF($J94="PC",COUNTIF($J$5:$J94,"PC"),"")</f>
        <v/>
      </c>
      <c r="P94" s="28" t="s">
        <v>553</v>
      </c>
      <c r="Q94" s="28" t="s">
        <v>554</v>
      </c>
    </row>
    <row r="95" spans="1:17" s="27" customFormat="1" ht="135" customHeight="1" x14ac:dyDescent="0.2">
      <c r="A95" s="46">
        <v>6</v>
      </c>
      <c r="B95" s="46" t="s">
        <v>542</v>
      </c>
      <c r="C95" s="47" t="s">
        <v>543</v>
      </c>
      <c r="D95" s="46" t="s">
        <v>544</v>
      </c>
      <c r="E95" s="46" t="s">
        <v>555</v>
      </c>
      <c r="F95" s="48" t="s">
        <v>53</v>
      </c>
      <c r="G95" s="49" t="s">
        <v>556</v>
      </c>
      <c r="H95" s="50"/>
      <c r="I95" s="51" t="s">
        <v>557</v>
      </c>
      <c r="J95" s="52"/>
      <c r="K95" s="52"/>
      <c r="L95" s="53"/>
      <c r="O95" s="27" t="str">
        <f>IF($J95="PC",COUNTIF($J$5:$J95,"PC"),"")</f>
        <v/>
      </c>
      <c r="P95" s="28" t="s">
        <v>558</v>
      </c>
      <c r="Q95" s="28" t="s">
        <v>559</v>
      </c>
    </row>
    <row r="96" spans="1:17" ht="175.5" customHeight="1" x14ac:dyDescent="0.25">
      <c r="A96" s="56">
        <v>6</v>
      </c>
      <c r="B96" s="56" t="s">
        <v>542</v>
      </c>
      <c r="C96" s="57" t="s">
        <v>543</v>
      </c>
      <c r="D96" s="56" t="s">
        <v>544</v>
      </c>
      <c r="E96" s="56" t="s">
        <v>560</v>
      </c>
      <c r="F96" s="58" t="s">
        <v>69</v>
      </c>
      <c r="G96" s="59" t="s">
        <v>561</v>
      </c>
      <c r="H96" s="60"/>
      <c r="I96" s="61" t="s">
        <v>562</v>
      </c>
      <c r="J96" s="62"/>
      <c r="K96" s="62"/>
      <c r="L96" s="63"/>
      <c r="O96" s="9" t="str">
        <f>IF($J96="PC",COUNTIF($J$5:$J96,"PC"),"")</f>
        <v/>
      </c>
      <c r="P96" s="28" t="s">
        <v>563</v>
      </c>
      <c r="Q96" s="28" t="s">
        <v>564</v>
      </c>
    </row>
    <row r="97" spans="1:17" ht="159.75" customHeight="1" x14ac:dyDescent="0.25">
      <c r="A97" s="64">
        <v>6</v>
      </c>
      <c r="B97" s="64" t="s">
        <v>542</v>
      </c>
      <c r="C97" s="65" t="s">
        <v>543</v>
      </c>
      <c r="D97" s="64" t="s">
        <v>544</v>
      </c>
      <c r="E97" s="64" t="s">
        <v>565</v>
      </c>
      <c r="F97" s="58" t="s">
        <v>69</v>
      </c>
      <c r="G97" s="59" t="s">
        <v>566</v>
      </c>
      <c r="H97" s="60"/>
      <c r="I97" s="61" t="s">
        <v>567</v>
      </c>
      <c r="J97" s="62"/>
      <c r="K97" s="62"/>
      <c r="L97" s="63"/>
      <c r="O97" s="9" t="str">
        <f>IF($J97="PC",COUNTIF($J$5:$J97,"PC"),"")</f>
        <v/>
      </c>
      <c r="P97" s="28" t="s">
        <v>568</v>
      </c>
      <c r="Q97" s="28" t="s">
        <v>569</v>
      </c>
    </row>
    <row r="98" spans="1:17" ht="175.5" customHeight="1" x14ac:dyDescent="0.25">
      <c r="A98" s="56">
        <v>6</v>
      </c>
      <c r="B98" s="56" t="s">
        <v>542</v>
      </c>
      <c r="C98" s="57" t="s">
        <v>543</v>
      </c>
      <c r="D98" s="56" t="s">
        <v>544</v>
      </c>
      <c r="E98" s="56" t="s">
        <v>570</v>
      </c>
      <c r="F98" s="58" t="s">
        <v>69</v>
      </c>
      <c r="G98" s="59" t="s">
        <v>571</v>
      </c>
      <c r="H98" s="60"/>
      <c r="I98" s="61" t="s">
        <v>572</v>
      </c>
      <c r="J98" s="62"/>
      <c r="K98" s="62"/>
      <c r="L98" s="63"/>
      <c r="O98" s="9" t="str">
        <f>IF($J98="PC",COUNTIF($J$5:$J98,"PC"),"")</f>
        <v/>
      </c>
      <c r="P98" s="28" t="s">
        <v>573</v>
      </c>
      <c r="Q98" s="28" t="s">
        <v>574</v>
      </c>
    </row>
    <row r="99" spans="1:17" ht="31.5" customHeight="1" x14ac:dyDescent="0.25">
      <c r="A99" s="56">
        <v>6</v>
      </c>
      <c r="B99" s="56" t="s">
        <v>542</v>
      </c>
      <c r="C99" s="57" t="s">
        <v>543</v>
      </c>
      <c r="D99" s="56" t="s">
        <v>544</v>
      </c>
      <c r="E99" s="56" t="s">
        <v>575</v>
      </c>
      <c r="F99" s="66" t="s">
        <v>53</v>
      </c>
      <c r="G99" s="59" t="s">
        <v>576</v>
      </c>
      <c r="H99" s="60"/>
      <c r="I99" s="61"/>
      <c r="J99" s="62"/>
      <c r="K99" s="62"/>
      <c r="L99" s="63"/>
      <c r="M99" s="9" t="str">
        <f>IF($J99="AC",COUNTIF($J$5:$J99,"AC"),"")</f>
        <v/>
      </c>
      <c r="N99" s="9" t="str">
        <f>IF($J99="FB",COUNTIF($J$5:$J99,"FB"),"")</f>
        <v/>
      </c>
      <c r="O99" s="9" t="str">
        <f>IF($J99="PC",COUNTIF($J$5:$J99,"PC"),"")</f>
        <v/>
      </c>
      <c r="P99" s="28" t="s">
        <v>577</v>
      </c>
      <c r="Q99" s="28" t="s">
        <v>578</v>
      </c>
    </row>
    <row r="100" spans="1:17" ht="31.5" customHeight="1" x14ac:dyDescent="0.25">
      <c r="A100" s="56">
        <v>6</v>
      </c>
      <c r="B100" s="56" t="s">
        <v>542</v>
      </c>
      <c r="C100" s="57" t="s">
        <v>543</v>
      </c>
      <c r="D100" s="56" t="s">
        <v>544</v>
      </c>
      <c r="E100" s="56" t="s">
        <v>579</v>
      </c>
      <c r="F100" s="66" t="s">
        <v>53</v>
      </c>
      <c r="G100" s="59" t="s">
        <v>580</v>
      </c>
      <c r="H100" s="60"/>
      <c r="I100" s="61"/>
      <c r="J100" s="62"/>
      <c r="K100" s="62"/>
      <c r="L100" s="63"/>
      <c r="M100" s="9" t="str">
        <f>IF($J100="AC",COUNTIF($J$5:$J100,"AC"),"")</f>
        <v/>
      </c>
      <c r="N100" s="9" t="str">
        <f>IF($J100="FB",COUNTIF($J$5:$J100,"FB"),"")</f>
        <v/>
      </c>
      <c r="O100" s="9" t="str">
        <f>IF($J100="PC",COUNTIF($J$5:$J100,"PC"),"")</f>
        <v/>
      </c>
      <c r="P100" s="28" t="s">
        <v>581</v>
      </c>
      <c r="Q100" s="28" t="s">
        <v>582</v>
      </c>
    </row>
    <row r="101" spans="1:17" ht="31.5" customHeight="1" x14ac:dyDescent="0.25">
      <c r="A101" s="56">
        <v>6</v>
      </c>
      <c r="B101" s="56" t="s">
        <v>542</v>
      </c>
      <c r="C101" s="57" t="s">
        <v>543</v>
      </c>
      <c r="D101" s="56" t="s">
        <v>544</v>
      </c>
      <c r="E101" s="56" t="s">
        <v>583</v>
      </c>
      <c r="F101" s="66" t="s">
        <v>53</v>
      </c>
      <c r="G101" s="59" t="s">
        <v>584</v>
      </c>
      <c r="H101" s="60"/>
      <c r="I101" s="61"/>
      <c r="J101" s="62"/>
      <c r="K101" s="62"/>
      <c r="L101" s="63"/>
      <c r="M101" s="9" t="str">
        <f>IF($J101="AC",COUNTIF($J$5:$J101,"AC"),"")</f>
        <v/>
      </c>
      <c r="N101" s="9" t="str">
        <f>IF($J101="FB",COUNTIF($J$5:$J101,"FB"),"")</f>
        <v/>
      </c>
      <c r="O101" s="9" t="str">
        <f>IF($J101="PC",COUNTIF($J$5:$J101,"PC"),"")</f>
        <v/>
      </c>
      <c r="P101" s="28" t="s">
        <v>585</v>
      </c>
      <c r="Q101" s="28" t="s">
        <v>586</v>
      </c>
    </row>
    <row r="102" spans="1:17" ht="31.5" customHeight="1" x14ac:dyDescent="0.25">
      <c r="A102" s="56">
        <v>6</v>
      </c>
      <c r="B102" s="56" t="s">
        <v>542</v>
      </c>
      <c r="C102" s="57" t="s">
        <v>543</v>
      </c>
      <c r="D102" s="56" t="s">
        <v>544</v>
      </c>
      <c r="E102" s="56" t="s">
        <v>587</v>
      </c>
      <c r="F102" s="66" t="s">
        <v>53</v>
      </c>
      <c r="G102" s="59" t="s">
        <v>588</v>
      </c>
      <c r="H102" s="60"/>
      <c r="I102" s="61"/>
      <c r="J102" s="62"/>
      <c r="K102" s="62"/>
      <c r="L102" s="63"/>
      <c r="M102" s="9" t="str">
        <f>IF($J102="AC",COUNTIF($J$5:$J102,"AC"),"")</f>
        <v/>
      </c>
      <c r="N102" s="9" t="str">
        <f>IF($J102="FB",COUNTIF($J$5:$J102,"FB"),"")</f>
        <v/>
      </c>
      <c r="O102" s="9" t="str">
        <f>IF($J102="PC",COUNTIF($J$5:$J102,"PC"),"")</f>
        <v/>
      </c>
      <c r="P102" s="28" t="s">
        <v>589</v>
      </c>
      <c r="Q102" s="28" t="s">
        <v>590</v>
      </c>
    </row>
    <row r="103" spans="1:17" ht="31.5" customHeight="1" x14ac:dyDescent="0.25">
      <c r="A103" s="56">
        <v>6</v>
      </c>
      <c r="B103" s="56" t="s">
        <v>542</v>
      </c>
      <c r="C103" s="57" t="s">
        <v>543</v>
      </c>
      <c r="D103" s="56" t="s">
        <v>544</v>
      </c>
      <c r="E103" s="56" t="s">
        <v>591</v>
      </c>
      <c r="F103" s="66" t="s">
        <v>53</v>
      </c>
      <c r="G103" s="59" t="s">
        <v>592</v>
      </c>
      <c r="H103" s="60"/>
      <c r="I103" s="61"/>
      <c r="J103" s="62"/>
      <c r="K103" s="62"/>
      <c r="L103" s="63"/>
      <c r="M103" s="9" t="str">
        <f>IF($J103="AC",COUNTIF($J$5:$J103,"AC"),"")</f>
        <v/>
      </c>
      <c r="N103" s="9" t="str">
        <f>IF($J103="FB",COUNTIF($J$5:$J103,"FB"),"")</f>
        <v/>
      </c>
      <c r="O103" s="9" t="str">
        <f>IF($J103="PC",COUNTIF($J$5:$J103,"PC"),"")</f>
        <v/>
      </c>
      <c r="P103" s="28" t="s">
        <v>593</v>
      </c>
      <c r="Q103" s="28" t="s">
        <v>594</v>
      </c>
    </row>
    <row r="104" spans="1:17" ht="31.5" customHeight="1" x14ac:dyDescent="0.25">
      <c r="A104" s="56">
        <v>6</v>
      </c>
      <c r="B104" s="56" t="s">
        <v>542</v>
      </c>
      <c r="C104" s="57" t="s">
        <v>543</v>
      </c>
      <c r="D104" s="56" t="s">
        <v>544</v>
      </c>
      <c r="E104" s="56" t="s">
        <v>595</v>
      </c>
      <c r="F104" s="58" t="s">
        <v>69</v>
      </c>
      <c r="G104" s="59" t="s">
        <v>596</v>
      </c>
      <c r="H104" s="60"/>
      <c r="I104" s="61"/>
      <c r="J104" s="62"/>
      <c r="K104" s="62"/>
      <c r="L104" s="63"/>
      <c r="M104" s="9" t="str">
        <f>IF($J104="AC",COUNTIF($J$5:$J104,"AC"),"")</f>
        <v/>
      </c>
      <c r="N104" s="9" t="str">
        <f>IF($J104="FB",COUNTIF($J$5:$J104,"FB"),"")</f>
        <v/>
      </c>
      <c r="O104" s="9" t="str">
        <f>IF($J104="PC",COUNTIF($J$5:$J104,"PC"),"")</f>
        <v/>
      </c>
      <c r="P104" s="28" t="s">
        <v>597</v>
      </c>
      <c r="Q104" s="28" t="s">
        <v>598</v>
      </c>
    </row>
    <row r="105" spans="1:17" ht="31.5" customHeight="1" x14ac:dyDescent="0.25">
      <c r="A105" s="56">
        <v>6</v>
      </c>
      <c r="B105" s="56" t="s">
        <v>542</v>
      </c>
      <c r="C105" s="57" t="s">
        <v>543</v>
      </c>
      <c r="D105" s="56" t="s">
        <v>544</v>
      </c>
      <c r="E105" s="56" t="s">
        <v>599</v>
      </c>
      <c r="F105" s="58" t="s">
        <v>69</v>
      </c>
      <c r="G105" s="59" t="s">
        <v>600</v>
      </c>
      <c r="H105" s="60"/>
      <c r="I105" s="61"/>
      <c r="J105" s="62"/>
      <c r="K105" s="62"/>
      <c r="L105" s="63"/>
      <c r="M105" s="9" t="str">
        <f>IF($J105="AC",COUNTIF($J$5:$J105,"AC"),"")</f>
        <v/>
      </c>
      <c r="N105" s="9" t="str">
        <f>IF($J105="FB",COUNTIF($J$5:$J105,"FB"),"")</f>
        <v/>
      </c>
      <c r="O105" s="9" t="str">
        <f>IF($J105="PC",COUNTIF($J$5:$J105,"PC"),"")</f>
        <v/>
      </c>
      <c r="P105" s="28" t="s">
        <v>601</v>
      </c>
      <c r="Q105" s="28" t="s">
        <v>602</v>
      </c>
    </row>
    <row r="106" spans="1:17" ht="31.5" customHeight="1" x14ac:dyDescent="0.25">
      <c r="A106" s="56">
        <v>6</v>
      </c>
      <c r="B106" s="56" t="s">
        <v>542</v>
      </c>
      <c r="C106" s="57" t="s">
        <v>543</v>
      </c>
      <c r="D106" s="56" t="s">
        <v>544</v>
      </c>
      <c r="E106" s="56" t="s">
        <v>603</v>
      </c>
      <c r="F106" s="66" t="s">
        <v>53</v>
      </c>
      <c r="G106" s="59" t="s">
        <v>604</v>
      </c>
      <c r="H106" s="60"/>
      <c r="I106" s="61"/>
      <c r="J106" s="62"/>
      <c r="K106" s="62"/>
      <c r="L106" s="63"/>
      <c r="M106" s="9" t="str">
        <f>IF($J106="AC",COUNTIF($J$5:$J106,"AC"),"")</f>
        <v/>
      </c>
      <c r="N106" s="9" t="str">
        <f>IF($J106="FB",COUNTIF($J$5:$J106,"FB"),"")</f>
        <v/>
      </c>
      <c r="O106" s="9" t="str">
        <f>IF($J106="PC",COUNTIF($J$5:$J106,"PC"),"")</f>
        <v/>
      </c>
      <c r="P106" s="28" t="s">
        <v>605</v>
      </c>
      <c r="Q106" s="28" t="s">
        <v>606</v>
      </c>
    </row>
    <row r="107" spans="1:17" ht="31.5" customHeight="1" x14ac:dyDescent="0.25">
      <c r="A107" s="56">
        <v>6</v>
      </c>
      <c r="B107" s="56" t="s">
        <v>542</v>
      </c>
      <c r="C107" s="57" t="s">
        <v>543</v>
      </c>
      <c r="D107" s="56" t="s">
        <v>544</v>
      </c>
      <c r="E107" s="56" t="s">
        <v>591</v>
      </c>
      <c r="F107" s="66" t="s">
        <v>53</v>
      </c>
      <c r="G107" s="59" t="s">
        <v>607</v>
      </c>
      <c r="H107" s="60"/>
      <c r="I107" s="61"/>
      <c r="J107" s="62"/>
      <c r="K107" s="62"/>
      <c r="L107" s="63"/>
      <c r="M107" s="9" t="str">
        <f>IF($J107="AC",COUNTIF($J$5:$J107,"AC"),"")</f>
        <v/>
      </c>
      <c r="N107" s="9" t="str">
        <f>IF($J107="FB",COUNTIF($J$5:$J107,"FB"),"")</f>
        <v/>
      </c>
      <c r="O107" s="9" t="str">
        <f>IF($J107="PC",COUNTIF($J$5:$J107,"PC"),"")</f>
        <v/>
      </c>
      <c r="P107" s="28" t="s">
        <v>608</v>
      </c>
      <c r="Q107" s="28" t="s">
        <v>609</v>
      </c>
    </row>
    <row r="108" spans="1:17" ht="31.5" customHeight="1" x14ac:dyDescent="0.25">
      <c r="A108" s="56">
        <v>6</v>
      </c>
      <c r="B108" s="56" t="s">
        <v>542</v>
      </c>
      <c r="C108" s="57" t="s">
        <v>543</v>
      </c>
      <c r="D108" s="56" t="s">
        <v>544</v>
      </c>
      <c r="E108" s="56" t="s">
        <v>610</v>
      </c>
      <c r="F108" s="67" t="s">
        <v>165</v>
      </c>
      <c r="G108" s="59" t="s">
        <v>611</v>
      </c>
      <c r="H108" s="60"/>
      <c r="I108" s="61"/>
      <c r="J108" s="62"/>
      <c r="K108" s="62"/>
      <c r="L108" s="63"/>
      <c r="M108" s="9" t="str">
        <f>IF($J108="AC",COUNTIF($J$5:$J108,"AC"),"")</f>
        <v/>
      </c>
      <c r="N108" s="9" t="str">
        <f>IF($J108="FB",COUNTIF($J$5:$J108,"FB"),"")</f>
        <v/>
      </c>
      <c r="O108" s="9" t="str">
        <f>IF($J108="PC",COUNTIF($J$5:$J108,"PC"),"")</f>
        <v/>
      </c>
      <c r="P108" s="28" t="s">
        <v>612</v>
      </c>
      <c r="Q108" s="28" t="s">
        <v>613</v>
      </c>
    </row>
    <row r="109" spans="1:17" ht="31.5" customHeight="1" x14ac:dyDescent="0.25">
      <c r="A109" s="56">
        <v>6</v>
      </c>
      <c r="B109" s="56" t="s">
        <v>542</v>
      </c>
      <c r="C109" s="57" t="s">
        <v>543</v>
      </c>
      <c r="D109" s="56" t="s">
        <v>544</v>
      </c>
      <c r="E109" s="56" t="s">
        <v>614</v>
      </c>
      <c r="F109" s="58" t="s">
        <v>69</v>
      </c>
      <c r="G109" s="59" t="s">
        <v>615</v>
      </c>
      <c r="H109" s="60"/>
      <c r="I109" s="61"/>
      <c r="J109" s="62"/>
      <c r="K109" s="62"/>
      <c r="L109" s="63"/>
      <c r="M109" s="9" t="str">
        <f>IF($J109="AC",COUNTIF($J$5:$J109,"AC"),"")</f>
        <v/>
      </c>
      <c r="N109" s="9" t="str">
        <f>IF($J109="FB",COUNTIF($J$5:$J109,"FB"),"")</f>
        <v/>
      </c>
      <c r="O109" s="9" t="str">
        <f>IF($J109="PC",COUNTIF($J$5:$J109,"PC"),"")</f>
        <v/>
      </c>
      <c r="P109" s="28" t="s">
        <v>616</v>
      </c>
      <c r="Q109" s="28" t="s">
        <v>617</v>
      </c>
    </row>
    <row r="110" spans="1:17" ht="31.5" customHeight="1" x14ac:dyDescent="0.25">
      <c r="A110" s="56">
        <v>6</v>
      </c>
      <c r="B110" s="56" t="s">
        <v>542</v>
      </c>
      <c r="C110" s="57" t="s">
        <v>543</v>
      </c>
      <c r="D110" s="56" t="s">
        <v>544</v>
      </c>
      <c r="E110" s="56" t="s">
        <v>603</v>
      </c>
      <c r="F110" s="66" t="s">
        <v>53</v>
      </c>
      <c r="G110" s="59" t="s">
        <v>618</v>
      </c>
      <c r="H110" s="60"/>
      <c r="I110" s="61"/>
      <c r="J110" s="62"/>
      <c r="K110" s="62"/>
      <c r="L110" s="63"/>
      <c r="M110" s="9" t="str">
        <f>IF($J110="AC",COUNTIF($J$5:$J110,"AC"),"")</f>
        <v/>
      </c>
      <c r="N110" s="9" t="str">
        <f>IF($J110="FB",COUNTIF($J$5:$J110,"FB"),"")</f>
        <v/>
      </c>
      <c r="O110" s="9" t="str">
        <f>IF($J110="PC",COUNTIF($J$5:$J110,"PC"),"")</f>
        <v/>
      </c>
      <c r="P110" s="28" t="s">
        <v>619</v>
      </c>
      <c r="Q110" s="28" t="s">
        <v>620</v>
      </c>
    </row>
    <row r="111" spans="1:17" ht="31.5" customHeight="1" x14ac:dyDescent="0.25">
      <c r="A111" s="56">
        <v>6</v>
      </c>
      <c r="B111" s="56" t="s">
        <v>542</v>
      </c>
      <c r="C111" s="57" t="s">
        <v>543</v>
      </c>
      <c r="D111" s="56" t="s">
        <v>544</v>
      </c>
      <c r="E111" s="56" t="s">
        <v>603</v>
      </c>
      <c r="F111" s="66" t="s">
        <v>53</v>
      </c>
      <c r="G111" s="59" t="s">
        <v>621</v>
      </c>
      <c r="H111" s="60"/>
      <c r="I111" s="61"/>
      <c r="J111" s="62"/>
      <c r="K111" s="62"/>
      <c r="L111" s="63"/>
      <c r="M111" s="9" t="str">
        <f>IF($J111="AC",COUNTIF($J$5:$J111,"AC"),"")</f>
        <v/>
      </c>
      <c r="N111" s="9" t="str">
        <f>IF($J111="FB",COUNTIF($J$5:$J111,"FB"),"")</f>
        <v/>
      </c>
      <c r="O111" s="9" t="str">
        <f>IF($J111="PC",COUNTIF($J$5:$J111,"PC"),"")</f>
        <v/>
      </c>
      <c r="P111" s="28" t="s">
        <v>622</v>
      </c>
      <c r="Q111" s="28" t="s">
        <v>623</v>
      </c>
    </row>
    <row r="112" spans="1:17" ht="31.5" customHeight="1" x14ac:dyDescent="0.25">
      <c r="A112" s="56">
        <v>6</v>
      </c>
      <c r="B112" s="56" t="s">
        <v>542</v>
      </c>
      <c r="C112" s="57" t="s">
        <v>543</v>
      </c>
      <c r="D112" s="56" t="s">
        <v>544</v>
      </c>
      <c r="E112" s="56" t="s">
        <v>603</v>
      </c>
      <c r="F112" s="58" t="s">
        <v>69</v>
      </c>
      <c r="G112" s="59" t="s">
        <v>624</v>
      </c>
      <c r="H112" s="60"/>
      <c r="I112" s="61"/>
      <c r="J112" s="62"/>
      <c r="K112" s="62"/>
      <c r="L112" s="63"/>
      <c r="M112" s="9" t="str">
        <f>IF($J112="AC",COUNTIF($J$5:$J112,"AC"),"")</f>
        <v/>
      </c>
      <c r="N112" s="9" t="str">
        <f>IF($J112="FB",COUNTIF($J$5:$J112,"FB"),"")</f>
        <v/>
      </c>
      <c r="O112" s="9" t="str">
        <f>IF($J112="PC",COUNTIF($J$5:$J112,"PC"),"")</f>
        <v/>
      </c>
      <c r="P112" s="28" t="s">
        <v>625</v>
      </c>
      <c r="Q112" s="28" t="s">
        <v>626</v>
      </c>
    </row>
    <row r="113" spans="1:17" ht="31.5" customHeight="1" x14ac:dyDescent="0.25">
      <c r="A113" s="56">
        <v>6</v>
      </c>
      <c r="B113" s="56" t="s">
        <v>542</v>
      </c>
      <c r="C113" s="57" t="s">
        <v>543</v>
      </c>
      <c r="D113" s="56" t="s">
        <v>544</v>
      </c>
      <c r="E113" s="56" t="s">
        <v>627</v>
      </c>
      <c r="F113" s="68" t="s">
        <v>92</v>
      </c>
      <c r="G113" s="59" t="s">
        <v>628</v>
      </c>
      <c r="H113" s="60"/>
      <c r="I113" s="61"/>
      <c r="J113" s="62"/>
      <c r="K113" s="62"/>
      <c r="L113" s="63"/>
      <c r="M113" s="9" t="str">
        <f>IF($J113="AC",COUNTIF($J$5:$J113,"AC"),"")</f>
        <v/>
      </c>
      <c r="N113" s="9" t="str">
        <f>IF($J113="FB",COUNTIF($J$5:$J113,"FB"),"")</f>
        <v/>
      </c>
      <c r="O113" s="9" t="str">
        <f>IF($J113="PC",COUNTIF($J$5:$J113,"PC"),"")</f>
        <v/>
      </c>
      <c r="P113" s="28" t="s">
        <v>629</v>
      </c>
      <c r="Q113" s="28" t="s">
        <v>630</v>
      </c>
    </row>
    <row r="114" spans="1:17" ht="31.5" customHeight="1" x14ac:dyDescent="0.25">
      <c r="A114" s="56">
        <v>6</v>
      </c>
      <c r="B114" s="56" t="s">
        <v>542</v>
      </c>
      <c r="C114" s="57" t="s">
        <v>543</v>
      </c>
      <c r="D114" s="56" t="s">
        <v>544</v>
      </c>
      <c r="E114" s="56" t="s">
        <v>579</v>
      </c>
      <c r="F114" s="67" t="s">
        <v>165</v>
      </c>
      <c r="G114" s="59" t="s">
        <v>631</v>
      </c>
      <c r="H114" s="60"/>
      <c r="I114" s="61"/>
      <c r="J114" s="62"/>
      <c r="K114" s="62"/>
      <c r="L114" s="63"/>
      <c r="M114" s="9" t="str">
        <f>IF($J114="AC",COUNTIF($J$5:$J114,"AC"),"")</f>
        <v/>
      </c>
      <c r="N114" s="9" t="str">
        <f>IF($J114="FB",COUNTIF($J$5:$J114,"FB"),"")</f>
        <v/>
      </c>
      <c r="O114" s="9" t="str">
        <f>IF($J114="PC",COUNTIF($J$5:$J114,"PC"),"")</f>
        <v/>
      </c>
      <c r="P114" s="28" t="s">
        <v>632</v>
      </c>
      <c r="Q114" s="28" t="s">
        <v>633</v>
      </c>
    </row>
    <row r="115" spans="1:17" ht="31.5" customHeight="1" x14ac:dyDescent="0.25">
      <c r="A115" s="56">
        <v>6</v>
      </c>
      <c r="B115" s="56" t="s">
        <v>542</v>
      </c>
      <c r="C115" s="57" t="s">
        <v>543</v>
      </c>
      <c r="D115" s="56" t="s">
        <v>544</v>
      </c>
      <c r="E115" s="56" t="s">
        <v>634</v>
      </c>
      <c r="F115" s="58" t="s">
        <v>69</v>
      </c>
      <c r="G115" s="59" t="s">
        <v>635</v>
      </c>
      <c r="H115" s="60"/>
      <c r="I115" s="61"/>
      <c r="J115" s="62"/>
      <c r="K115" s="62"/>
      <c r="L115" s="63"/>
      <c r="M115" s="9" t="str">
        <f>IF($J115="AC",COUNTIF($J$5:$J115,"AC"),"")</f>
        <v/>
      </c>
      <c r="N115" s="9" t="str">
        <f>IF($J115="FB",COUNTIF($J$5:$J115,"FB"),"")</f>
        <v/>
      </c>
      <c r="O115" s="9" t="str">
        <f>IF($J115="PC",COUNTIF($J$5:$J115,"PC"),"")</f>
        <v/>
      </c>
      <c r="P115" s="28" t="s">
        <v>636</v>
      </c>
      <c r="Q115" s="28" t="s">
        <v>637</v>
      </c>
    </row>
    <row r="116" spans="1:17" ht="31.5" customHeight="1" x14ac:dyDescent="0.25">
      <c r="A116" s="56">
        <v>6</v>
      </c>
      <c r="B116" s="56" t="s">
        <v>542</v>
      </c>
      <c r="C116" s="57" t="s">
        <v>543</v>
      </c>
      <c r="D116" s="56" t="s">
        <v>544</v>
      </c>
      <c r="E116" s="56" t="s">
        <v>603</v>
      </c>
      <c r="F116" s="68" t="s">
        <v>92</v>
      </c>
      <c r="G116" s="59" t="s">
        <v>638</v>
      </c>
      <c r="H116" s="60"/>
      <c r="I116" s="61"/>
      <c r="J116" s="62"/>
      <c r="K116" s="62"/>
      <c r="L116" s="63"/>
      <c r="M116" s="9" t="str">
        <f>IF($J116="AC",COUNTIF($J$5:$J116,"AC"),"")</f>
        <v/>
      </c>
      <c r="N116" s="9" t="str">
        <f>IF($J116="FB",COUNTIF($J$5:$J116,"FB"),"")</f>
        <v/>
      </c>
      <c r="O116" s="9" t="str">
        <f>IF($J116="PC",COUNTIF($J$5:$J116,"PC"),"")</f>
        <v/>
      </c>
      <c r="P116" s="28" t="s">
        <v>639</v>
      </c>
      <c r="Q116" s="28" t="s">
        <v>640</v>
      </c>
    </row>
    <row r="117" spans="1:17" ht="31.5" customHeight="1" x14ac:dyDescent="0.25">
      <c r="A117" s="56">
        <v>6</v>
      </c>
      <c r="B117" s="56" t="s">
        <v>542</v>
      </c>
      <c r="C117" s="57" t="s">
        <v>543</v>
      </c>
      <c r="D117" s="56" t="s">
        <v>544</v>
      </c>
      <c r="E117" s="56" t="s">
        <v>595</v>
      </c>
      <c r="F117" s="58" t="s">
        <v>69</v>
      </c>
      <c r="G117" s="59" t="s">
        <v>641</v>
      </c>
      <c r="H117" s="60"/>
      <c r="I117" s="61"/>
      <c r="J117" s="62"/>
      <c r="K117" s="62"/>
      <c r="L117" s="63"/>
      <c r="M117" s="9" t="str">
        <f>IF($J117="AC",COUNTIF($J$5:$J117,"AC"),"")</f>
        <v/>
      </c>
      <c r="N117" s="9" t="str">
        <f>IF($J117="FB",COUNTIF($J$5:$J117,"FB"),"")</f>
        <v/>
      </c>
      <c r="O117" s="9" t="str">
        <f>IF($J117="PC",COUNTIF($J$5:$J117,"PC"),"")</f>
        <v/>
      </c>
      <c r="P117" s="28" t="s">
        <v>642</v>
      </c>
      <c r="Q117" s="28" t="s">
        <v>643</v>
      </c>
    </row>
    <row r="118" spans="1:17" ht="31.5" customHeight="1" x14ac:dyDescent="0.25">
      <c r="A118" s="56">
        <v>6</v>
      </c>
      <c r="B118" s="56" t="s">
        <v>542</v>
      </c>
      <c r="C118" s="57" t="s">
        <v>543</v>
      </c>
      <c r="D118" s="56" t="s">
        <v>544</v>
      </c>
      <c r="E118" s="56" t="s">
        <v>603</v>
      </c>
      <c r="F118" s="68" t="s">
        <v>92</v>
      </c>
      <c r="G118" s="59" t="s">
        <v>644</v>
      </c>
      <c r="H118" s="60"/>
      <c r="I118" s="61"/>
      <c r="J118" s="62"/>
      <c r="K118" s="62"/>
      <c r="L118" s="63"/>
      <c r="M118" s="9" t="str">
        <f>IF($J118="AC",COUNTIF($J$5:$J118,"AC"),"")</f>
        <v/>
      </c>
      <c r="N118" s="9" t="str">
        <f>IF($J118="FB",COUNTIF($J$5:$J118,"FB"),"")</f>
        <v/>
      </c>
      <c r="O118" s="9" t="str">
        <f>IF($J118="PC",COUNTIF($J$5:$J118,"PC"),"")</f>
        <v/>
      </c>
      <c r="P118" s="28" t="s">
        <v>645</v>
      </c>
      <c r="Q118" s="28" t="s">
        <v>646</v>
      </c>
    </row>
    <row r="119" spans="1:17" ht="31.5" customHeight="1" x14ac:dyDescent="0.25">
      <c r="A119" s="56">
        <v>6</v>
      </c>
      <c r="B119" s="56" t="s">
        <v>542</v>
      </c>
      <c r="C119" s="57" t="s">
        <v>543</v>
      </c>
      <c r="D119" s="56" t="s">
        <v>544</v>
      </c>
      <c r="E119" s="56" t="s">
        <v>579</v>
      </c>
      <c r="F119" s="58" t="s">
        <v>69</v>
      </c>
      <c r="G119" s="59" t="s">
        <v>647</v>
      </c>
      <c r="H119" s="60"/>
      <c r="I119" s="61"/>
      <c r="J119" s="62"/>
      <c r="K119" s="62"/>
      <c r="L119" s="63"/>
      <c r="M119" s="9" t="str">
        <f>IF($J119="AC",COUNTIF($J$5:$J119,"AC"),"")</f>
        <v/>
      </c>
      <c r="N119" s="9" t="str">
        <f>IF($J119="FB",COUNTIF($J$5:$J119,"FB"),"")</f>
        <v/>
      </c>
      <c r="O119" s="9" t="str">
        <f>IF($J119="PC",COUNTIF($J$5:$J119,"PC"),"")</f>
        <v/>
      </c>
      <c r="P119" s="28" t="s">
        <v>648</v>
      </c>
      <c r="Q119" s="28" t="s">
        <v>649</v>
      </c>
    </row>
    <row r="120" spans="1:17" ht="31.5" customHeight="1" x14ac:dyDescent="0.25">
      <c r="A120" s="56">
        <v>6</v>
      </c>
      <c r="B120" s="56" t="s">
        <v>542</v>
      </c>
      <c r="C120" s="57" t="s">
        <v>543</v>
      </c>
      <c r="D120" s="56" t="s">
        <v>544</v>
      </c>
      <c r="E120" s="56" t="s">
        <v>650</v>
      </c>
      <c r="F120" s="58" t="s">
        <v>69</v>
      </c>
      <c r="G120" s="59" t="s">
        <v>651</v>
      </c>
      <c r="H120" s="60"/>
      <c r="I120" s="61"/>
      <c r="J120" s="62"/>
      <c r="K120" s="62"/>
      <c r="L120" s="63"/>
      <c r="M120" s="9" t="str">
        <f>IF($J120="AC",COUNTIF($J$5:$J120,"AC"),"")</f>
        <v/>
      </c>
      <c r="N120" s="9" t="str">
        <f>IF($J120="FB",COUNTIF($J$5:$J120,"FB"),"")</f>
        <v/>
      </c>
      <c r="O120" s="9" t="str">
        <f>IF($J120="PC",COUNTIF($J$5:$J120,"PC"),"")</f>
        <v/>
      </c>
      <c r="P120" s="28" t="s">
        <v>652</v>
      </c>
      <c r="Q120" s="28" t="s">
        <v>653</v>
      </c>
    </row>
    <row r="121" spans="1:17" ht="31.5" customHeight="1" x14ac:dyDescent="0.25">
      <c r="A121" s="56">
        <v>6</v>
      </c>
      <c r="B121" s="56" t="s">
        <v>542</v>
      </c>
      <c r="C121" s="57" t="s">
        <v>543</v>
      </c>
      <c r="D121" s="56" t="s">
        <v>544</v>
      </c>
      <c r="E121" s="56" t="s">
        <v>591</v>
      </c>
      <c r="F121" s="66" t="s">
        <v>53</v>
      </c>
      <c r="G121" s="59" t="s">
        <v>654</v>
      </c>
      <c r="H121" s="60"/>
      <c r="I121" s="61"/>
      <c r="J121" s="62"/>
      <c r="K121" s="62"/>
      <c r="L121" s="63"/>
      <c r="M121" s="9" t="str">
        <f>IF($J121="AC",COUNTIF($J$5:$J121,"AC"),"")</f>
        <v/>
      </c>
      <c r="N121" s="9" t="str">
        <f>IF($J121="FB",COUNTIF($J$5:$J121,"FB"),"")</f>
        <v/>
      </c>
      <c r="O121" s="9" t="str">
        <f>IF($J121="PC",COUNTIF($J$5:$J121,"PC"),"")</f>
        <v/>
      </c>
      <c r="P121" s="28" t="s">
        <v>655</v>
      </c>
      <c r="Q121" s="28" t="s">
        <v>656</v>
      </c>
    </row>
    <row r="122" spans="1:17" s="27" customFormat="1" ht="42" customHeight="1" x14ac:dyDescent="0.2">
      <c r="A122" s="69">
        <v>6</v>
      </c>
      <c r="B122" s="70" t="s">
        <v>542</v>
      </c>
      <c r="C122" s="71" t="s">
        <v>657</v>
      </c>
      <c r="D122" s="70" t="s">
        <v>658</v>
      </c>
      <c r="E122" s="70" t="s">
        <v>659</v>
      </c>
      <c r="F122" s="66" t="s">
        <v>53</v>
      </c>
      <c r="G122" s="72" t="s">
        <v>660</v>
      </c>
      <c r="H122" s="73"/>
      <c r="I122" s="24" t="s">
        <v>661</v>
      </c>
      <c r="J122" s="25"/>
      <c r="K122" s="25"/>
      <c r="L122" s="26"/>
      <c r="O122" s="27" t="str">
        <f>IF($J122="PC",COUNTIF($J$5:$J122,"PC"),"")</f>
        <v/>
      </c>
      <c r="P122" s="28" t="s">
        <v>662</v>
      </c>
      <c r="Q122" s="28" t="s">
        <v>663</v>
      </c>
    </row>
    <row r="123" spans="1:17" s="27" customFormat="1" ht="81" customHeight="1" x14ac:dyDescent="0.2">
      <c r="A123" s="74">
        <v>6</v>
      </c>
      <c r="B123" s="75" t="s">
        <v>542</v>
      </c>
      <c r="C123" s="76" t="s">
        <v>657</v>
      </c>
      <c r="D123" s="75" t="s">
        <v>658</v>
      </c>
      <c r="E123" s="75" t="s">
        <v>664</v>
      </c>
      <c r="F123" s="66" t="s">
        <v>53</v>
      </c>
      <c r="G123" s="72" t="s">
        <v>665</v>
      </c>
      <c r="H123" s="73"/>
      <c r="I123" s="24" t="s">
        <v>666</v>
      </c>
      <c r="J123" s="25"/>
      <c r="K123" s="25"/>
      <c r="L123" s="26"/>
      <c r="O123" s="27" t="str">
        <f>IF($J123="PC",COUNTIF($J$5:$J123,"PC"),"")</f>
        <v/>
      </c>
      <c r="P123" s="28" t="s">
        <v>667</v>
      </c>
      <c r="Q123" s="28" t="s">
        <v>668</v>
      </c>
    </row>
    <row r="124" spans="1:17" s="27" customFormat="1" ht="81" customHeight="1" x14ac:dyDescent="0.2">
      <c r="A124" s="69">
        <v>6</v>
      </c>
      <c r="B124" s="70" t="s">
        <v>542</v>
      </c>
      <c r="C124" s="71" t="s">
        <v>657</v>
      </c>
      <c r="D124" s="70" t="s">
        <v>658</v>
      </c>
      <c r="E124" s="70" t="s">
        <v>669</v>
      </c>
      <c r="F124" s="66" t="s">
        <v>53</v>
      </c>
      <c r="G124" s="72" t="s">
        <v>670</v>
      </c>
      <c r="H124" s="73"/>
      <c r="I124" s="24" t="s">
        <v>671</v>
      </c>
      <c r="J124" s="25"/>
      <c r="K124" s="25"/>
      <c r="L124" s="26"/>
      <c r="O124" s="27" t="str">
        <f>IF($J124="PC",COUNTIF($J$5:$J124,"PC"),"")</f>
        <v/>
      </c>
      <c r="P124" s="28" t="s">
        <v>672</v>
      </c>
      <c r="Q124" s="28" t="s">
        <v>673</v>
      </c>
    </row>
    <row r="125" spans="1:17" ht="40.5" customHeight="1" x14ac:dyDescent="0.25">
      <c r="A125" s="69">
        <v>6</v>
      </c>
      <c r="B125" s="70" t="s">
        <v>542</v>
      </c>
      <c r="C125" s="71" t="s">
        <v>657</v>
      </c>
      <c r="D125" s="70" t="s">
        <v>658</v>
      </c>
      <c r="E125" s="70" t="s">
        <v>674</v>
      </c>
      <c r="F125" s="58" t="s">
        <v>69</v>
      </c>
      <c r="G125" s="77" t="s">
        <v>675</v>
      </c>
      <c r="H125" s="37"/>
      <c r="I125" s="38" t="s">
        <v>676</v>
      </c>
      <c r="J125" s="39"/>
      <c r="K125" s="39"/>
      <c r="L125" s="40"/>
      <c r="O125" s="9" t="str">
        <f>IF($J125="PC",COUNTIF($J$5:$J125,"PC"),"")</f>
        <v/>
      </c>
      <c r="P125" s="28" t="s">
        <v>677</v>
      </c>
      <c r="Q125" s="28" t="s">
        <v>678</v>
      </c>
    </row>
    <row r="126" spans="1:17" ht="30.75" customHeight="1" x14ac:dyDescent="0.25">
      <c r="A126" s="69">
        <v>6</v>
      </c>
      <c r="B126" s="70" t="s">
        <v>542</v>
      </c>
      <c r="C126" s="71" t="s">
        <v>657</v>
      </c>
      <c r="D126" s="70" t="s">
        <v>658</v>
      </c>
      <c r="E126" s="70" t="s">
        <v>679</v>
      </c>
      <c r="F126" s="58" t="s">
        <v>69</v>
      </c>
      <c r="G126" s="77" t="s">
        <v>680</v>
      </c>
      <c r="H126" s="37"/>
      <c r="I126" s="38" t="s">
        <v>681</v>
      </c>
      <c r="J126" s="39"/>
      <c r="K126" s="39"/>
      <c r="L126" s="40"/>
      <c r="O126" s="9" t="str">
        <f>IF($J126="PC",COUNTIF($J$5:$J126,"PC"),"")</f>
        <v/>
      </c>
      <c r="P126" s="28" t="s">
        <v>682</v>
      </c>
      <c r="Q126" s="28" t="s">
        <v>683</v>
      </c>
    </row>
    <row r="127" spans="1:17" ht="40.5" customHeight="1" x14ac:dyDescent="0.25">
      <c r="A127" s="69">
        <v>6</v>
      </c>
      <c r="B127" s="70" t="s">
        <v>542</v>
      </c>
      <c r="C127" s="71" t="s">
        <v>657</v>
      </c>
      <c r="D127" s="70" t="s">
        <v>658</v>
      </c>
      <c r="E127" s="70" t="s">
        <v>684</v>
      </c>
      <c r="F127" s="58" t="s">
        <v>69</v>
      </c>
      <c r="G127" s="77" t="s">
        <v>685</v>
      </c>
      <c r="H127" s="37"/>
      <c r="I127" s="38" t="s">
        <v>686</v>
      </c>
      <c r="J127" s="39"/>
      <c r="K127" s="39"/>
      <c r="L127" s="40"/>
      <c r="O127" s="9" t="str">
        <f>IF($J127="PC",COUNTIF($J$5:$J127,"PC"),"")</f>
        <v/>
      </c>
      <c r="P127" s="28" t="s">
        <v>687</v>
      </c>
      <c r="Q127" s="28" t="s">
        <v>688</v>
      </c>
    </row>
    <row r="128" spans="1:17" ht="238.5" customHeight="1" x14ac:dyDescent="0.25">
      <c r="A128" s="69">
        <v>6</v>
      </c>
      <c r="B128" s="70" t="s">
        <v>542</v>
      </c>
      <c r="C128" s="71" t="s">
        <v>657</v>
      </c>
      <c r="D128" s="70" t="s">
        <v>658</v>
      </c>
      <c r="E128" s="70" t="s">
        <v>689</v>
      </c>
      <c r="F128" s="78" t="s">
        <v>69</v>
      </c>
      <c r="G128" s="77" t="s">
        <v>690</v>
      </c>
      <c r="H128" s="37"/>
      <c r="I128" s="79" t="s">
        <v>691</v>
      </c>
      <c r="J128" s="39"/>
      <c r="K128" s="39"/>
      <c r="L128" s="80"/>
      <c r="O128" s="9" t="str">
        <f>IF($J128="PC",COUNTIF($J$5:$J128,"PC"),"")</f>
        <v/>
      </c>
      <c r="P128" s="28" t="s">
        <v>692</v>
      </c>
      <c r="Q128" s="28" t="s">
        <v>693</v>
      </c>
    </row>
    <row r="129" spans="1:17" ht="226.5" customHeight="1" x14ac:dyDescent="0.25">
      <c r="A129" s="69">
        <v>6</v>
      </c>
      <c r="B129" s="70" t="s">
        <v>542</v>
      </c>
      <c r="C129" s="71" t="s">
        <v>657</v>
      </c>
      <c r="D129" s="70" t="s">
        <v>658</v>
      </c>
      <c r="E129" s="70" t="s">
        <v>694</v>
      </c>
      <c r="F129" s="78" t="s">
        <v>69</v>
      </c>
      <c r="G129" s="77" t="s">
        <v>695</v>
      </c>
      <c r="H129" s="37"/>
      <c r="I129" s="81" t="s">
        <v>696</v>
      </c>
      <c r="J129" s="39"/>
      <c r="K129" s="39"/>
      <c r="L129" s="80"/>
      <c r="M129" s="9" t="str">
        <f>IF($J129="AC",COUNTIF($J$5:$J129,"AC"),"")</f>
        <v/>
      </c>
      <c r="N129" s="9" t="str">
        <f>IF($J129="FB",COUNTIF($J$5:$J129,"FB"),"")</f>
        <v/>
      </c>
      <c r="O129" s="9" t="str">
        <f>IF($J129="PC",COUNTIF($J$5:$J129,"PC"),"")</f>
        <v/>
      </c>
      <c r="P129" s="28" t="s">
        <v>697</v>
      </c>
      <c r="Q129" s="28" t="s">
        <v>698</v>
      </c>
    </row>
    <row r="130" spans="1:17" ht="53.25" customHeight="1" x14ac:dyDescent="0.25">
      <c r="A130" s="69">
        <v>6</v>
      </c>
      <c r="B130" s="70" t="s">
        <v>542</v>
      </c>
      <c r="C130" s="71" t="s">
        <v>657</v>
      </c>
      <c r="D130" s="70" t="s">
        <v>658</v>
      </c>
      <c r="E130" s="70" t="s">
        <v>699</v>
      </c>
      <c r="F130" s="78" t="s">
        <v>69</v>
      </c>
      <c r="G130" s="77" t="s">
        <v>700</v>
      </c>
      <c r="H130" s="37"/>
      <c r="I130" s="79" t="s">
        <v>696</v>
      </c>
      <c r="J130" s="39"/>
      <c r="K130" s="39"/>
      <c r="L130" s="80"/>
      <c r="M130" s="9" t="str">
        <f>IF($J130="AC",COUNTIF($J$5:$J130,"AC"),"")</f>
        <v/>
      </c>
      <c r="N130" s="9" t="str">
        <f>IF($J130="FB",COUNTIF($J$5:$J130,"FB"),"")</f>
        <v/>
      </c>
      <c r="O130" s="9" t="str">
        <f>IF($J130="PC",COUNTIF($J$5:$J130,"PC"),"")</f>
        <v/>
      </c>
      <c r="P130" s="28" t="s">
        <v>701</v>
      </c>
      <c r="Q130" s="28" t="s">
        <v>702</v>
      </c>
    </row>
    <row r="131" spans="1:17" ht="53.25" customHeight="1" x14ac:dyDescent="0.25">
      <c r="A131" s="69">
        <v>6</v>
      </c>
      <c r="B131" s="70" t="s">
        <v>542</v>
      </c>
      <c r="C131" s="71" t="s">
        <v>657</v>
      </c>
      <c r="D131" s="70" t="s">
        <v>658</v>
      </c>
      <c r="E131" s="70" t="s">
        <v>703</v>
      </c>
      <c r="F131" s="66" t="s">
        <v>53</v>
      </c>
      <c r="G131" s="77" t="s">
        <v>704</v>
      </c>
      <c r="H131" s="37"/>
      <c r="I131" s="79"/>
      <c r="J131" s="39"/>
      <c r="K131" s="39"/>
      <c r="L131" s="80"/>
      <c r="M131" s="9" t="str">
        <f>IF($J131="AC",COUNTIF($J$5:$J131,"AC"),"")</f>
        <v/>
      </c>
      <c r="N131" s="9" t="str">
        <f>IF($J131="FB",COUNTIF($J$5:$J131,"FB"),"")</f>
        <v/>
      </c>
      <c r="O131" s="9" t="str">
        <f>IF($J131="PC",COUNTIF($J$5:$J131,"PC"),"")</f>
        <v/>
      </c>
      <c r="P131" s="28" t="s">
        <v>705</v>
      </c>
      <c r="Q131" s="28" t="s">
        <v>706</v>
      </c>
    </row>
    <row r="132" spans="1:17" ht="53.25" customHeight="1" x14ac:dyDescent="0.25">
      <c r="A132" s="69">
        <v>6</v>
      </c>
      <c r="B132" s="70" t="s">
        <v>542</v>
      </c>
      <c r="C132" s="71" t="s">
        <v>657</v>
      </c>
      <c r="D132" s="70" t="s">
        <v>658</v>
      </c>
      <c r="E132" s="70" t="s">
        <v>707</v>
      </c>
      <c r="F132" s="78" t="s">
        <v>69</v>
      </c>
      <c r="G132" s="77" t="s">
        <v>708</v>
      </c>
      <c r="H132" s="37"/>
      <c r="I132" s="79"/>
      <c r="J132" s="39"/>
      <c r="K132" s="39"/>
      <c r="L132" s="80"/>
      <c r="M132" s="9" t="str">
        <f>IF($J132="AC",COUNTIF($J$5:$J132,"AC"),"")</f>
        <v/>
      </c>
      <c r="N132" s="9" t="str">
        <f>IF($J132="FB",COUNTIF($J$5:$J132,"FB"),"")</f>
        <v/>
      </c>
      <c r="O132" s="9" t="str">
        <f>IF($J132="PC",COUNTIF($J$5:$J132,"PC"),"")</f>
        <v/>
      </c>
      <c r="P132" s="28" t="s">
        <v>709</v>
      </c>
      <c r="Q132" s="28" t="s">
        <v>710</v>
      </c>
    </row>
    <row r="133" spans="1:17" ht="53.25" customHeight="1" x14ac:dyDescent="0.25">
      <c r="A133" s="69">
        <v>6</v>
      </c>
      <c r="B133" s="70" t="s">
        <v>542</v>
      </c>
      <c r="C133" s="71" t="s">
        <v>657</v>
      </c>
      <c r="D133" s="70" t="s">
        <v>658</v>
      </c>
      <c r="E133" s="70" t="s">
        <v>711</v>
      </c>
      <c r="F133" s="66" t="s">
        <v>53</v>
      </c>
      <c r="G133" s="77" t="s">
        <v>712</v>
      </c>
      <c r="H133" s="37"/>
      <c r="I133" s="79"/>
      <c r="J133" s="39"/>
      <c r="K133" s="39"/>
      <c r="L133" s="80"/>
      <c r="M133" s="9" t="str">
        <f>IF($J133="AC",COUNTIF($J$5:$J133,"AC"),"")</f>
        <v/>
      </c>
      <c r="N133" s="9" t="str">
        <f>IF($J133="FB",COUNTIF($J$5:$J133,"FB"),"")</f>
        <v/>
      </c>
      <c r="O133" s="9" t="str">
        <f>IF($J133="PC",COUNTIF($J$5:$J133,"PC"),"")</f>
        <v/>
      </c>
      <c r="P133" s="28" t="s">
        <v>713</v>
      </c>
      <c r="Q133" s="28" t="s">
        <v>714</v>
      </c>
    </row>
    <row r="134" spans="1:17" ht="53.25" customHeight="1" x14ac:dyDescent="0.25">
      <c r="A134" s="69">
        <v>6</v>
      </c>
      <c r="B134" s="70" t="s">
        <v>542</v>
      </c>
      <c r="C134" s="71" t="s">
        <v>657</v>
      </c>
      <c r="D134" s="70" t="s">
        <v>658</v>
      </c>
      <c r="E134" s="70" t="s">
        <v>715</v>
      </c>
      <c r="F134" s="78" t="s">
        <v>69</v>
      </c>
      <c r="G134" s="77" t="s">
        <v>716</v>
      </c>
      <c r="H134" s="37"/>
      <c r="I134" s="79"/>
      <c r="J134" s="39"/>
      <c r="K134" s="39"/>
      <c r="L134" s="80"/>
      <c r="M134" s="9" t="str">
        <f>IF($J134="AC",COUNTIF($J$5:$J134,"AC"),"")</f>
        <v/>
      </c>
      <c r="N134" s="9" t="str">
        <f>IF($J134="FB",COUNTIF($J$5:$J134,"FB"),"")</f>
        <v/>
      </c>
      <c r="O134" s="9" t="str">
        <f>IF($J134="PC",COUNTIF($J$5:$J134,"PC"),"")</f>
        <v/>
      </c>
      <c r="P134" s="28" t="s">
        <v>717</v>
      </c>
      <c r="Q134" s="28" t="s">
        <v>718</v>
      </c>
    </row>
    <row r="135" spans="1:17" ht="53.25" customHeight="1" x14ac:dyDescent="0.25">
      <c r="A135" s="69">
        <v>6</v>
      </c>
      <c r="B135" s="70" t="s">
        <v>542</v>
      </c>
      <c r="C135" s="71" t="s">
        <v>657</v>
      </c>
      <c r="D135" s="70" t="s">
        <v>658</v>
      </c>
      <c r="E135" s="70" t="s">
        <v>719</v>
      </c>
      <c r="F135" s="78" t="s">
        <v>69</v>
      </c>
      <c r="G135" s="77" t="s">
        <v>720</v>
      </c>
      <c r="H135" s="37"/>
      <c r="I135" s="79"/>
      <c r="J135" s="39"/>
      <c r="K135" s="39"/>
      <c r="L135" s="80"/>
      <c r="M135" s="9" t="str">
        <f>IF($J135="AC",COUNTIF($J$5:$J135,"AC"),"")</f>
        <v/>
      </c>
      <c r="N135" s="9" t="str">
        <f>IF($J135="FB",COUNTIF($J$5:$J135,"FB"),"")</f>
        <v/>
      </c>
      <c r="O135" s="9" t="str">
        <f>IF($J135="PC",COUNTIF($J$5:$J135,"PC"),"")</f>
        <v/>
      </c>
      <c r="P135" s="28" t="s">
        <v>721</v>
      </c>
      <c r="Q135" s="28" t="s">
        <v>722</v>
      </c>
    </row>
    <row r="136" spans="1:17" ht="53.25" customHeight="1" x14ac:dyDescent="0.25">
      <c r="A136" s="69">
        <v>6</v>
      </c>
      <c r="B136" s="70" t="s">
        <v>542</v>
      </c>
      <c r="C136" s="71" t="s">
        <v>657</v>
      </c>
      <c r="D136" s="70" t="s">
        <v>658</v>
      </c>
      <c r="E136" s="70" t="s">
        <v>723</v>
      </c>
      <c r="F136" s="78" t="s">
        <v>69</v>
      </c>
      <c r="G136" s="77" t="s">
        <v>724</v>
      </c>
      <c r="H136" s="37"/>
      <c r="I136" s="79"/>
      <c r="J136" s="39"/>
      <c r="K136" s="39"/>
      <c r="L136" s="80"/>
      <c r="M136" s="9" t="str">
        <f>IF($J136="AC",COUNTIF($J$5:$J136,"AC"),"")</f>
        <v/>
      </c>
      <c r="N136" s="9" t="str">
        <f>IF($J136="FB",COUNTIF($J$5:$J136,"FB"),"")</f>
        <v/>
      </c>
      <c r="O136" s="9" t="str">
        <f>IF($J136="PC",COUNTIF($J$5:$J136,"PC"),"")</f>
        <v/>
      </c>
      <c r="P136" s="28" t="s">
        <v>725</v>
      </c>
      <c r="Q136" s="28" t="s">
        <v>726</v>
      </c>
    </row>
    <row r="137" spans="1:17" ht="53.25" customHeight="1" x14ac:dyDescent="0.25">
      <c r="A137" s="69">
        <v>6</v>
      </c>
      <c r="B137" s="70" t="s">
        <v>542</v>
      </c>
      <c r="C137" s="71" t="s">
        <v>657</v>
      </c>
      <c r="D137" s="70" t="s">
        <v>658</v>
      </c>
      <c r="E137" s="70" t="s">
        <v>595</v>
      </c>
      <c r="F137" s="78" t="s">
        <v>69</v>
      </c>
      <c r="G137" s="77" t="s">
        <v>727</v>
      </c>
      <c r="H137" s="37"/>
      <c r="I137" s="79"/>
      <c r="J137" s="39"/>
      <c r="K137" s="39"/>
      <c r="L137" s="80"/>
      <c r="M137" s="9" t="str">
        <f>IF($J137="AC",COUNTIF($J$5:$J137,"AC"),"")</f>
        <v/>
      </c>
      <c r="N137" s="9" t="str">
        <f>IF($J137="FB",COUNTIF($J$5:$J137,"FB"),"")</f>
        <v/>
      </c>
      <c r="O137" s="9" t="str">
        <f>IF($J137="PC",COUNTIF($J$5:$J137,"PC"),"")</f>
        <v/>
      </c>
      <c r="P137" s="28" t="s">
        <v>728</v>
      </c>
      <c r="Q137" s="28" t="s">
        <v>729</v>
      </c>
    </row>
    <row r="138" spans="1:17" ht="53.25" customHeight="1" x14ac:dyDescent="0.25">
      <c r="A138" s="69">
        <v>6</v>
      </c>
      <c r="B138" s="70" t="s">
        <v>542</v>
      </c>
      <c r="C138" s="71" t="s">
        <v>657</v>
      </c>
      <c r="D138" s="70" t="s">
        <v>658</v>
      </c>
      <c r="E138" s="70" t="s">
        <v>730</v>
      </c>
      <c r="F138" s="66" t="s">
        <v>53</v>
      </c>
      <c r="G138" s="77" t="s">
        <v>731</v>
      </c>
      <c r="H138" s="37"/>
      <c r="I138" s="79"/>
      <c r="J138" s="39"/>
      <c r="K138" s="39"/>
      <c r="L138" s="80"/>
      <c r="M138" s="9" t="str">
        <f>IF($J138="AC",COUNTIF($J$5:$J138,"AC"),"")</f>
        <v/>
      </c>
      <c r="N138" s="9" t="str">
        <f>IF($J138="FB",COUNTIF($J$5:$J138,"FB"),"")</f>
        <v/>
      </c>
      <c r="O138" s="9" t="str">
        <f>IF($J138="PC",COUNTIF($J$5:$J138,"PC"),"")</f>
        <v/>
      </c>
      <c r="P138" s="28" t="s">
        <v>732</v>
      </c>
      <c r="Q138" s="28" t="s">
        <v>733</v>
      </c>
    </row>
    <row r="139" spans="1:17" ht="53.25" customHeight="1" x14ac:dyDescent="0.25">
      <c r="A139" s="69">
        <v>6</v>
      </c>
      <c r="B139" s="70" t="s">
        <v>542</v>
      </c>
      <c r="C139" s="71" t="s">
        <v>657</v>
      </c>
      <c r="D139" s="70" t="s">
        <v>658</v>
      </c>
      <c r="E139" s="70" t="s">
        <v>734</v>
      </c>
      <c r="F139" s="66" t="s">
        <v>53</v>
      </c>
      <c r="G139" s="77" t="s">
        <v>735</v>
      </c>
      <c r="H139" s="37"/>
      <c r="I139" s="79"/>
      <c r="J139" s="39"/>
      <c r="K139" s="39"/>
      <c r="L139" s="80"/>
      <c r="M139" s="9" t="str">
        <f>IF($J139="AC",COUNTIF($J$5:$J139,"AC"),"")</f>
        <v/>
      </c>
      <c r="N139" s="9" t="str">
        <f>IF($J139="FB",COUNTIF($J$5:$J139,"FB"),"")</f>
        <v/>
      </c>
      <c r="O139" s="9" t="str">
        <f>IF($J139="PC",COUNTIF($J$5:$J139,"PC"),"")</f>
        <v/>
      </c>
      <c r="P139" s="28" t="s">
        <v>736</v>
      </c>
      <c r="Q139" s="28" t="s">
        <v>737</v>
      </c>
    </row>
    <row r="140" spans="1:17" ht="53.25" customHeight="1" x14ac:dyDescent="0.25">
      <c r="A140" s="69">
        <v>6</v>
      </c>
      <c r="B140" s="70" t="s">
        <v>542</v>
      </c>
      <c r="C140" s="71" t="s">
        <v>657</v>
      </c>
      <c r="D140" s="70" t="s">
        <v>658</v>
      </c>
      <c r="E140" s="70" t="s">
        <v>738</v>
      </c>
      <c r="F140" s="67" t="s">
        <v>165</v>
      </c>
      <c r="G140" s="77" t="s">
        <v>739</v>
      </c>
      <c r="H140" s="37"/>
      <c r="I140" s="79"/>
      <c r="J140" s="39"/>
      <c r="K140" s="39"/>
      <c r="L140" s="80"/>
      <c r="M140" s="9" t="str">
        <f>IF($J140="AC",COUNTIF($J$5:$J140,"AC"),"")</f>
        <v/>
      </c>
      <c r="N140" s="9" t="str">
        <f>IF($J140="FB",COUNTIF($J$5:$J140,"FB"),"")</f>
        <v/>
      </c>
      <c r="O140" s="9" t="str">
        <f>IF($J140="PC",COUNTIF($J$5:$J140,"PC"),"")</f>
        <v/>
      </c>
      <c r="P140" s="28" t="s">
        <v>740</v>
      </c>
      <c r="Q140" s="28" t="s">
        <v>741</v>
      </c>
    </row>
    <row r="141" spans="1:17" ht="53.25" customHeight="1" x14ac:dyDescent="0.25">
      <c r="A141" s="69">
        <v>6</v>
      </c>
      <c r="B141" s="70" t="s">
        <v>542</v>
      </c>
      <c r="C141" s="71" t="s">
        <v>657</v>
      </c>
      <c r="D141" s="70" t="s">
        <v>658</v>
      </c>
      <c r="E141" s="70" t="s">
        <v>742</v>
      </c>
      <c r="F141" s="66" t="s">
        <v>53</v>
      </c>
      <c r="G141" s="77" t="s">
        <v>743</v>
      </c>
      <c r="H141" s="37"/>
      <c r="I141" s="79"/>
      <c r="J141" s="39"/>
      <c r="K141" s="39"/>
      <c r="L141" s="80"/>
      <c r="M141" s="9" t="str">
        <f>IF($J141="AC",COUNTIF($J$5:$J141,"AC"),"")</f>
        <v/>
      </c>
      <c r="N141" s="9" t="str">
        <f>IF($J141="FB",COUNTIF($J$5:$J141,"FB"),"")</f>
        <v/>
      </c>
      <c r="O141" s="9" t="str">
        <f>IF($J141="PC",COUNTIF($J$5:$J141,"PC"),"")</f>
        <v/>
      </c>
      <c r="P141" s="28" t="s">
        <v>744</v>
      </c>
      <c r="Q141" s="28" t="s">
        <v>745</v>
      </c>
    </row>
    <row r="142" spans="1:17" ht="53.25" customHeight="1" x14ac:dyDescent="0.25">
      <c r="A142" s="69">
        <v>6</v>
      </c>
      <c r="B142" s="70" t="s">
        <v>542</v>
      </c>
      <c r="C142" s="71" t="s">
        <v>657</v>
      </c>
      <c r="D142" s="70" t="s">
        <v>658</v>
      </c>
      <c r="E142" s="70" t="s">
        <v>746</v>
      </c>
      <c r="F142" s="68" t="s">
        <v>92</v>
      </c>
      <c r="G142" s="77" t="s">
        <v>747</v>
      </c>
      <c r="H142" s="37"/>
      <c r="I142" s="79"/>
      <c r="J142" s="39"/>
      <c r="K142" s="39"/>
      <c r="L142" s="80"/>
      <c r="M142" s="9" t="str">
        <f>IF($J142="AC",COUNTIF($J$5:$J142,"AC"),"")</f>
        <v/>
      </c>
      <c r="N142" s="9" t="str">
        <f>IF($J142="FB",COUNTIF($J$5:$J142,"FB"),"")</f>
        <v/>
      </c>
      <c r="O142" s="9" t="str">
        <f>IF($J142="PC",COUNTIF($J$5:$J142,"PC"),"")</f>
        <v/>
      </c>
      <c r="P142" s="28" t="s">
        <v>748</v>
      </c>
      <c r="Q142" s="28" t="s">
        <v>749</v>
      </c>
    </row>
    <row r="143" spans="1:17" ht="53.25" customHeight="1" x14ac:dyDescent="0.25">
      <c r="A143" s="69">
        <v>6</v>
      </c>
      <c r="B143" s="70" t="s">
        <v>542</v>
      </c>
      <c r="C143" s="71" t="s">
        <v>657</v>
      </c>
      <c r="D143" s="70" t="s">
        <v>658</v>
      </c>
      <c r="E143" s="70" t="s">
        <v>750</v>
      </c>
      <c r="F143" s="78" t="s">
        <v>69</v>
      </c>
      <c r="G143" s="77" t="s">
        <v>751</v>
      </c>
      <c r="H143" s="37"/>
      <c r="I143" s="79"/>
      <c r="J143" s="39"/>
      <c r="K143" s="39"/>
      <c r="L143" s="80"/>
      <c r="M143" s="9" t="str">
        <f>IF($J143="AC",COUNTIF($J$5:$J143,"AC"),"")</f>
        <v/>
      </c>
      <c r="N143" s="9" t="str">
        <f>IF($J143="FB",COUNTIF($J$5:$J143,"FB"),"")</f>
        <v/>
      </c>
      <c r="O143" s="9" t="str">
        <f>IF($J143="PC",COUNTIF($J$5:$J143,"PC"),"")</f>
        <v/>
      </c>
      <c r="P143" s="28" t="s">
        <v>752</v>
      </c>
      <c r="Q143" s="28" t="s">
        <v>753</v>
      </c>
    </row>
    <row r="144" spans="1:17" ht="53.25" customHeight="1" x14ac:dyDescent="0.25">
      <c r="A144" s="69">
        <v>6</v>
      </c>
      <c r="B144" s="70" t="s">
        <v>542</v>
      </c>
      <c r="C144" s="71" t="s">
        <v>657</v>
      </c>
      <c r="D144" s="70" t="s">
        <v>658</v>
      </c>
      <c r="E144" s="70" t="s">
        <v>754</v>
      </c>
      <c r="F144" s="68" t="s">
        <v>92</v>
      </c>
      <c r="G144" s="77" t="s">
        <v>755</v>
      </c>
      <c r="H144" s="37"/>
      <c r="I144" s="79"/>
      <c r="J144" s="39"/>
      <c r="K144" s="39"/>
      <c r="L144" s="80"/>
      <c r="M144" s="9" t="str">
        <f>IF($J144="AC",COUNTIF($J$5:$J144,"AC"),"")</f>
        <v/>
      </c>
      <c r="N144" s="9" t="str">
        <f>IF($J144="FB",COUNTIF($J$5:$J144,"FB"),"")</f>
        <v/>
      </c>
      <c r="O144" s="9" t="str">
        <f>IF($J144="PC",COUNTIF($J$5:$J144,"PC"),"")</f>
        <v/>
      </c>
      <c r="P144" s="28" t="s">
        <v>756</v>
      </c>
      <c r="Q144" s="28" t="s">
        <v>757</v>
      </c>
    </row>
    <row r="145" spans="1:17" ht="53.25" customHeight="1" x14ac:dyDescent="0.25">
      <c r="A145" s="69">
        <v>6</v>
      </c>
      <c r="B145" s="70" t="s">
        <v>542</v>
      </c>
      <c r="C145" s="71" t="s">
        <v>657</v>
      </c>
      <c r="D145" s="70" t="s">
        <v>658</v>
      </c>
      <c r="E145" s="70" t="s">
        <v>758</v>
      </c>
      <c r="F145" s="68" t="s">
        <v>92</v>
      </c>
      <c r="G145" s="77" t="s">
        <v>759</v>
      </c>
      <c r="H145" s="37"/>
      <c r="I145" s="79"/>
      <c r="J145" s="39"/>
      <c r="K145" s="39"/>
      <c r="L145" s="80"/>
      <c r="M145" s="9" t="str">
        <f>IF($J145="AC",COUNTIF($J$5:$J145,"AC"),"")</f>
        <v/>
      </c>
      <c r="N145" s="9" t="str">
        <f>IF($J145="FB",COUNTIF($J$5:$J145,"FB"),"")</f>
        <v/>
      </c>
      <c r="O145" s="9" t="str">
        <f>IF($J145="PC",COUNTIF($J$5:$J145,"PC"),"")</f>
        <v/>
      </c>
      <c r="P145" s="28" t="s">
        <v>760</v>
      </c>
      <c r="Q145" s="28" t="s">
        <v>761</v>
      </c>
    </row>
    <row r="146" spans="1:17" ht="53.25" customHeight="1" x14ac:dyDescent="0.25">
      <c r="A146" s="69">
        <v>6</v>
      </c>
      <c r="B146" s="70" t="s">
        <v>542</v>
      </c>
      <c r="C146" s="71" t="s">
        <v>657</v>
      </c>
      <c r="D146" s="70" t="s">
        <v>658</v>
      </c>
      <c r="E146" s="70" t="s">
        <v>762</v>
      </c>
      <c r="F146" s="78" t="s">
        <v>69</v>
      </c>
      <c r="G146" s="77" t="s">
        <v>763</v>
      </c>
      <c r="H146" s="37"/>
      <c r="I146" s="79"/>
      <c r="J146" s="39"/>
      <c r="K146" s="39"/>
      <c r="L146" s="80"/>
      <c r="M146" s="9" t="str">
        <f>IF($J146="AC",COUNTIF($J$5:$J146,"AC"),"")</f>
        <v/>
      </c>
      <c r="N146" s="9" t="str">
        <f>IF($J146="FB",COUNTIF($J$5:$J146,"FB"),"")</f>
        <v/>
      </c>
      <c r="O146" s="9" t="str">
        <f>IF($J146="PC",COUNTIF($J$5:$J146,"PC"),"")</f>
        <v/>
      </c>
      <c r="P146" s="28" t="s">
        <v>764</v>
      </c>
      <c r="Q146" s="28" t="s">
        <v>765</v>
      </c>
    </row>
    <row r="147" spans="1:17" ht="53.25" customHeight="1" x14ac:dyDescent="0.25">
      <c r="A147" s="69">
        <v>6</v>
      </c>
      <c r="B147" s="70" t="s">
        <v>542</v>
      </c>
      <c r="C147" s="71" t="s">
        <v>657</v>
      </c>
      <c r="D147" s="70" t="s">
        <v>658</v>
      </c>
      <c r="E147" s="70" t="s">
        <v>766</v>
      </c>
      <c r="F147" s="78" t="s">
        <v>69</v>
      </c>
      <c r="G147" s="77" t="s">
        <v>767</v>
      </c>
      <c r="H147" s="37"/>
      <c r="I147" s="79"/>
      <c r="J147" s="39"/>
      <c r="K147" s="39"/>
      <c r="L147" s="80"/>
      <c r="M147" s="9" t="str">
        <f>IF($J147="AC",COUNTIF($J$5:$J147,"AC"),"")</f>
        <v/>
      </c>
      <c r="N147" s="9" t="str">
        <f>IF($J147="FB",COUNTIF($J$5:$J147,"FB"),"")</f>
        <v/>
      </c>
      <c r="O147" s="9" t="str">
        <f>IF($J147="PC",COUNTIF($J$5:$J147,"PC"),"")</f>
        <v/>
      </c>
      <c r="P147" s="28" t="s">
        <v>768</v>
      </c>
      <c r="Q147" s="28" t="s">
        <v>769</v>
      </c>
    </row>
    <row r="148" spans="1:17" ht="53.25" customHeight="1" x14ac:dyDescent="0.25">
      <c r="A148" s="69">
        <v>6</v>
      </c>
      <c r="B148" s="70" t="s">
        <v>542</v>
      </c>
      <c r="C148" s="71" t="s">
        <v>657</v>
      </c>
      <c r="D148" s="70" t="s">
        <v>658</v>
      </c>
      <c r="E148" s="70" t="s">
        <v>770</v>
      </c>
      <c r="F148" s="68" t="s">
        <v>92</v>
      </c>
      <c r="G148" s="77" t="s">
        <v>771</v>
      </c>
      <c r="H148" s="37"/>
      <c r="I148" s="79"/>
      <c r="J148" s="39"/>
      <c r="K148" s="39"/>
      <c r="L148" s="80"/>
      <c r="M148" s="9" t="str">
        <f>IF($J148="AC",COUNTIF($J$5:$J148,"AC"),"")</f>
        <v/>
      </c>
      <c r="N148" s="9" t="str">
        <f>IF($J148="FB",COUNTIF($J$5:$J148,"FB"),"")</f>
        <v/>
      </c>
      <c r="O148" s="9" t="str">
        <f>IF($J148="PC",COUNTIF($J$5:$J148,"PC"),"")</f>
        <v/>
      </c>
      <c r="P148" s="28" t="s">
        <v>772</v>
      </c>
      <c r="Q148" s="28" t="s">
        <v>773</v>
      </c>
    </row>
    <row r="149" spans="1:17" ht="53.25" customHeight="1" x14ac:dyDescent="0.25">
      <c r="A149" s="69">
        <v>6</v>
      </c>
      <c r="B149" s="70" t="s">
        <v>542</v>
      </c>
      <c r="C149" s="71" t="s">
        <v>657</v>
      </c>
      <c r="D149" s="70" t="s">
        <v>658</v>
      </c>
      <c r="E149" s="70" t="s">
        <v>719</v>
      </c>
      <c r="F149" s="78" t="s">
        <v>69</v>
      </c>
      <c r="G149" s="77" t="s">
        <v>774</v>
      </c>
      <c r="H149" s="37"/>
      <c r="I149" s="79"/>
      <c r="J149" s="39"/>
      <c r="K149" s="39"/>
      <c r="L149" s="80"/>
      <c r="M149" s="9" t="str">
        <f>IF($J149="AC",COUNTIF($J$5:$J149,"AC"),"")</f>
        <v/>
      </c>
      <c r="N149" s="9" t="str">
        <f>IF($J149="FB",COUNTIF($J$5:$J149,"FB"),"")</f>
        <v/>
      </c>
      <c r="O149" s="9" t="str">
        <f>IF($J149="PC",COUNTIF($J$5:$J149,"PC"),"")</f>
        <v/>
      </c>
      <c r="P149" s="28" t="s">
        <v>775</v>
      </c>
      <c r="Q149" s="28" t="s">
        <v>776</v>
      </c>
    </row>
    <row r="150" spans="1:17" ht="53.25" customHeight="1" x14ac:dyDescent="0.25">
      <c r="A150" s="69">
        <v>6</v>
      </c>
      <c r="B150" s="70" t="s">
        <v>542</v>
      </c>
      <c r="C150" s="71" t="s">
        <v>657</v>
      </c>
      <c r="D150" s="70" t="s">
        <v>658</v>
      </c>
      <c r="E150" s="70" t="s">
        <v>777</v>
      </c>
      <c r="F150" s="68" t="s">
        <v>92</v>
      </c>
      <c r="G150" s="77" t="s">
        <v>778</v>
      </c>
      <c r="H150" s="37"/>
      <c r="I150" s="79"/>
      <c r="J150" s="39"/>
      <c r="K150" s="39"/>
      <c r="L150" s="80"/>
      <c r="M150" s="9" t="str">
        <f>IF($J150="AC",COUNTIF($J$5:$J150,"AC"),"")</f>
        <v/>
      </c>
      <c r="N150" s="9" t="str">
        <f>IF($J150="FB",COUNTIF($J$5:$J150,"FB"),"")</f>
        <v/>
      </c>
      <c r="O150" s="9" t="str">
        <f>IF($J150="PC",COUNTIF($J$5:$J150,"PC"),"")</f>
        <v/>
      </c>
      <c r="P150" s="28" t="s">
        <v>779</v>
      </c>
      <c r="Q150" s="28" t="s">
        <v>780</v>
      </c>
    </row>
    <row r="151" spans="1:17" ht="53.25" customHeight="1" x14ac:dyDescent="0.25">
      <c r="A151" s="69">
        <v>6</v>
      </c>
      <c r="B151" s="70" t="s">
        <v>542</v>
      </c>
      <c r="C151" s="71" t="s">
        <v>657</v>
      </c>
      <c r="D151" s="70" t="s">
        <v>658</v>
      </c>
      <c r="E151" s="70" t="s">
        <v>781</v>
      </c>
      <c r="F151" s="78" t="s">
        <v>69</v>
      </c>
      <c r="G151" s="77" t="s">
        <v>782</v>
      </c>
      <c r="H151" s="37"/>
      <c r="I151" s="79"/>
      <c r="J151" s="39"/>
      <c r="K151" s="39"/>
      <c r="L151" s="80"/>
      <c r="M151" s="9" t="str">
        <f>IF($J151="AC",COUNTIF($J$5:$J151,"AC"),"")</f>
        <v/>
      </c>
      <c r="N151" s="9" t="str">
        <f>IF($J151="FB",COUNTIF($J$5:$J151,"FB"),"")</f>
        <v/>
      </c>
      <c r="O151" s="9" t="str">
        <f>IF($J151="PC",COUNTIF($J$5:$J151,"PC"),"")</f>
        <v/>
      </c>
      <c r="P151" s="28" t="s">
        <v>783</v>
      </c>
      <c r="Q151" s="28" t="s">
        <v>784</v>
      </c>
    </row>
    <row r="152" spans="1:17" ht="53.25" customHeight="1" x14ac:dyDescent="0.25">
      <c r="A152" s="69">
        <v>6</v>
      </c>
      <c r="B152" s="70" t="s">
        <v>542</v>
      </c>
      <c r="C152" s="71" t="s">
        <v>657</v>
      </c>
      <c r="D152" s="70" t="s">
        <v>658</v>
      </c>
      <c r="E152" s="70" t="s">
        <v>719</v>
      </c>
      <c r="F152" s="68" t="s">
        <v>92</v>
      </c>
      <c r="G152" s="77" t="s">
        <v>785</v>
      </c>
      <c r="H152" s="37"/>
      <c r="I152" s="79"/>
      <c r="J152" s="39"/>
      <c r="K152" s="39"/>
      <c r="L152" s="80"/>
      <c r="M152" s="9" t="str">
        <f>IF($J152="AC",COUNTIF($J$5:$J152,"AC"),"")</f>
        <v/>
      </c>
      <c r="N152" s="9" t="str">
        <f>IF($J152="FB",COUNTIF($J$5:$J152,"FB"),"")</f>
        <v/>
      </c>
      <c r="O152" s="9" t="str">
        <f>IF($J152="PC",COUNTIF($J$5:$J152,"PC"),"")</f>
        <v/>
      </c>
      <c r="P152" s="28" t="s">
        <v>786</v>
      </c>
      <c r="Q152" s="28" t="s">
        <v>787</v>
      </c>
    </row>
    <row r="153" spans="1:17" ht="53.25" customHeight="1" x14ac:dyDescent="0.25">
      <c r="A153" s="69">
        <v>6</v>
      </c>
      <c r="B153" s="70" t="s">
        <v>542</v>
      </c>
      <c r="C153" s="71" t="s">
        <v>657</v>
      </c>
      <c r="D153" s="70" t="s">
        <v>658</v>
      </c>
      <c r="E153" s="70" t="s">
        <v>788</v>
      </c>
      <c r="F153" s="67" t="s">
        <v>165</v>
      </c>
      <c r="G153" s="77" t="s">
        <v>789</v>
      </c>
      <c r="H153" s="37"/>
      <c r="I153" s="79"/>
      <c r="J153" s="39"/>
      <c r="K153" s="39"/>
      <c r="L153" s="80"/>
      <c r="M153" s="9" t="str">
        <f>IF($J153="AC",COUNTIF($J$5:$J153,"AC"),"")</f>
        <v/>
      </c>
      <c r="N153" s="9" t="str">
        <f>IF($J153="FB",COUNTIF($J$5:$J153,"FB"),"")</f>
        <v/>
      </c>
      <c r="O153" s="9" t="str">
        <f>IF($J153="PC",COUNTIF($J$5:$J153,"PC"),"")</f>
        <v/>
      </c>
      <c r="P153" s="28" t="s">
        <v>790</v>
      </c>
      <c r="Q153" s="28" t="s">
        <v>791</v>
      </c>
    </row>
    <row r="154" spans="1:17" ht="53.25" customHeight="1" x14ac:dyDescent="0.25">
      <c r="A154" s="69">
        <v>6</v>
      </c>
      <c r="B154" s="70" t="s">
        <v>542</v>
      </c>
      <c r="C154" s="71" t="s">
        <v>657</v>
      </c>
      <c r="D154" s="70" t="s">
        <v>658</v>
      </c>
      <c r="E154" s="70" t="s">
        <v>792</v>
      </c>
      <c r="F154" s="68" t="s">
        <v>92</v>
      </c>
      <c r="G154" s="77" t="s">
        <v>793</v>
      </c>
      <c r="H154" s="37"/>
      <c r="I154" s="79"/>
      <c r="J154" s="39"/>
      <c r="K154" s="39"/>
      <c r="L154" s="80"/>
      <c r="M154" s="9" t="str">
        <f>IF($J154="AC",COUNTIF($J$5:$J154,"AC"),"")</f>
        <v/>
      </c>
      <c r="N154" s="9" t="str">
        <f>IF($J154="FB",COUNTIF($J$5:$J154,"FB"),"")</f>
        <v/>
      </c>
      <c r="O154" s="9" t="str">
        <f>IF($J154="PC",COUNTIF($J$5:$J154,"PC"),"")</f>
        <v/>
      </c>
      <c r="P154" s="28" t="s">
        <v>794</v>
      </c>
      <c r="Q154" s="28" t="s">
        <v>795</v>
      </c>
    </row>
    <row r="155" spans="1:17" s="27" customFormat="1" ht="81" customHeight="1" x14ac:dyDescent="0.2">
      <c r="A155" s="69">
        <v>6</v>
      </c>
      <c r="B155" s="70" t="s">
        <v>542</v>
      </c>
      <c r="C155" s="71" t="s">
        <v>796</v>
      </c>
      <c r="D155" s="70" t="s">
        <v>797</v>
      </c>
      <c r="E155" s="70" t="s">
        <v>798</v>
      </c>
      <c r="F155" s="66" t="s">
        <v>53</v>
      </c>
      <c r="G155" s="72" t="s">
        <v>799</v>
      </c>
      <c r="H155" s="73"/>
      <c r="I155" s="24" t="s">
        <v>800</v>
      </c>
      <c r="J155" s="25"/>
      <c r="K155" s="25"/>
      <c r="L155" s="26"/>
      <c r="O155" s="27" t="str">
        <f>IF($J155="PC",COUNTIF($J$5:$J155,"PC"),"")</f>
        <v/>
      </c>
      <c r="P155" s="28" t="s">
        <v>801</v>
      </c>
      <c r="Q155" s="28" t="s">
        <v>802</v>
      </c>
    </row>
    <row r="156" spans="1:17" s="27" customFormat="1" ht="67.5" customHeight="1" x14ac:dyDescent="0.2">
      <c r="A156" s="69">
        <v>6</v>
      </c>
      <c r="B156" s="70" t="s">
        <v>542</v>
      </c>
      <c r="C156" s="71" t="s">
        <v>796</v>
      </c>
      <c r="D156" s="70" t="s">
        <v>797</v>
      </c>
      <c r="E156" s="70" t="s">
        <v>803</v>
      </c>
      <c r="F156" s="66" t="s">
        <v>53</v>
      </c>
      <c r="G156" s="72" t="s">
        <v>804</v>
      </c>
      <c r="H156" s="73"/>
      <c r="I156" s="24" t="s">
        <v>805</v>
      </c>
      <c r="J156" s="25"/>
      <c r="K156" s="25"/>
      <c r="L156" s="26"/>
      <c r="O156" s="27" t="str">
        <f>IF($J156="PC",COUNTIF($J$5:$J156,"PC"),"")</f>
        <v/>
      </c>
      <c r="P156" s="28" t="s">
        <v>806</v>
      </c>
      <c r="Q156" s="28" t="s">
        <v>807</v>
      </c>
    </row>
    <row r="157" spans="1:17" s="27" customFormat="1" ht="27.75" customHeight="1" x14ac:dyDescent="0.2">
      <c r="A157" s="69">
        <v>6</v>
      </c>
      <c r="B157" s="70" t="s">
        <v>542</v>
      </c>
      <c r="C157" s="71" t="s">
        <v>796</v>
      </c>
      <c r="D157" s="70" t="s">
        <v>797</v>
      </c>
      <c r="E157" s="70" t="s">
        <v>808</v>
      </c>
      <c r="F157" s="66" t="s">
        <v>53</v>
      </c>
      <c r="G157" s="72" t="s">
        <v>809</v>
      </c>
      <c r="H157" s="73"/>
      <c r="I157" s="24" t="s">
        <v>810</v>
      </c>
      <c r="J157" s="25"/>
      <c r="K157" s="25"/>
      <c r="L157" s="26"/>
      <c r="O157" s="27" t="str">
        <f>IF($J157="PC",COUNTIF($J$5:$J157,"PC"),"")</f>
        <v/>
      </c>
      <c r="P157" s="28" t="s">
        <v>811</v>
      </c>
      <c r="Q157" s="28" t="s">
        <v>812</v>
      </c>
    </row>
    <row r="158" spans="1:17" ht="42" customHeight="1" x14ac:dyDescent="0.25">
      <c r="A158" s="69">
        <v>6</v>
      </c>
      <c r="B158" s="70" t="s">
        <v>542</v>
      </c>
      <c r="C158" s="71" t="s">
        <v>796</v>
      </c>
      <c r="D158" s="70" t="s">
        <v>797</v>
      </c>
      <c r="E158" s="70" t="s">
        <v>813</v>
      </c>
      <c r="F158" s="58" t="s">
        <v>69</v>
      </c>
      <c r="G158" s="77" t="s">
        <v>814</v>
      </c>
      <c r="H158" s="37"/>
      <c r="I158" s="38" t="s">
        <v>815</v>
      </c>
      <c r="J158" s="39"/>
      <c r="K158" s="39"/>
      <c r="L158" s="40"/>
      <c r="O158" s="9" t="str">
        <f>IF($J158="PC",COUNTIF($J$5:$J158,"PC"),"")</f>
        <v/>
      </c>
      <c r="P158" s="28" t="s">
        <v>816</v>
      </c>
      <c r="Q158" s="28" t="s">
        <v>817</v>
      </c>
    </row>
    <row r="159" spans="1:17" ht="42" customHeight="1" x14ac:dyDescent="0.25">
      <c r="A159" s="69">
        <v>6</v>
      </c>
      <c r="B159" s="70" t="s">
        <v>542</v>
      </c>
      <c r="C159" s="71" t="s">
        <v>796</v>
      </c>
      <c r="D159" s="70" t="s">
        <v>797</v>
      </c>
      <c r="E159" s="70" t="s">
        <v>818</v>
      </c>
      <c r="F159" s="68" t="s">
        <v>92</v>
      </c>
      <c r="G159" s="77" t="s">
        <v>819</v>
      </c>
      <c r="H159" s="37"/>
      <c r="I159" s="38" t="s">
        <v>820</v>
      </c>
      <c r="J159" s="39"/>
      <c r="K159" s="39"/>
      <c r="L159" s="40"/>
      <c r="O159" s="9" t="str">
        <f>IF($J159="PC",COUNTIF($J$5:$J159,"PC"),"")</f>
        <v/>
      </c>
      <c r="P159" s="28" t="s">
        <v>821</v>
      </c>
      <c r="Q159" s="28" t="s">
        <v>822</v>
      </c>
    </row>
    <row r="160" spans="1:17" ht="67.5" customHeight="1" x14ac:dyDescent="0.25">
      <c r="A160" s="69">
        <v>6</v>
      </c>
      <c r="B160" s="70" t="s">
        <v>542</v>
      </c>
      <c r="C160" s="71" t="s">
        <v>796</v>
      </c>
      <c r="D160" s="70" t="s">
        <v>797</v>
      </c>
      <c r="E160" s="70" t="s">
        <v>823</v>
      </c>
      <c r="F160" s="78" t="s">
        <v>69</v>
      </c>
      <c r="G160" s="77" t="s">
        <v>824</v>
      </c>
      <c r="H160" s="37"/>
      <c r="I160" s="81" t="s">
        <v>696</v>
      </c>
      <c r="J160" s="39"/>
      <c r="K160" s="39"/>
      <c r="L160" s="80"/>
      <c r="M160" s="9" t="str">
        <f>IF($J160="AC",COUNTIF($J$5:$J160,"AC"),"")</f>
        <v/>
      </c>
      <c r="N160" s="9" t="str">
        <f>IF($J160="FB",COUNTIF($J$5:$J160,"FB"),"")</f>
        <v/>
      </c>
      <c r="O160" s="9" t="str">
        <f>IF($J160="PC",COUNTIF($J$5:$J160,"PC"),"")</f>
        <v/>
      </c>
      <c r="P160" s="28" t="s">
        <v>825</v>
      </c>
      <c r="Q160" s="28" t="s">
        <v>826</v>
      </c>
    </row>
    <row r="161" spans="1:17" ht="53.25" customHeight="1" x14ac:dyDescent="0.25">
      <c r="A161" s="69">
        <v>6</v>
      </c>
      <c r="B161" s="70" t="s">
        <v>542</v>
      </c>
      <c r="C161" s="71" t="s">
        <v>796</v>
      </c>
      <c r="D161" s="70" t="s">
        <v>797</v>
      </c>
      <c r="E161" s="70" t="s">
        <v>827</v>
      </c>
      <c r="F161" s="78" t="s">
        <v>69</v>
      </c>
      <c r="G161" s="77" t="s">
        <v>828</v>
      </c>
      <c r="H161" s="37"/>
      <c r="I161" s="81" t="s">
        <v>696</v>
      </c>
      <c r="J161" s="39"/>
      <c r="K161" s="39"/>
      <c r="L161" s="80"/>
      <c r="M161" s="9" t="str">
        <f>IF($J161="AC",COUNTIF($J$5:$J161,"AC"),"")</f>
        <v/>
      </c>
      <c r="N161" s="9" t="str">
        <f>IF($J161="FB",COUNTIF($J$5:$J161,"FB"),"")</f>
        <v/>
      </c>
      <c r="O161" s="9" t="str">
        <f>IF($J161="PC",COUNTIF($J$5:$J161,"PC"),"")</f>
        <v/>
      </c>
      <c r="P161" s="28" t="s">
        <v>829</v>
      </c>
      <c r="Q161" s="28" t="s">
        <v>830</v>
      </c>
    </row>
    <row r="162" spans="1:17" ht="40.5" customHeight="1" x14ac:dyDescent="0.25">
      <c r="A162" s="69">
        <v>6</v>
      </c>
      <c r="B162" s="70" t="s">
        <v>542</v>
      </c>
      <c r="C162" s="71" t="s">
        <v>796</v>
      </c>
      <c r="D162" s="70" t="s">
        <v>797</v>
      </c>
      <c r="E162" s="70" t="s">
        <v>831</v>
      </c>
      <c r="F162" s="68" t="s">
        <v>92</v>
      </c>
      <c r="G162" s="77" t="s">
        <v>832</v>
      </c>
      <c r="H162" s="37"/>
      <c r="I162" s="79" t="s">
        <v>696</v>
      </c>
      <c r="J162" s="39"/>
      <c r="K162" s="39"/>
      <c r="L162" s="80"/>
      <c r="M162" s="9" t="str">
        <f>IF($J162="AC",COUNTIF($J$5:$J162,"AC"),"")</f>
        <v/>
      </c>
      <c r="N162" s="9" t="str">
        <f>IF($J162="FB",COUNTIF($J$5:$J162,"FB"),"")</f>
        <v/>
      </c>
      <c r="O162" s="9" t="str">
        <f>IF($J162="PC",COUNTIF($J$5:$J162,"PC"),"")</f>
        <v/>
      </c>
      <c r="P162" s="28" t="s">
        <v>833</v>
      </c>
      <c r="Q162" s="28" t="s">
        <v>834</v>
      </c>
    </row>
    <row r="163" spans="1:17" ht="40.5" customHeight="1" x14ac:dyDescent="0.25">
      <c r="A163" s="69">
        <v>6</v>
      </c>
      <c r="B163" s="70" t="s">
        <v>542</v>
      </c>
      <c r="C163" s="71" t="s">
        <v>796</v>
      </c>
      <c r="D163" s="70" t="s">
        <v>797</v>
      </c>
      <c r="E163" s="70" t="s">
        <v>835</v>
      </c>
      <c r="F163" s="68" t="s">
        <v>92</v>
      </c>
      <c r="G163" s="77" t="s">
        <v>836</v>
      </c>
      <c r="H163" s="37"/>
      <c r="I163" s="79" t="s">
        <v>696</v>
      </c>
      <c r="J163" s="39"/>
      <c r="K163" s="39"/>
      <c r="L163" s="80"/>
      <c r="M163" s="9" t="str">
        <f>IF($J163="AC",COUNTIF($J$5:$J163,"AC"),"")</f>
        <v/>
      </c>
      <c r="N163" s="9" t="str">
        <f>IF($J163="FB",COUNTIF($J$5:$J163,"FB"),"")</f>
        <v/>
      </c>
      <c r="O163" s="9" t="str">
        <f>IF($J163="PC",COUNTIF($J$5:$J163,"PC"),"")</f>
        <v/>
      </c>
      <c r="P163" s="28" t="s">
        <v>837</v>
      </c>
      <c r="Q163" s="28" t="s">
        <v>838</v>
      </c>
    </row>
    <row r="164" spans="1:17" s="27" customFormat="1" ht="27.75" customHeight="1" x14ac:dyDescent="0.2">
      <c r="A164" s="69">
        <v>6</v>
      </c>
      <c r="B164" s="70" t="s">
        <v>542</v>
      </c>
      <c r="C164" s="71" t="s">
        <v>796</v>
      </c>
      <c r="D164" s="70" t="s">
        <v>797</v>
      </c>
      <c r="E164" s="70" t="s">
        <v>839</v>
      </c>
      <c r="F164" s="82" t="s">
        <v>53</v>
      </c>
      <c r="G164" s="83" t="s">
        <v>840</v>
      </c>
      <c r="H164" s="84"/>
      <c r="I164" s="85" t="s">
        <v>841</v>
      </c>
      <c r="J164" s="86"/>
      <c r="K164" s="86"/>
      <c r="L164" s="86"/>
      <c r="M164" s="87"/>
      <c r="N164" s="87"/>
      <c r="O164" s="87" t="str">
        <f>IF($J164="PC",COUNTIF($J$5:$J164,"PC"),"")</f>
        <v/>
      </c>
      <c r="P164" s="28" t="s">
        <v>842</v>
      </c>
      <c r="Q164" s="28" t="s">
        <v>843</v>
      </c>
    </row>
    <row r="165" spans="1:17" s="27" customFormat="1" ht="40.5" customHeight="1" x14ac:dyDescent="0.2">
      <c r="A165" s="69">
        <v>6</v>
      </c>
      <c r="B165" s="70" t="s">
        <v>542</v>
      </c>
      <c r="C165" s="71" t="s">
        <v>796</v>
      </c>
      <c r="D165" s="70" t="s">
        <v>797</v>
      </c>
      <c r="E165" s="70" t="s">
        <v>839</v>
      </c>
      <c r="F165" s="82" t="s">
        <v>53</v>
      </c>
      <c r="G165" s="83" t="s">
        <v>844</v>
      </c>
      <c r="H165" s="84"/>
      <c r="I165" s="85" t="s">
        <v>845</v>
      </c>
      <c r="J165" s="86"/>
      <c r="K165" s="86"/>
      <c r="L165" s="86"/>
      <c r="M165" s="87"/>
      <c r="N165" s="87"/>
      <c r="O165" s="87" t="str">
        <f>IF($J165="PC",COUNTIF($J$5:$J165,"PC"),"")</f>
        <v/>
      </c>
      <c r="P165" s="28" t="s">
        <v>846</v>
      </c>
      <c r="Q165" s="28" t="s">
        <v>847</v>
      </c>
    </row>
    <row r="166" spans="1:17" s="27" customFormat="1" ht="40.5" customHeight="1" x14ac:dyDescent="0.2">
      <c r="A166" s="69">
        <v>6</v>
      </c>
      <c r="B166" s="70" t="s">
        <v>542</v>
      </c>
      <c r="C166" s="71" t="s">
        <v>796</v>
      </c>
      <c r="D166" s="70" t="s">
        <v>797</v>
      </c>
      <c r="E166" s="70" t="s">
        <v>839</v>
      </c>
      <c r="F166" s="82" t="s">
        <v>53</v>
      </c>
      <c r="G166" s="83" t="s">
        <v>848</v>
      </c>
      <c r="H166" s="84"/>
      <c r="I166" s="85" t="s">
        <v>849</v>
      </c>
      <c r="J166" s="86"/>
      <c r="K166" s="86"/>
      <c r="L166" s="86"/>
      <c r="M166" s="87"/>
      <c r="N166" s="87"/>
      <c r="O166" s="87" t="str">
        <f>IF($J166="PC",COUNTIF($J$5:$J166,"PC"),"")</f>
        <v/>
      </c>
      <c r="P166" s="28" t="s">
        <v>850</v>
      </c>
      <c r="Q166" s="28" t="s">
        <v>851</v>
      </c>
    </row>
    <row r="167" spans="1:17" ht="40.5" customHeight="1" x14ac:dyDescent="0.25">
      <c r="A167" s="69">
        <v>6</v>
      </c>
      <c r="B167" s="70" t="s">
        <v>542</v>
      </c>
      <c r="C167" s="71" t="s">
        <v>796</v>
      </c>
      <c r="D167" s="70" t="s">
        <v>797</v>
      </c>
      <c r="E167" s="70" t="s">
        <v>852</v>
      </c>
      <c r="F167" s="88" t="s">
        <v>69</v>
      </c>
      <c r="G167" s="77" t="s">
        <v>853</v>
      </c>
      <c r="H167" s="89"/>
      <c r="I167" s="81" t="s">
        <v>854</v>
      </c>
      <c r="J167" s="90"/>
      <c r="K167" s="39"/>
      <c r="L167" s="40"/>
      <c r="M167" s="9" t="str">
        <f>IF($J167="AC",COUNTIF($J$5:$J167,"AC"),"")</f>
        <v/>
      </c>
      <c r="N167" s="9" t="str">
        <f>IF($J167="FB",COUNTIF($J$5:$J167,"FB"),"")</f>
        <v/>
      </c>
      <c r="O167" s="9" t="str">
        <f>IF($J167="PC",COUNTIF($J$5:$J167,"PC"),"")</f>
        <v/>
      </c>
      <c r="P167" s="28" t="s">
        <v>855</v>
      </c>
      <c r="Q167" s="28" t="s">
        <v>856</v>
      </c>
    </row>
    <row r="168" spans="1:17" s="27" customFormat="1" ht="27" customHeight="1" x14ac:dyDescent="0.2">
      <c r="A168" s="69">
        <v>6</v>
      </c>
      <c r="B168" s="70" t="s">
        <v>542</v>
      </c>
      <c r="C168" s="71" t="s">
        <v>796</v>
      </c>
      <c r="D168" s="70" t="s">
        <v>797</v>
      </c>
      <c r="E168" s="70" t="s">
        <v>857</v>
      </c>
      <c r="F168" s="66" t="s">
        <v>53</v>
      </c>
      <c r="G168" s="72" t="s">
        <v>858</v>
      </c>
      <c r="H168" s="73"/>
      <c r="I168" s="24" t="s">
        <v>854</v>
      </c>
      <c r="J168" s="25"/>
      <c r="K168" s="25"/>
      <c r="L168" s="26"/>
      <c r="M168" s="27" t="str">
        <f>IF($J168="AC",COUNTIF($J$5:$J168,"AC"),"")</f>
        <v/>
      </c>
      <c r="N168" s="27" t="str">
        <f>IF($J168="FB",COUNTIF($J$5:$J168,"FB"),"")</f>
        <v/>
      </c>
      <c r="O168" s="27" t="str">
        <f>IF($J168="PC",COUNTIF($J$5:$J168,"PC"),"")</f>
        <v/>
      </c>
      <c r="P168" s="28" t="s">
        <v>859</v>
      </c>
      <c r="Q168" s="28" t="s">
        <v>860</v>
      </c>
    </row>
    <row r="169" spans="1:17" s="27" customFormat="1" ht="67.5" customHeight="1" x14ac:dyDescent="0.2">
      <c r="A169" s="69">
        <v>6</v>
      </c>
      <c r="B169" s="70" t="s">
        <v>542</v>
      </c>
      <c r="C169" s="71" t="s">
        <v>796</v>
      </c>
      <c r="D169" s="70" t="s">
        <v>797</v>
      </c>
      <c r="E169" s="70" t="s">
        <v>861</v>
      </c>
      <c r="F169" s="82" t="s">
        <v>53</v>
      </c>
      <c r="G169" s="83" t="s">
        <v>862</v>
      </c>
      <c r="H169" s="84"/>
      <c r="I169" s="24" t="s">
        <v>863</v>
      </c>
      <c r="J169" s="86"/>
      <c r="K169" s="86"/>
      <c r="L169" s="86"/>
      <c r="M169" s="87" t="str">
        <f>IF($J169="AC",COUNTIF($J$5:$J169,"AC"),"")</f>
        <v/>
      </c>
      <c r="N169" s="87" t="str">
        <f>IF($J169="FB",COUNTIF($J$5:$J169,"FB"),"")</f>
        <v/>
      </c>
      <c r="O169" s="87" t="str">
        <f>IF($J169="PC",COUNTIF($J$5:$J169,"PC"),"")</f>
        <v/>
      </c>
      <c r="P169" s="28" t="s">
        <v>864</v>
      </c>
      <c r="Q169" s="28" t="s">
        <v>865</v>
      </c>
    </row>
    <row r="170" spans="1:17" s="27" customFormat="1" ht="27" customHeight="1" x14ac:dyDescent="0.2">
      <c r="A170" s="69">
        <v>6</v>
      </c>
      <c r="B170" s="70" t="s">
        <v>542</v>
      </c>
      <c r="C170" s="71" t="s">
        <v>796</v>
      </c>
      <c r="D170" s="70" t="s">
        <v>797</v>
      </c>
      <c r="E170" s="70" t="s">
        <v>866</v>
      </c>
      <c r="F170" s="66" t="s">
        <v>53</v>
      </c>
      <c r="G170" s="72" t="s">
        <v>867</v>
      </c>
      <c r="H170" s="73"/>
      <c r="I170" s="24" t="s">
        <v>854</v>
      </c>
      <c r="J170" s="25"/>
      <c r="K170" s="25"/>
      <c r="L170" s="26"/>
      <c r="M170" s="27" t="str">
        <f>IF($J170="AC",COUNTIF($J$5:$J170,"AC"),"")</f>
        <v/>
      </c>
      <c r="N170" s="27" t="str">
        <f>IF($J170="FB",COUNTIF($J$5:$J170,"FB"),"")</f>
        <v/>
      </c>
      <c r="O170" s="27" t="str">
        <f>IF($J170="PC",COUNTIF($J$5:$J170,"PC"),"")</f>
        <v/>
      </c>
      <c r="P170" s="28" t="s">
        <v>868</v>
      </c>
      <c r="Q170" s="28" t="s">
        <v>869</v>
      </c>
    </row>
    <row r="171" spans="1:17" s="27" customFormat="1" ht="27.75" customHeight="1" x14ac:dyDescent="0.2">
      <c r="A171" s="69">
        <v>6</v>
      </c>
      <c r="B171" s="70" t="s">
        <v>542</v>
      </c>
      <c r="C171" s="71" t="s">
        <v>796</v>
      </c>
      <c r="D171" s="70" t="s">
        <v>797</v>
      </c>
      <c r="E171" s="70" t="s">
        <v>870</v>
      </c>
      <c r="F171" s="82" t="s">
        <v>53</v>
      </c>
      <c r="G171" s="83" t="s">
        <v>871</v>
      </c>
      <c r="H171" s="84"/>
      <c r="I171" s="85" t="s">
        <v>872</v>
      </c>
      <c r="J171" s="86"/>
      <c r="K171" s="86"/>
      <c r="L171" s="86"/>
      <c r="M171" s="87"/>
      <c r="N171" s="87"/>
      <c r="O171" s="87" t="str">
        <f>IF($J171="PC",COUNTIF($J$5:$J171,"PC"),"")</f>
        <v/>
      </c>
      <c r="P171" s="28" t="s">
        <v>873</v>
      </c>
      <c r="Q171" s="28" t="s">
        <v>874</v>
      </c>
    </row>
    <row r="172" spans="1:17" ht="40.5" customHeight="1" x14ac:dyDescent="0.25">
      <c r="A172" s="69">
        <v>6</v>
      </c>
      <c r="B172" s="70" t="s">
        <v>542</v>
      </c>
      <c r="C172" s="71" t="s">
        <v>796</v>
      </c>
      <c r="D172" s="70" t="s">
        <v>797</v>
      </c>
      <c r="E172" s="70" t="s">
        <v>875</v>
      </c>
      <c r="F172" s="88" t="s">
        <v>69</v>
      </c>
      <c r="G172" s="77" t="s">
        <v>876</v>
      </c>
      <c r="H172" s="89"/>
      <c r="I172" s="81" t="s">
        <v>854</v>
      </c>
      <c r="J172" s="90"/>
      <c r="K172" s="39"/>
      <c r="L172" s="40"/>
      <c r="M172" s="9" t="str">
        <f>IF($J172="AC",COUNTIF($J$5:$J172,"AC"),"")</f>
        <v/>
      </c>
      <c r="N172" s="9" t="str">
        <f>IF($J172="FB",COUNTIF($J$5:$J172,"FB"),"")</f>
        <v/>
      </c>
      <c r="O172" s="9" t="str">
        <f>IF($J172="PC",COUNTIF($J$5:$J172,"PC"),"")</f>
        <v/>
      </c>
      <c r="P172" s="28" t="s">
        <v>877</v>
      </c>
      <c r="Q172" s="28" t="s">
        <v>878</v>
      </c>
    </row>
    <row r="173" spans="1:17" ht="40.5" customHeight="1" x14ac:dyDescent="0.25">
      <c r="A173" s="69">
        <v>6</v>
      </c>
      <c r="B173" s="70" t="s">
        <v>542</v>
      </c>
      <c r="C173" s="71" t="s">
        <v>796</v>
      </c>
      <c r="D173" s="70" t="s">
        <v>797</v>
      </c>
      <c r="E173" s="70" t="s">
        <v>879</v>
      </c>
      <c r="F173" s="91" t="s">
        <v>92</v>
      </c>
      <c r="G173" s="77" t="s">
        <v>880</v>
      </c>
      <c r="H173" s="89"/>
      <c r="I173" s="81" t="s">
        <v>854</v>
      </c>
      <c r="J173" s="90"/>
      <c r="K173" s="39"/>
      <c r="L173" s="40"/>
      <c r="M173" s="9" t="str">
        <f>IF($J173="AC",COUNTIF($J$5:$J173,"AC"),"")</f>
        <v/>
      </c>
      <c r="N173" s="9" t="str">
        <f>IF($J173="FB",COUNTIF($J$5:$J173,"FB"),"")</f>
        <v/>
      </c>
      <c r="O173" s="9" t="str">
        <f>IF($J173="PC",COUNTIF($J$5:$J173,"PC"),"")</f>
        <v/>
      </c>
      <c r="P173" s="28" t="s">
        <v>881</v>
      </c>
      <c r="Q173" s="28" t="s">
        <v>882</v>
      </c>
    </row>
    <row r="174" spans="1:17" ht="40.5" customHeight="1" x14ac:dyDescent="0.25">
      <c r="A174" s="69">
        <v>6</v>
      </c>
      <c r="B174" s="70" t="s">
        <v>542</v>
      </c>
      <c r="C174" s="71" t="s">
        <v>796</v>
      </c>
      <c r="D174" s="70" t="s">
        <v>797</v>
      </c>
      <c r="E174" s="70" t="s">
        <v>879</v>
      </c>
      <c r="F174" s="92" t="s">
        <v>92</v>
      </c>
      <c r="G174" s="93" t="s">
        <v>883</v>
      </c>
      <c r="H174" s="94"/>
      <c r="I174" s="95" t="s">
        <v>884</v>
      </c>
      <c r="J174" s="96"/>
      <c r="K174" s="96"/>
      <c r="L174" s="96"/>
      <c r="M174" s="97"/>
      <c r="N174" s="97"/>
      <c r="O174" s="97" t="str">
        <f>IF($J174="PC",COUNTIF($J$5:$J174,"PC"),"")</f>
        <v/>
      </c>
      <c r="P174" s="28" t="s">
        <v>885</v>
      </c>
      <c r="Q174" s="28" t="s">
        <v>886</v>
      </c>
    </row>
    <row r="175" spans="1:17" ht="27" customHeight="1" x14ac:dyDescent="0.25">
      <c r="A175" s="69">
        <v>6</v>
      </c>
      <c r="B175" s="70" t="s">
        <v>542</v>
      </c>
      <c r="C175" s="71" t="s">
        <v>796</v>
      </c>
      <c r="D175" s="70" t="s">
        <v>797</v>
      </c>
      <c r="E175" s="70" t="s">
        <v>879</v>
      </c>
      <c r="F175" s="92" t="s">
        <v>92</v>
      </c>
      <c r="G175" s="93" t="s">
        <v>887</v>
      </c>
      <c r="H175" s="94"/>
      <c r="I175" s="95" t="s">
        <v>888</v>
      </c>
      <c r="J175" s="96"/>
      <c r="K175" s="96"/>
      <c r="L175" s="96"/>
      <c r="M175" s="97"/>
      <c r="N175" s="97"/>
      <c r="O175" s="97" t="str">
        <f>IF($J175="PC",COUNTIF($J$5:$J175,"PC"),"")</f>
        <v/>
      </c>
      <c r="P175" s="28" t="s">
        <v>889</v>
      </c>
      <c r="Q175" s="28" t="s">
        <v>890</v>
      </c>
    </row>
    <row r="176" spans="1:17" s="27" customFormat="1" ht="67.5" customHeight="1" x14ac:dyDescent="0.2">
      <c r="A176" s="69">
        <v>6</v>
      </c>
      <c r="B176" s="70" t="s">
        <v>542</v>
      </c>
      <c r="C176" s="71" t="s">
        <v>891</v>
      </c>
      <c r="D176" s="70" t="s">
        <v>892</v>
      </c>
      <c r="E176" s="70" t="s">
        <v>893</v>
      </c>
      <c r="F176" s="66" t="s">
        <v>53</v>
      </c>
      <c r="G176" s="72" t="s">
        <v>894</v>
      </c>
      <c r="H176" s="73"/>
      <c r="I176" s="24" t="s">
        <v>895</v>
      </c>
      <c r="J176" s="25"/>
      <c r="K176" s="25"/>
      <c r="L176" s="26"/>
      <c r="O176" s="27" t="str">
        <f>IF($J176="PC",COUNTIF($J$5:$J176,"PC"),"")</f>
        <v/>
      </c>
      <c r="P176" s="28" t="s">
        <v>896</v>
      </c>
      <c r="Q176" s="28" t="s">
        <v>897</v>
      </c>
    </row>
    <row r="177" spans="1:17" s="27" customFormat="1" ht="67.5" customHeight="1" x14ac:dyDescent="0.2">
      <c r="A177" s="69">
        <v>6</v>
      </c>
      <c r="B177" s="70" t="s">
        <v>542</v>
      </c>
      <c r="C177" s="71" t="s">
        <v>891</v>
      </c>
      <c r="D177" s="70" t="s">
        <v>892</v>
      </c>
      <c r="E177" s="70" t="s">
        <v>898</v>
      </c>
      <c r="F177" s="66" t="s">
        <v>53</v>
      </c>
      <c r="G177" s="72" t="s">
        <v>899</v>
      </c>
      <c r="H177" s="73"/>
      <c r="I177" s="24" t="s">
        <v>900</v>
      </c>
      <c r="J177" s="25"/>
      <c r="K177" s="25"/>
      <c r="L177" s="26"/>
      <c r="O177" s="27" t="str">
        <f>IF($J177="PC",COUNTIF($J$5:$J177,"PC"),"")</f>
        <v/>
      </c>
      <c r="P177" s="28" t="s">
        <v>901</v>
      </c>
      <c r="Q177" s="28" t="s">
        <v>902</v>
      </c>
    </row>
    <row r="178" spans="1:17" s="27" customFormat="1" ht="67.5" customHeight="1" x14ac:dyDescent="0.2">
      <c r="A178" s="69">
        <v>6</v>
      </c>
      <c r="B178" s="70" t="s">
        <v>542</v>
      </c>
      <c r="C178" s="71" t="s">
        <v>891</v>
      </c>
      <c r="D178" s="70" t="s">
        <v>892</v>
      </c>
      <c r="E178" s="70" t="s">
        <v>903</v>
      </c>
      <c r="F178" s="66" t="s">
        <v>53</v>
      </c>
      <c r="G178" s="72" t="s">
        <v>904</v>
      </c>
      <c r="H178" s="73"/>
      <c r="I178" s="24" t="s">
        <v>905</v>
      </c>
      <c r="J178" s="25"/>
      <c r="K178" s="25"/>
      <c r="L178" s="26"/>
      <c r="O178" s="27" t="str">
        <f>IF($J178="PC",COUNTIF($J$5:$J178,"PC"),"")</f>
        <v/>
      </c>
      <c r="P178" s="28" t="s">
        <v>906</v>
      </c>
      <c r="Q178" s="28" t="s">
        <v>907</v>
      </c>
    </row>
    <row r="179" spans="1:17" s="27" customFormat="1" ht="67.5" customHeight="1" x14ac:dyDescent="0.2">
      <c r="A179" s="69">
        <v>6</v>
      </c>
      <c r="B179" s="70" t="s">
        <v>542</v>
      </c>
      <c r="C179" s="71" t="s">
        <v>891</v>
      </c>
      <c r="D179" s="70" t="s">
        <v>892</v>
      </c>
      <c r="E179" s="70" t="s">
        <v>908</v>
      </c>
      <c r="F179" s="66" t="s">
        <v>53</v>
      </c>
      <c r="G179" s="72" t="s">
        <v>909</v>
      </c>
      <c r="H179" s="73"/>
      <c r="I179" s="24" t="s">
        <v>910</v>
      </c>
      <c r="J179" s="25"/>
      <c r="K179" s="25"/>
      <c r="L179" s="26"/>
      <c r="O179" s="27" t="str">
        <f>IF($J179="PC",COUNTIF($J$5:$J179,"PC"),"")</f>
        <v/>
      </c>
      <c r="P179" s="28" t="s">
        <v>911</v>
      </c>
      <c r="Q179" s="28" t="s">
        <v>912</v>
      </c>
    </row>
    <row r="180" spans="1:17" ht="45.75" customHeight="1" x14ac:dyDescent="0.25">
      <c r="A180" s="69">
        <v>6</v>
      </c>
      <c r="B180" s="70" t="s">
        <v>542</v>
      </c>
      <c r="C180" s="71" t="s">
        <v>891</v>
      </c>
      <c r="D180" s="70" t="s">
        <v>892</v>
      </c>
      <c r="E180" s="70" t="s">
        <v>913</v>
      </c>
      <c r="F180" s="58" t="s">
        <v>69</v>
      </c>
      <c r="G180" s="77" t="s">
        <v>914</v>
      </c>
      <c r="H180" s="37"/>
      <c r="I180" s="38" t="s">
        <v>915</v>
      </c>
      <c r="J180" s="39"/>
      <c r="K180" s="39"/>
      <c r="L180" s="40"/>
      <c r="O180" s="9" t="str">
        <f>IF($J180="PC",COUNTIF($J$5:$J180,"PC"),"")</f>
        <v/>
      </c>
      <c r="P180" s="28" t="s">
        <v>916</v>
      </c>
      <c r="Q180" s="28" t="s">
        <v>917</v>
      </c>
    </row>
    <row r="181" spans="1:17" ht="45.75" customHeight="1" x14ac:dyDescent="0.25">
      <c r="A181" s="69">
        <v>6</v>
      </c>
      <c r="B181" s="70" t="s">
        <v>542</v>
      </c>
      <c r="C181" s="71" t="s">
        <v>891</v>
      </c>
      <c r="D181" s="70" t="s">
        <v>892</v>
      </c>
      <c r="E181" s="70" t="s">
        <v>918</v>
      </c>
      <c r="F181" s="58" t="s">
        <v>69</v>
      </c>
      <c r="G181" s="77" t="s">
        <v>919</v>
      </c>
      <c r="H181" s="37"/>
      <c r="I181" s="38" t="s">
        <v>920</v>
      </c>
      <c r="J181" s="39"/>
      <c r="K181" s="39"/>
      <c r="L181" s="40"/>
      <c r="O181" s="9" t="str">
        <f>IF($J181="PC",COUNTIF($J$5:$J181,"PC"),"")</f>
        <v/>
      </c>
      <c r="P181" s="28" t="s">
        <v>921</v>
      </c>
      <c r="Q181" s="28" t="s">
        <v>922</v>
      </c>
    </row>
    <row r="182" spans="1:17" ht="45.75" customHeight="1" x14ac:dyDescent="0.25">
      <c r="A182" s="69">
        <v>6</v>
      </c>
      <c r="B182" s="70" t="s">
        <v>542</v>
      </c>
      <c r="C182" s="71" t="s">
        <v>891</v>
      </c>
      <c r="D182" s="70" t="s">
        <v>892</v>
      </c>
      <c r="E182" s="70" t="s">
        <v>923</v>
      </c>
      <c r="F182" s="58" t="s">
        <v>69</v>
      </c>
      <c r="G182" s="77" t="s">
        <v>924</v>
      </c>
      <c r="H182" s="37"/>
      <c r="I182" s="38" t="s">
        <v>925</v>
      </c>
      <c r="J182" s="39"/>
      <c r="K182" s="39"/>
      <c r="L182" s="40"/>
      <c r="O182" s="9" t="str">
        <f>IF($J182="PC",COUNTIF($J$5:$J182,"PC"),"")</f>
        <v/>
      </c>
      <c r="P182" s="28" t="s">
        <v>926</v>
      </c>
      <c r="Q182" s="28" t="s">
        <v>927</v>
      </c>
    </row>
    <row r="183" spans="1:17" ht="40.5" customHeight="1" x14ac:dyDescent="0.25">
      <c r="A183" s="69">
        <v>6</v>
      </c>
      <c r="B183" s="70" t="s">
        <v>542</v>
      </c>
      <c r="C183" s="71" t="s">
        <v>891</v>
      </c>
      <c r="D183" s="70" t="s">
        <v>892</v>
      </c>
      <c r="E183" s="70" t="s">
        <v>928</v>
      </c>
      <c r="F183" s="78" t="s">
        <v>69</v>
      </c>
      <c r="G183" s="77" t="s">
        <v>929</v>
      </c>
      <c r="H183" s="37"/>
      <c r="I183" s="79" t="s">
        <v>696</v>
      </c>
      <c r="J183" s="39"/>
      <c r="K183" s="39"/>
      <c r="L183" s="80"/>
      <c r="M183" s="9" t="str">
        <f>IF($J183="AC",COUNTIF($J$5:$J183,"AC"),"")</f>
        <v/>
      </c>
      <c r="N183" s="9" t="str">
        <f>IF($J183="FB",COUNTIF($J$5:$J183,"FB"),"")</f>
        <v/>
      </c>
      <c r="O183" s="9" t="str">
        <f>IF($J183="PC",COUNTIF($J$5:$J183,"PC"),"")</f>
        <v/>
      </c>
      <c r="P183" s="28" t="s">
        <v>930</v>
      </c>
      <c r="Q183" s="28" t="s">
        <v>931</v>
      </c>
    </row>
    <row r="184" spans="1:17" ht="40.5" customHeight="1" x14ac:dyDescent="0.25">
      <c r="A184" s="69">
        <v>6</v>
      </c>
      <c r="B184" s="70" t="s">
        <v>542</v>
      </c>
      <c r="C184" s="71" t="s">
        <v>891</v>
      </c>
      <c r="D184" s="70" t="s">
        <v>892</v>
      </c>
      <c r="E184" s="70" t="s">
        <v>932</v>
      </c>
      <c r="F184" s="68" t="s">
        <v>92</v>
      </c>
      <c r="G184" s="77" t="s">
        <v>933</v>
      </c>
      <c r="H184" s="37"/>
      <c r="I184" s="79" t="s">
        <v>696</v>
      </c>
      <c r="J184" s="39"/>
      <c r="K184" s="39"/>
      <c r="L184" s="80"/>
      <c r="M184" s="9" t="str">
        <f>IF($J184="AC",COUNTIF($J$5:$J184,"AC"),"")</f>
        <v/>
      </c>
      <c r="N184" s="9" t="str">
        <f>IF($J184="FB",COUNTIF($J$5:$J184,"FB"),"")</f>
        <v/>
      </c>
      <c r="O184" s="9" t="str">
        <f>IF($J184="PC",COUNTIF($J$5:$J184,"PC"),"")</f>
        <v/>
      </c>
      <c r="P184" s="28" t="s">
        <v>934</v>
      </c>
      <c r="Q184" s="28" t="s">
        <v>935</v>
      </c>
    </row>
    <row r="185" spans="1:17" s="27" customFormat="1" ht="148.5" customHeight="1" x14ac:dyDescent="0.2">
      <c r="A185" s="69">
        <v>6</v>
      </c>
      <c r="B185" s="70" t="s">
        <v>542</v>
      </c>
      <c r="C185" s="71" t="s">
        <v>891</v>
      </c>
      <c r="D185" s="70" t="s">
        <v>892</v>
      </c>
      <c r="E185" s="70" t="s">
        <v>936</v>
      </c>
      <c r="F185" s="66" t="s">
        <v>53</v>
      </c>
      <c r="G185" s="72" t="s">
        <v>937</v>
      </c>
      <c r="H185" s="73"/>
      <c r="I185" s="24" t="s">
        <v>938</v>
      </c>
      <c r="J185" s="25"/>
      <c r="K185" s="25"/>
      <c r="L185" s="26"/>
      <c r="O185" s="27" t="str">
        <f>IF($J185="PC",COUNTIF($J$5:$J185,"PC"),"")</f>
        <v/>
      </c>
      <c r="P185" s="28" t="s">
        <v>939</v>
      </c>
      <c r="Q185" s="28" t="s">
        <v>940</v>
      </c>
    </row>
    <row r="186" spans="1:17" s="27" customFormat="1" ht="108" customHeight="1" x14ac:dyDescent="0.2">
      <c r="A186" s="69">
        <v>6</v>
      </c>
      <c r="B186" s="70" t="s">
        <v>542</v>
      </c>
      <c r="C186" s="71" t="s">
        <v>891</v>
      </c>
      <c r="D186" s="70" t="s">
        <v>892</v>
      </c>
      <c r="E186" s="70" t="s">
        <v>941</v>
      </c>
      <c r="F186" s="82" t="s">
        <v>53</v>
      </c>
      <c r="G186" s="83" t="s">
        <v>942</v>
      </c>
      <c r="H186" s="84"/>
      <c r="I186" s="85" t="s">
        <v>943</v>
      </c>
      <c r="J186" s="86"/>
      <c r="K186" s="86"/>
      <c r="L186" s="86"/>
      <c r="M186" s="87"/>
      <c r="N186" s="87"/>
      <c r="O186" s="87" t="str">
        <f>IF($J186="PC",COUNTIF($J$5:$J186,"PC"),"")</f>
        <v/>
      </c>
      <c r="P186" s="28" t="s">
        <v>944</v>
      </c>
      <c r="Q186" s="28" t="s">
        <v>945</v>
      </c>
    </row>
    <row r="187" spans="1:17" s="27" customFormat="1" ht="121.5" customHeight="1" x14ac:dyDescent="0.2">
      <c r="A187" s="69">
        <v>6</v>
      </c>
      <c r="B187" s="70" t="s">
        <v>542</v>
      </c>
      <c r="C187" s="71" t="s">
        <v>891</v>
      </c>
      <c r="D187" s="70" t="s">
        <v>892</v>
      </c>
      <c r="E187" s="70" t="s">
        <v>941</v>
      </c>
      <c r="F187" s="82" t="s">
        <v>53</v>
      </c>
      <c r="G187" s="83" t="s">
        <v>946</v>
      </c>
      <c r="H187" s="84"/>
      <c r="I187" s="85" t="s">
        <v>947</v>
      </c>
      <c r="J187" s="86"/>
      <c r="K187" s="86"/>
      <c r="L187" s="86"/>
      <c r="M187" s="87"/>
      <c r="N187" s="87"/>
      <c r="O187" s="87" t="str">
        <f>IF($J187="PC",COUNTIF($J$5:$J187,"PC"),"")</f>
        <v/>
      </c>
      <c r="P187" s="28" t="s">
        <v>948</v>
      </c>
      <c r="Q187" s="28" t="s">
        <v>949</v>
      </c>
    </row>
    <row r="188" spans="1:17" s="27" customFormat="1" ht="108" customHeight="1" x14ac:dyDescent="0.2">
      <c r="A188" s="69">
        <v>6</v>
      </c>
      <c r="B188" s="70" t="s">
        <v>542</v>
      </c>
      <c r="C188" s="71" t="s">
        <v>891</v>
      </c>
      <c r="D188" s="70" t="s">
        <v>892</v>
      </c>
      <c r="E188" s="70" t="s">
        <v>950</v>
      </c>
      <c r="F188" s="82" t="s">
        <v>53</v>
      </c>
      <c r="G188" s="83" t="s">
        <v>951</v>
      </c>
      <c r="H188" s="84"/>
      <c r="I188" s="85" t="s">
        <v>952</v>
      </c>
      <c r="J188" s="86"/>
      <c r="K188" s="86"/>
      <c r="L188" s="86"/>
      <c r="M188" s="87"/>
      <c r="N188" s="87"/>
      <c r="O188" s="87" t="str">
        <f>IF($J188="PC",COUNTIF($J$5:$J188,"PC"),"")</f>
        <v/>
      </c>
      <c r="P188" s="28" t="s">
        <v>953</v>
      </c>
      <c r="Q188" s="28" t="s">
        <v>954</v>
      </c>
    </row>
    <row r="189" spans="1:17" s="27" customFormat="1" ht="108" customHeight="1" x14ac:dyDescent="0.2">
      <c r="A189" s="69">
        <v>6</v>
      </c>
      <c r="B189" s="70" t="s">
        <v>542</v>
      </c>
      <c r="C189" s="71" t="s">
        <v>891</v>
      </c>
      <c r="D189" s="70" t="s">
        <v>892</v>
      </c>
      <c r="E189" s="70" t="s">
        <v>950</v>
      </c>
      <c r="F189" s="82" t="s">
        <v>53</v>
      </c>
      <c r="G189" s="83" t="s">
        <v>955</v>
      </c>
      <c r="H189" s="84"/>
      <c r="I189" s="85" t="s">
        <v>956</v>
      </c>
      <c r="J189" s="86"/>
      <c r="K189" s="86"/>
      <c r="L189" s="86"/>
      <c r="M189" s="87" t="str">
        <f>IF($J189="AC",COUNTIF($J$5:$J189,"AC"),"")</f>
        <v/>
      </c>
      <c r="N189" s="87" t="str">
        <f>IF($J189="FB",COUNTIF($J$5:$J189,"FB"),"")</f>
        <v/>
      </c>
      <c r="O189" s="87" t="str">
        <f>IF($J189="PC",COUNTIF($J$5:$J189,"PC"),"")</f>
        <v/>
      </c>
      <c r="P189" s="28" t="s">
        <v>957</v>
      </c>
      <c r="Q189" s="28" t="s">
        <v>958</v>
      </c>
    </row>
    <row r="190" spans="1:17" s="27" customFormat="1" ht="94.5" customHeight="1" x14ac:dyDescent="0.2">
      <c r="A190" s="69">
        <v>6</v>
      </c>
      <c r="B190" s="70" t="s">
        <v>542</v>
      </c>
      <c r="C190" s="71" t="s">
        <v>891</v>
      </c>
      <c r="D190" s="70" t="s">
        <v>892</v>
      </c>
      <c r="E190" s="70" t="s">
        <v>950</v>
      </c>
      <c r="F190" s="82" t="s">
        <v>53</v>
      </c>
      <c r="G190" s="83" t="s">
        <v>959</v>
      </c>
      <c r="H190" s="84"/>
      <c r="I190" s="85" t="s">
        <v>960</v>
      </c>
      <c r="J190" s="86"/>
      <c r="K190" s="86"/>
      <c r="L190" s="86"/>
      <c r="M190" s="87"/>
      <c r="N190" s="87"/>
      <c r="O190" s="87" t="str">
        <f>IF($J190="PC",COUNTIF($J$5:$J190,"PC"),"")</f>
        <v/>
      </c>
      <c r="P190" s="28" t="s">
        <v>961</v>
      </c>
      <c r="Q190" s="28" t="s">
        <v>962</v>
      </c>
    </row>
    <row r="191" spans="1:17" s="27" customFormat="1" ht="216" customHeight="1" x14ac:dyDescent="0.2">
      <c r="A191" s="69">
        <v>6</v>
      </c>
      <c r="B191" s="70" t="s">
        <v>542</v>
      </c>
      <c r="C191" s="71" t="s">
        <v>891</v>
      </c>
      <c r="D191" s="70" t="s">
        <v>892</v>
      </c>
      <c r="E191" s="70" t="s">
        <v>950</v>
      </c>
      <c r="F191" s="82" t="s">
        <v>53</v>
      </c>
      <c r="G191" s="83" t="s">
        <v>963</v>
      </c>
      <c r="H191" s="84"/>
      <c r="I191" s="85" t="s">
        <v>964</v>
      </c>
      <c r="J191" s="86"/>
      <c r="K191" s="86"/>
      <c r="L191" s="86"/>
      <c r="M191" s="87"/>
      <c r="N191" s="87"/>
      <c r="O191" s="87" t="str">
        <f>IF($J191="PC",COUNTIF($J$5:$J191,"PC"),"")</f>
        <v/>
      </c>
      <c r="P191" s="28" t="s">
        <v>965</v>
      </c>
      <c r="Q191" s="28" t="s">
        <v>966</v>
      </c>
    </row>
    <row r="192" spans="1:17" s="27" customFormat="1" ht="282.75" customHeight="1" x14ac:dyDescent="0.2">
      <c r="A192" s="69">
        <v>6</v>
      </c>
      <c r="B192" s="70" t="s">
        <v>542</v>
      </c>
      <c r="C192" s="71" t="s">
        <v>891</v>
      </c>
      <c r="D192" s="70" t="s">
        <v>892</v>
      </c>
      <c r="E192" s="70" t="s">
        <v>950</v>
      </c>
      <c r="F192" s="82" t="s">
        <v>53</v>
      </c>
      <c r="G192" s="83" t="s">
        <v>967</v>
      </c>
      <c r="H192" s="84"/>
      <c r="I192" s="85" t="s">
        <v>968</v>
      </c>
      <c r="J192" s="86"/>
      <c r="K192" s="86"/>
      <c r="L192" s="86"/>
      <c r="M192" s="87"/>
      <c r="N192" s="87"/>
      <c r="O192" s="87" t="str">
        <f>IF($J192="PC",COUNTIF($J$5:$J192,"PC"),"")</f>
        <v/>
      </c>
      <c r="P192" s="28" t="s">
        <v>969</v>
      </c>
      <c r="Q192" s="28" t="s">
        <v>970</v>
      </c>
    </row>
    <row r="193" spans="1:17" s="27" customFormat="1" ht="94.5" customHeight="1" x14ac:dyDescent="0.2">
      <c r="A193" s="69">
        <v>6</v>
      </c>
      <c r="B193" s="70" t="s">
        <v>542</v>
      </c>
      <c r="C193" s="71" t="s">
        <v>891</v>
      </c>
      <c r="D193" s="70" t="s">
        <v>892</v>
      </c>
      <c r="E193" s="70" t="s">
        <v>971</v>
      </c>
      <c r="F193" s="82" t="s">
        <v>53</v>
      </c>
      <c r="G193" s="83" t="s">
        <v>972</v>
      </c>
      <c r="H193" s="84"/>
      <c r="I193" s="85" t="s">
        <v>973</v>
      </c>
      <c r="J193" s="86"/>
      <c r="K193" s="86"/>
      <c r="L193" s="86"/>
      <c r="M193" s="87"/>
      <c r="N193" s="87"/>
      <c r="O193" s="87" t="str">
        <f>IF($J193="PC",COUNTIF($J$5:$J193,"PC"),"")</f>
        <v/>
      </c>
      <c r="P193" s="28" t="s">
        <v>974</v>
      </c>
      <c r="Q193" s="28" t="s">
        <v>975</v>
      </c>
    </row>
    <row r="194" spans="1:17" s="27" customFormat="1" ht="81" customHeight="1" x14ac:dyDescent="0.2">
      <c r="A194" s="69">
        <v>6</v>
      </c>
      <c r="B194" s="70" t="s">
        <v>542</v>
      </c>
      <c r="C194" s="71" t="s">
        <v>891</v>
      </c>
      <c r="D194" s="70" t="s">
        <v>892</v>
      </c>
      <c r="E194" s="70" t="s">
        <v>971</v>
      </c>
      <c r="F194" s="82" t="s">
        <v>53</v>
      </c>
      <c r="G194" s="83" t="s">
        <v>976</v>
      </c>
      <c r="H194" s="84"/>
      <c r="I194" s="85" t="s">
        <v>977</v>
      </c>
      <c r="J194" s="86"/>
      <c r="K194" s="86"/>
      <c r="L194" s="86"/>
      <c r="M194" s="87" t="str">
        <f>IF($J194="AC",COUNTIF($J$5:$J194,"AC"),"")</f>
        <v/>
      </c>
      <c r="N194" s="87" t="str">
        <f>IF($J194="FB",COUNTIF($J$5:$J194,"FB"),"")</f>
        <v/>
      </c>
      <c r="O194" s="87" t="str">
        <f>IF($J194="PC",COUNTIF($J$5:$J194,"PC"),"")</f>
        <v/>
      </c>
      <c r="P194" s="28" t="s">
        <v>978</v>
      </c>
      <c r="Q194" s="28" t="s">
        <v>979</v>
      </c>
    </row>
    <row r="195" spans="1:17" ht="40.5" customHeight="1" x14ac:dyDescent="0.25">
      <c r="A195" s="69">
        <v>6</v>
      </c>
      <c r="B195" s="70" t="s">
        <v>542</v>
      </c>
      <c r="C195" s="71" t="s">
        <v>891</v>
      </c>
      <c r="D195" s="70" t="s">
        <v>892</v>
      </c>
      <c r="E195" s="70" t="s">
        <v>980</v>
      </c>
      <c r="F195" s="98" t="s">
        <v>69</v>
      </c>
      <c r="G195" s="93" t="s">
        <v>981</v>
      </c>
      <c r="H195" s="94"/>
      <c r="I195" s="95" t="s">
        <v>982</v>
      </c>
      <c r="J195" s="96"/>
      <c r="K195" s="96"/>
      <c r="L195" s="96"/>
      <c r="M195" s="97"/>
      <c r="N195" s="97"/>
      <c r="O195" s="97" t="str">
        <f>IF($J195="PC",COUNTIF($J$5:$J195,"PC"),"")</f>
        <v/>
      </c>
      <c r="P195" s="28" t="s">
        <v>983</v>
      </c>
      <c r="Q195" s="28" t="s">
        <v>984</v>
      </c>
    </row>
    <row r="196" spans="1:17" ht="27" customHeight="1" x14ac:dyDescent="0.25">
      <c r="A196" s="69">
        <v>6</v>
      </c>
      <c r="B196" s="70" t="s">
        <v>542</v>
      </c>
      <c r="C196" s="71" t="s">
        <v>891</v>
      </c>
      <c r="D196" s="70" t="s">
        <v>892</v>
      </c>
      <c r="E196" s="70" t="s">
        <v>980</v>
      </c>
      <c r="F196" s="98" t="s">
        <v>69</v>
      </c>
      <c r="G196" s="93" t="s">
        <v>985</v>
      </c>
      <c r="H196" s="94"/>
      <c r="I196" s="95" t="s">
        <v>986</v>
      </c>
      <c r="J196" s="96"/>
      <c r="K196" s="96"/>
      <c r="L196" s="96"/>
      <c r="M196" s="97"/>
      <c r="N196" s="97"/>
      <c r="O196" s="97" t="str">
        <f>IF($J196="PC",COUNTIF($J$5:$J196,"PC"),"")</f>
        <v/>
      </c>
      <c r="P196" s="28" t="s">
        <v>987</v>
      </c>
      <c r="Q196" s="28" t="s">
        <v>988</v>
      </c>
    </row>
    <row r="197" spans="1:17" ht="27" customHeight="1" x14ac:dyDescent="0.25">
      <c r="A197" s="69">
        <v>6</v>
      </c>
      <c r="B197" s="70" t="s">
        <v>542</v>
      </c>
      <c r="C197" s="71" t="s">
        <v>891</v>
      </c>
      <c r="D197" s="70" t="s">
        <v>892</v>
      </c>
      <c r="E197" s="70" t="s">
        <v>980</v>
      </c>
      <c r="F197" s="98" t="s">
        <v>69</v>
      </c>
      <c r="G197" s="93" t="s">
        <v>989</v>
      </c>
      <c r="H197" s="94"/>
      <c r="I197" s="95" t="s">
        <v>990</v>
      </c>
      <c r="J197" s="96"/>
      <c r="K197" s="96"/>
      <c r="L197" s="96"/>
      <c r="M197" s="97"/>
      <c r="N197" s="97"/>
      <c r="O197" s="97" t="str">
        <f>IF($J197="PC",COUNTIF($J$5:$J197,"PC"),"")</f>
        <v/>
      </c>
      <c r="P197" s="28" t="s">
        <v>991</v>
      </c>
      <c r="Q197" s="28" t="s">
        <v>992</v>
      </c>
    </row>
    <row r="198" spans="1:17" ht="27" customHeight="1" x14ac:dyDescent="0.25">
      <c r="A198" s="69">
        <v>6</v>
      </c>
      <c r="B198" s="70" t="s">
        <v>542</v>
      </c>
      <c r="C198" s="71" t="s">
        <v>891</v>
      </c>
      <c r="D198" s="70" t="s">
        <v>892</v>
      </c>
      <c r="E198" s="70" t="s">
        <v>980</v>
      </c>
      <c r="F198" s="98" t="s">
        <v>69</v>
      </c>
      <c r="G198" s="93" t="s">
        <v>993</v>
      </c>
      <c r="H198" s="94"/>
      <c r="I198" s="95" t="s">
        <v>994</v>
      </c>
      <c r="J198" s="96"/>
      <c r="K198" s="96"/>
      <c r="L198" s="96"/>
      <c r="M198" s="97" t="str">
        <f>IF($J198="AC",COUNTIF($J$5:$J198,"AC"),"")</f>
        <v/>
      </c>
      <c r="N198" s="97" t="str">
        <f>IF($J198="FB",COUNTIF($J$5:$J198,"FB"),"")</f>
        <v/>
      </c>
      <c r="O198" s="97" t="str">
        <f>IF($J198="PC",COUNTIF($J$5:$J198,"PC"),"")</f>
        <v/>
      </c>
      <c r="P198" s="28" t="s">
        <v>995</v>
      </c>
      <c r="Q198" s="28" t="s">
        <v>996</v>
      </c>
    </row>
    <row r="199" spans="1:17" ht="27" customHeight="1" x14ac:dyDescent="0.25">
      <c r="A199" s="69">
        <v>6</v>
      </c>
      <c r="B199" s="70" t="s">
        <v>542</v>
      </c>
      <c r="C199" s="71" t="s">
        <v>891</v>
      </c>
      <c r="D199" s="70" t="s">
        <v>892</v>
      </c>
      <c r="E199" s="70" t="s">
        <v>980</v>
      </c>
      <c r="F199" s="98" t="s">
        <v>69</v>
      </c>
      <c r="G199" s="93" t="s">
        <v>997</v>
      </c>
      <c r="H199" s="94"/>
      <c r="I199" s="95" t="s">
        <v>994</v>
      </c>
      <c r="J199" s="96"/>
      <c r="K199" s="96"/>
      <c r="L199" s="96"/>
      <c r="M199" s="97" t="str">
        <f>IF($J199="AC",COUNTIF($J$5:$J199,"AC"),"")</f>
        <v/>
      </c>
      <c r="N199" s="97" t="str">
        <f>IF($J199="FB",COUNTIF($J$5:$J199,"FB"),"")</f>
        <v/>
      </c>
      <c r="O199" s="97" t="str">
        <f>IF($J199="PC",COUNTIF($J$5:$J199,"PC"),"")</f>
        <v/>
      </c>
      <c r="P199" s="28" t="s">
        <v>998</v>
      </c>
      <c r="Q199" s="28" t="s">
        <v>999</v>
      </c>
    </row>
    <row r="200" spans="1:17" s="27" customFormat="1" ht="40.5" customHeight="1" x14ac:dyDescent="0.2">
      <c r="A200" s="69">
        <v>6</v>
      </c>
      <c r="B200" s="70" t="s">
        <v>542</v>
      </c>
      <c r="C200" s="71" t="s">
        <v>891</v>
      </c>
      <c r="D200" s="70" t="s">
        <v>892</v>
      </c>
      <c r="E200" s="70" t="s">
        <v>1000</v>
      </c>
      <c r="F200" s="82" t="s">
        <v>53</v>
      </c>
      <c r="G200" s="83" t="s">
        <v>1001</v>
      </c>
      <c r="H200" s="84"/>
      <c r="I200" s="85" t="s">
        <v>1002</v>
      </c>
      <c r="J200" s="86"/>
      <c r="K200" s="86"/>
      <c r="L200" s="86"/>
      <c r="M200" s="87"/>
      <c r="N200" s="87"/>
      <c r="O200" s="87" t="str">
        <f>IF($J200="PC",COUNTIF($J$5:$J200,"PC"),"")</f>
        <v/>
      </c>
      <c r="P200" s="28" t="s">
        <v>1003</v>
      </c>
      <c r="Q200" s="28" t="s">
        <v>1004</v>
      </c>
    </row>
    <row r="201" spans="1:17" s="27" customFormat="1" ht="40.5" customHeight="1" x14ac:dyDescent="0.2">
      <c r="A201" s="69">
        <v>6</v>
      </c>
      <c r="B201" s="70" t="s">
        <v>542</v>
      </c>
      <c r="C201" s="71" t="s">
        <v>891</v>
      </c>
      <c r="D201" s="70" t="s">
        <v>892</v>
      </c>
      <c r="E201" s="70" t="s">
        <v>1000</v>
      </c>
      <c r="F201" s="82" t="s">
        <v>53</v>
      </c>
      <c r="G201" s="83" t="s">
        <v>1005</v>
      </c>
      <c r="H201" s="84"/>
      <c r="I201" s="85" t="s">
        <v>1006</v>
      </c>
      <c r="J201" s="86"/>
      <c r="K201" s="86"/>
      <c r="L201" s="86"/>
      <c r="M201" s="87" t="str">
        <f>IF($J201="AC",COUNTIF($J$5:$J201,"AC"),"")</f>
        <v/>
      </c>
      <c r="N201" s="87" t="str">
        <f>IF($J201="FB",COUNTIF($J$5:$J201,"FB"),"")</f>
        <v/>
      </c>
      <c r="O201" s="87" t="str">
        <f>IF($J201="PC",COUNTIF($J$5:$J201,"PC"),"")</f>
        <v/>
      </c>
      <c r="P201" s="28" t="s">
        <v>1007</v>
      </c>
      <c r="Q201" s="28" t="s">
        <v>1008</v>
      </c>
    </row>
    <row r="202" spans="1:17" s="27" customFormat="1" ht="40.5" customHeight="1" x14ac:dyDescent="0.2">
      <c r="A202" s="69">
        <v>6</v>
      </c>
      <c r="B202" s="70" t="s">
        <v>542</v>
      </c>
      <c r="C202" s="71" t="s">
        <v>891</v>
      </c>
      <c r="D202" s="70" t="s">
        <v>892</v>
      </c>
      <c r="E202" s="70" t="s">
        <v>1000</v>
      </c>
      <c r="F202" s="82" t="s">
        <v>53</v>
      </c>
      <c r="G202" s="83" t="s">
        <v>1009</v>
      </c>
      <c r="H202" s="84"/>
      <c r="I202" s="85" t="s">
        <v>1010</v>
      </c>
      <c r="J202" s="86"/>
      <c r="K202" s="86"/>
      <c r="L202" s="86"/>
      <c r="M202" s="87"/>
      <c r="N202" s="87"/>
      <c r="O202" s="87" t="str">
        <f>IF($J202="PC",COUNTIF($J$5:$J202,"PC"),"")</f>
        <v/>
      </c>
      <c r="P202" s="28" t="s">
        <v>1011</v>
      </c>
      <c r="Q202" s="28" t="s">
        <v>1012</v>
      </c>
    </row>
    <row r="203" spans="1:17" ht="27" customHeight="1" x14ac:dyDescent="0.25">
      <c r="A203" s="69">
        <v>6</v>
      </c>
      <c r="B203" s="70" t="s">
        <v>542</v>
      </c>
      <c r="C203" s="71" t="s">
        <v>891</v>
      </c>
      <c r="D203" s="70" t="s">
        <v>892</v>
      </c>
      <c r="E203" s="70" t="s">
        <v>1013</v>
      </c>
      <c r="F203" s="88" t="s">
        <v>69</v>
      </c>
      <c r="G203" s="77" t="s">
        <v>1014</v>
      </c>
      <c r="H203" s="89"/>
      <c r="I203" s="81" t="s">
        <v>854</v>
      </c>
      <c r="J203" s="90"/>
      <c r="K203" s="39"/>
      <c r="L203" s="40"/>
      <c r="M203" s="9" t="str">
        <f>IF($J203="AC",COUNTIF($J$5:$J203,"AC"),"")</f>
        <v/>
      </c>
      <c r="N203" s="9" t="str">
        <f>IF($J203="FB",COUNTIF($J$5:$J203,"FB"),"")</f>
        <v/>
      </c>
      <c r="O203" s="9" t="str">
        <f>IF($J203="PC",COUNTIF($J$5:$J203,"PC"),"")</f>
        <v/>
      </c>
      <c r="P203" s="28" t="s">
        <v>1015</v>
      </c>
      <c r="Q203" s="28" t="s">
        <v>1016</v>
      </c>
    </row>
    <row r="204" spans="1:17" ht="40.5" customHeight="1" x14ac:dyDescent="0.25">
      <c r="A204" s="69">
        <v>6</v>
      </c>
      <c r="B204" s="70" t="s">
        <v>542</v>
      </c>
      <c r="C204" s="71" t="s">
        <v>891</v>
      </c>
      <c r="D204" s="70" t="s">
        <v>892</v>
      </c>
      <c r="E204" s="70" t="s">
        <v>1017</v>
      </c>
      <c r="F204" s="98" t="s">
        <v>69</v>
      </c>
      <c r="G204" s="93" t="s">
        <v>1018</v>
      </c>
      <c r="H204" s="94"/>
      <c r="I204" s="95" t="s">
        <v>1019</v>
      </c>
      <c r="J204" s="96"/>
      <c r="K204" s="96"/>
      <c r="L204" s="96"/>
      <c r="M204" s="97"/>
      <c r="N204" s="97"/>
      <c r="O204" s="97" t="str">
        <f>IF($J204="PC",COUNTIF($J$5:$J204,"PC"),"")</f>
        <v/>
      </c>
      <c r="P204" s="28" t="s">
        <v>1020</v>
      </c>
      <c r="Q204" s="28" t="s">
        <v>1021</v>
      </c>
    </row>
    <row r="205" spans="1:17" ht="27" customHeight="1" x14ac:dyDescent="0.25">
      <c r="A205" s="69">
        <v>6</v>
      </c>
      <c r="B205" s="70" t="s">
        <v>542</v>
      </c>
      <c r="C205" s="71" t="s">
        <v>891</v>
      </c>
      <c r="D205" s="70" t="s">
        <v>892</v>
      </c>
      <c r="E205" s="70" t="s">
        <v>1017</v>
      </c>
      <c r="F205" s="98" t="s">
        <v>69</v>
      </c>
      <c r="G205" s="93" t="s">
        <v>1022</v>
      </c>
      <c r="H205" s="94"/>
      <c r="I205" s="95" t="s">
        <v>1023</v>
      </c>
      <c r="J205" s="96"/>
      <c r="K205" s="96"/>
      <c r="L205" s="96"/>
      <c r="M205" s="97"/>
      <c r="N205" s="97"/>
      <c r="O205" s="97" t="str">
        <f>IF($J205="PC",COUNTIF($J$5:$J205,"PC"),"")</f>
        <v/>
      </c>
      <c r="P205" s="28" t="s">
        <v>1024</v>
      </c>
      <c r="Q205" s="28" t="s">
        <v>1025</v>
      </c>
    </row>
    <row r="206" spans="1:17" ht="27" customHeight="1" x14ac:dyDescent="0.25">
      <c r="A206" s="69">
        <v>6</v>
      </c>
      <c r="B206" s="70" t="s">
        <v>542</v>
      </c>
      <c r="C206" s="71" t="s">
        <v>891</v>
      </c>
      <c r="D206" s="70" t="s">
        <v>892</v>
      </c>
      <c r="E206" s="70" t="s">
        <v>1026</v>
      </c>
      <c r="F206" s="98" t="s">
        <v>69</v>
      </c>
      <c r="G206" s="93" t="s">
        <v>1027</v>
      </c>
      <c r="H206" s="94"/>
      <c r="I206" s="95" t="s">
        <v>1028</v>
      </c>
      <c r="J206" s="96"/>
      <c r="K206" s="96"/>
      <c r="L206" s="96"/>
      <c r="M206" s="97"/>
      <c r="N206" s="97"/>
      <c r="O206" s="97" t="str">
        <f>IF($J206="PC",COUNTIF($J$5:$J206,"PC"),"")</f>
        <v/>
      </c>
      <c r="P206" s="28" t="s">
        <v>1029</v>
      </c>
      <c r="Q206" s="28" t="s">
        <v>1030</v>
      </c>
    </row>
    <row r="207" spans="1:17" ht="27" customHeight="1" x14ac:dyDescent="0.25">
      <c r="A207" s="69">
        <v>6</v>
      </c>
      <c r="B207" s="70" t="s">
        <v>542</v>
      </c>
      <c r="C207" s="71" t="s">
        <v>891</v>
      </c>
      <c r="D207" s="70" t="s">
        <v>892</v>
      </c>
      <c r="E207" s="70" t="s">
        <v>1026</v>
      </c>
      <c r="F207" s="98" t="s">
        <v>69</v>
      </c>
      <c r="G207" s="93" t="s">
        <v>1031</v>
      </c>
      <c r="H207" s="94"/>
      <c r="I207" s="95" t="s">
        <v>1032</v>
      </c>
      <c r="J207" s="96"/>
      <c r="K207" s="96"/>
      <c r="L207" s="96"/>
      <c r="M207" s="97"/>
      <c r="N207" s="97"/>
      <c r="O207" s="97" t="str">
        <f>IF($J207="PC",COUNTIF($J$5:$J207,"PC"),"")</f>
        <v/>
      </c>
      <c r="P207" s="28" t="s">
        <v>1033</v>
      </c>
      <c r="Q207" s="28" t="s">
        <v>1034</v>
      </c>
    </row>
    <row r="208" spans="1:17" ht="27" customHeight="1" x14ac:dyDescent="0.25">
      <c r="A208" s="69">
        <v>6</v>
      </c>
      <c r="B208" s="70" t="s">
        <v>542</v>
      </c>
      <c r="C208" s="71" t="s">
        <v>891</v>
      </c>
      <c r="D208" s="70" t="s">
        <v>892</v>
      </c>
      <c r="E208" s="70" t="s">
        <v>1026</v>
      </c>
      <c r="F208" s="98" t="s">
        <v>69</v>
      </c>
      <c r="G208" s="93" t="s">
        <v>1035</v>
      </c>
      <c r="H208" s="94"/>
      <c r="I208" s="95" t="s">
        <v>1036</v>
      </c>
      <c r="J208" s="96"/>
      <c r="K208" s="96"/>
      <c r="L208" s="96"/>
      <c r="M208" s="97"/>
      <c r="N208" s="97"/>
      <c r="O208" s="97" t="str">
        <f>IF($J208="PC",COUNTIF($J$5:$J208,"PC"),"")</f>
        <v/>
      </c>
      <c r="P208" s="28" t="s">
        <v>1037</v>
      </c>
      <c r="Q208" s="28" t="s">
        <v>1038</v>
      </c>
    </row>
    <row r="209" spans="1:17" ht="27" customHeight="1" x14ac:dyDescent="0.25">
      <c r="A209" s="69">
        <v>6</v>
      </c>
      <c r="B209" s="70" t="s">
        <v>542</v>
      </c>
      <c r="C209" s="71" t="s">
        <v>891</v>
      </c>
      <c r="D209" s="70" t="s">
        <v>892</v>
      </c>
      <c r="E209" s="70" t="s">
        <v>1039</v>
      </c>
      <c r="F209" s="67" t="s">
        <v>165</v>
      </c>
      <c r="G209" s="77" t="s">
        <v>1040</v>
      </c>
      <c r="H209" s="89"/>
      <c r="I209" s="81" t="s">
        <v>854</v>
      </c>
      <c r="J209" s="90"/>
      <c r="K209" s="39"/>
      <c r="L209" s="40"/>
      <c r="M209" s="9" t="str">
        <f>IF($J209="AC",COUNTIF($J$5:$J209,"AC"),"")</f>
        <v/>
      </c>
      <c r="N209" s="9" t="str">
        <f>IF($J209="FB",COUNTIF($J$5:$J209,"FB"),"")</f>
        <v/>
      </c>
      <c r="O209" s="9" t="str">
        <f>IF($J209="PC",COUNTIF($J$5:$J209,"PC"),"")</f>
        <v/>
      </c>
      <c r="P209" s="28" t="s">
        <v>1041</v>
      </c>
      <c r="Q209" s="28" t="s">
        <v>1042</v>
      </c>
    </row>
    <row r="210" spans="1:17" ht="40.5" customHeight="1" x14ac:dyDescent="0.25">
      <c r="A210" s="69">
        <v>6</v>
      </c>
      <c r="B210" s="70" t="s">
        <v>542</v>
      </c>
      <c r="C210" s="71" t="s">
        <v>891</v>
      </c>
      <c r="D210" s="70" t="s">
        <v>892</v>
      </c>
      <c r="E210" s="70" t="s">
        <v>1039</v>
      </c>
      <c r="F210" s="99" t="s">
        <v>165</v>
      </c>
      <c r="G210" s="93" t="s">
        <v>1043</v>
      </c>
      <c r="H210" s="94"/>
      <c r="I210" s="95"/>
      <c r="J210" s="96"/>
      <c r="K210" s="96"/>
      <c r="L210" s="96"/>
      <c r="M210" s="97" t="str">
        <f>IF($J210="AC",COUNTIF($J$5:$J210,"AC"),"")</f>
        <v/>
      </c>
      <c r="N210" s="97" t="str">
        <f>IF($J210="FB",COUNTIF($J$5:$J210,"FB"),"")</f>
        <v/>
      </c>
      <c r="O210" s="97" t="str">
        <f>IF($J210="PC",COUNTIF($J$5:$J210,"PC"),"")</f>
        <v/>
      </c>
      <c r="P210" s="28" t="s">
        <v>1044</v>
      </c>
      <c r="Q210" s="28" t="s">
        <v>1045</v>
      </c>
    </row>
    <row r="211" spans="1:17" ht="30.75" customHeight="1" x14ac:dyDescent="0.25">
      <c r="A211" s="69">
        <v>6</v>
      </c>
      <c r="B211" s="70" t="s">
        <v>542</v>
      </c>
      <c r="C211" s="71" t="s">
        <v>1046</v>
      </c>
      <c r="D211" s="70" t="s">
        <v>1047</v>
      </c>
      <c r="E211" s="70" t="s">
        <v>1048</v>
      </c>
      <c r="F211" s="58" t="s">
        <v>69</v>
      </c>
      <c r="G211" s="77" t="s">
        <v>1049</v>
      </c>
      <c r="H211" s="37"/>
      <c r="I211" s="38" t="s">
        <v>1050</v>
      </c>
      <c r="J211" s="39"/>
      <c r="K211" s="39"/>
      <c r="L211" s="40"/>
      <c r="M211" s="9" t="str">
        <f>IF($J211="AC",COUNTIF($J$5:$J211,"AC"),"")</f>
        <v/>
      </c>
      <c r="N211" s="9" t="str">
        <f>IF($J211="FB",COUNTIF($J$5:$J211,"FB"),"")</f>
        <v/>
      </c>
      <c r="O211" s="9" t="str">
        <f>IF($J211="PC",COUNTIF($J$5:$J211,"PC"),"")</f>
        <v/>
      </c>
      <c r="P211" s="28" t="s">
        <v>1051</v>
      </c>
      <c r="Q211" s="28" t="s">
        <v>1052</v>
      </c>
    </row>
    <row r="212" spans="1:17" ht="40.5" customHeight="1" x14ac:dyDescent="0.25">
      <c r="A212" s="69">
        <v>6</v>
      </c>
      <c r="B212" s="70" t="s">
        <v>542</v>
      </c>
      <c r="C212" s="71" t="s">
        <v>1046</v>
      </c>
      <c r="D212" s="70" t="s">
        <v>1047</v>
      </c>
      <c r="E212" s="70" t="s">
        <v>1053</v>
      </c>
      <c r="F212" s="58" t="s">
        <v>69</v>
      </c>
      <c r="G212" s="77" t="s">
        <v>1054</v>
      </c>
      <c r="H212" s="37"/>
      <c r="I212" s="38" t="s">
        <v>1055</v>
      </c>
      <c r="J212" s="39"/>
      <c r="K212" s="39"/>
      <c r="L212" s="40"/>
      <c r="M212" s="9" t="str">
        <f>IF($J212="AC",COUNTIF($J$5:$J212,"AC"),"")</f>
        <v/>
      </c>
      <c r="N212" s="9" t="str">
        <f>IF($J212="FB",COUNTIF($J$5:$J212,"FB"),"")</f>
        <v/>
      </c>
      <c r="O212" s="9" t="str">
        <f>IF($J212="PC",COUNTIF($J$5:$J212,"PC"),"")</f>
        <v/>
      </c>
      <c r="P212" s="28" t="s">
        <v>1056</v>
      </c>
      <c r="Q212" s="28" t="s">
        <v>1057</v>
      </c>
    </row>
    <row r="213" spans="1:17" ht="30.75" customHeight="1" x14ac:dyDescent="0.25">
      <c r="A213" s="69">
        <v>6</v>
      </c>
      <c r="B213" s="70" t="s">
        <v>542</v>
      </c>
      <c r="C213" s="71" t="s">
        <v>1046</v>
      </c>
      <c r="D213" s="70" t="s">
        <v>1047</v>
      </c>
      <c r="E213" s="70" t="s">
        <v>1058</v>
      </c>
      <c r="F213" s="58" t="s">
        <v>69</v>
      </c>
      <c r="G213" s="77" t="s">
        <v>1059</v>
      </c>
      <c r="H213" s="37"/>
      <c r="I213" s="38" t="s">
        <v>1060</v>
      </c>
      <c r="J213" s="39"/>
      <c r="K213" s="39"/>
      <c r="L213" s="40"/>
      <c r="M213" s="9" t="str">
        <f>IF($J213="AC",COUNTIF($J$5:$J213,"AC"),"")</f>
        <v/>
      </c>
      <c r="N213" s="9" t="str">
        <f>IF($J213="FB",COUNTIF($J$5:$J213,"FB"),"")</f>
        <v/>
      </c>
      <c r="O213" s="9" t="str">
        <f>IF($J213="PC",COUNTIF($J$5:$J213,"PC"),"")</f>
        <v/>
      </c>
      <c r="P213" s="28" t="s">
        <v>1061</v>
      </c>
      <c r="Q213" s="28" t="s">
        <v>1062</v>
      </c>
    </row>
    <row r="214" spans="1:17" ht="30.75" customHeight="1" x14ac:dyDescent="0.25">
      <c r="A214" s="69">
        <v>6</v>
      </c>
      <c r="B214" s="70" t="s">
        <v>542</v>
      </c>
      <c r="C214" s="71" t="s">
        <v>1046</v>
      </c>
      <c r="D214" s="70" t="s">
        <v>1047</v>
      </c>
      <c r="E214" s="70" t="s">
        <v>1063</v>
      </c>
      <c r="F214" s="68" t="s">
        <v>92</v>
      </c>
      <c r="G214" s="77" t="s">
        <v>1064</v>
      </c>
      <c r="H214" s="37"/>
      <c r="I214" s="38" t="s">
        <v>1065</v>
      </c>
      <c r="J214" s="39"/>
      <c r="K214" s="39"/>
      <c r="L214" s="40"/>
      <c r="M214" s="9" t="str">
        <f>IF($J214="AC",COUNTIF($J$5:$J214,"AC"),"")</f>
        <v/>
      </c>
      <c r="N214" s="9" t="str">
        <f>IF($J214="FB",COUNTIF($J$5:$J214,"FB"),"")</f>
        <v/>
      </c>
      <c r="O214" s="9" t="str">
        <f>IF($J214="PC",COUNTIF($J$5:$J214,"PC"),"")</f>
        <v/>
      </c>
      <c r="P214" s="28" t="s">
        <v>1066</v>
      </c>
      <c r="Q214" s="28" t="s">
        <v>1067</v>
      </c>
    </row>
    <row r="215" spans="1:17" ht="81" customHeight="1" x14ac:dyDescent="0.25">
      <c r="A215" s="69">
        <v>6</v>
      </c>
      <c r="B215" s="70" t="s">
        <v>542</v>
      </c>
      <c r="C215" s="71" t="s">
        <v>1046</v>
      </c>
      <c r="D215" s="70" t="s">
        <v>1047</v>
      </c>
      <c r="E215" s="70" t="s">
        <v>1068</v>
      </c>
      <c r="F215" s="78" t="s">
        <v>69</v>
      </c>
      <c r="G215" s="77" t="s">
        <v>1069</v>
      </c>
      <c r="H215" s="37"/>
      <c r="I215" s="81" t="s">
        <v>696</v>
      </c>
      <c r="J215" s="39"/>
      <c r="K215" s="39"/>
      <c r="L215" s="40"/>
      <c r="M215" s="9" t="str">
        <f>IF($J215="AC",COUNTIF($J$5:$J215,"AC"),"")</f>
        <v/>
      </c>
      <c r="N215" s="9" t="str">
        <f>IF($J215="FB",COUNTIF($J$5:$J215,"FB"),"")</f>
        <v/>
      </c>
      <c r="O215" s="9" t="str">
        <f>IF($J215="PC",COUNTIF($J$5:$J215,"PC"),"")</f>
        <v/>
      </c>
      <c r="P215" s="28" t="s">
        <v>1070</v>
      </c>
      <c r="Q215" s="28" t="s">
        <v>1071</v>
      </c>
    </row>
    <row r="216" spans="1:17" ht="67.5" customHeight="1" x14ac:dyDescent="0.25">
      <c r="A216" s="69">
        <v>6</v>
      </c>
      <c r="B216" s="70" t="s">
        <v>542</v>
      </c>
      <c r="C216" s="71" t="s">
        <v>1046</v>
      </c>
      <c r="D216" s="70" t="s">
        <v>1047</v>
      </c>
      <c r="E216" s="70" t="s">
        <v>1072</v>
      </c>
      <c r="F216" s="78" t="s">
        <v>69</v>
      </c>
      <c r="G216" s="77" t="s">
        <v>1073</v>
      </c>
      <c r="H216" s="37"/>
      <c r="I216" s="81" t="s">
        <v>696</v>
      </c>
      <c r="J216" s="39"/>
      <c r="K216" s="39"/>
      <c r="L216" s="40"/>
      <c r="M216" s="9" t="str">
        <f>IF($J216="AC",COUNTIF($J$5:$J216,"AC"),"")</f>
        <v/>
      </c>
      <c r="N216" s="9" t="str">
        <f>IF($J216="FB",COUNTIF($J$5:$J216,"FB"),"")</f>
        <v/>
      </c>
      <c r="O216" s="9" t="str">
        <f>IF($J216="PC",COUNTIF($J$5:$J216,"PC"),"")</f>
        <v/>
      </c>
      <c r="P216" s="28" t="s">
        <v>1074</v>
      </c>
      <c r="Q216" s="28" t="s">
        <v>1075</v>
      </c>
    </row>
    <row r="217" spans="1:17" ht="40.5" customHeight="1" x14ac:dyDescent="0.25">
      <c r="A217" s="69">
        <v>6</v>
      </c>
      <c r="B217" s="70" t="s">
        <v>542</v>
      </c>
      <c r="C217" s="71" t="s">
        <v>1046</v>
      </c>
      <c r="D217" s="70" t="s">
        <v>1047</v>
      </c>
      <c r="E217" s="70" t="s">
        <v>1076</v>
      </c>
      <c r="F217" s="78" t="s">
        <v>69</v>
      </c>
      <c r="G217" s="77" t="s">
        <v>1077</v>
      </c>
      <c r="H217" s="37"/>
      <c r="I217" s="81" t="s">
        <v>696</v>
      </c>
      <c r="J217" s="39"/>
      <c r="K217" s="39"/>
      <c r="L217" s="40"/>
      <c r="M217" s="9" t="str">
        <f>IF($J217="AC",COUNTIF($J$5:$J217,"AC"),"")</f>
        <v/>
      </c>
      <c r="N217" s="9" t="str">
        <f>IF($J217="FB",COUNTIF($J$5:$J217,"FB"),"")</f>
        <v/>
      </c>
      <c r="O217" s="9" t="str">
        <f>IF($J217="PC",COUNTIF($J$5:$J217,"PC"),"")</f>
        <v/>
      </c>
      <c r="P217" s="28" t="s">
        <v>1078</v>
      </c>
      <c r="Q217" s="28" t="s">
        <v>1079</v>
      </c>
    </row>
    <row r="218" spans="1:17" ht="53.25" customHeight="1" x14ac:dyDescent="0.25">
      <c r="A218" s="69">
        <v>6</v>
      </c>
      <c r="B218" s="70" t="s">
        <v>542</v>
      </c>
      <c r="C218" s="71" t="s">
        <v>1046</v>
      </c>
      <c r="D218" s="70" t="s">
        <v>1047</v>
      </c>
      <c r="E218" s="70" t="s">
        <v>1080</v>
      </c>
      <c r="F218" s="78" t="s">
        <v>69</v>
      </c>
      <c r="G218" s="77" t="s">
        <v>1081</v>
      </c>
      <c r="H218" s="37"/>
      <c r="I218" s="79" t="s">
        <v>696</v>
      </c>
      <c r="J218" s="39"/>
      <c r="K218" s="39"/>
      <c r="L218" s="80"/>
      <c r="M218" s="9" t="str">
        <f>IF($J218="AC",COUNTIF($J$5:$J218,"AC"),"")</f>
        <v/>
      </c>
      <c r="N218" s="9" t="str">
        <f>IF($J218="FB",COUNTIF($J$5:$J218,"FB"),"")</f>
        <v/>
      </c>
      <c r="O218" s="9" t="str">
        <f>IF($J218="PC",COUNTIF($J$5:$J218,"PC"),"")</f>
        <v/>
      </c>
      <c r="P218" s="28" t="s">
        <v>1082</v>
      </c>
      <c r="Q218" s="28" t="s">
        <v>1083</v>
      </c>
    </row>
    <row r="219" spans="1:17" ht="40.5" customHeight="1" x14ac:dyDescent="0.25">
      <c r="A219" s="69">
        <v>6</v>
      </c>
      <c r="B219" s="70" t="s">
        <v>542</v>
      </c>
      <c r="C219" s="71" t="s">
        <v>1046</v>
      </c>
      <c r="D219" s="70" t="s">
        <v>1047</v>
      </c>
      <c r="E219" s="70" t="s">
        <v>1084</v>
      </c>
      <c r="F219" s="78" t="s">
        <v>69</v>
      </c>
      <c r="G219" s="77" t="s">
        <v>1085</v>
      </c>
      <c r="H219" s="37"/>
      <c r="I219" s="79" t="s">
        <v>696</v>
      </c>
      <c r="J219" s="39"/>
      <c r="K219" s="39"/>
      <c r="L219" s="80"/>
      <c r="M219" s="9" t="str">
        <f>IF($J219="AC",COUNTIF($J$5:$J219,"AC"),"")</f>
        <v/>
      </c>
      <c r="N219" s="9" t="str">
        <f>IF($J219="FB",COUNTIF($J$5:$J219,"FB"),"")</f>
        <v/>
      </c>
      <c r="O219" s="9" t="str">
        <f>IF($J219="PC",COUNTIF($J$5:$J219,"PC"),"")</f>
        <v/>
      </c>
      <c r="P219" s="28" t="s">
        <v>1086</v>
      </c>
      <c r="Q219" s="28" t="s">
        <v>1087</v>
      </c>
    </row>
    <row r="220" spans="1:17" ht="40.5" customHeight="1" x14ac:dyDescent="0.25">
      <c r="A220" s="69">
        <v>6</v>
      </c>
      <c r="B220" s="70" t="s">
        <v>542</v>
      </c>
      <c r="C220" s="71" t="s">
        <v>1046</v>
      </c>
      <c r="D220" s="70" t="s">
        <v>1047</v>
      </c>
      <c r="E220" s="70" t="s">
        <v>1088</v>
      </c>
      <c r="F220" s="68" t="s">
        <v>92</v>
      </c>
      <c r="G220" s="77" t="s">
        <v>1089</v>
      </c>
      <c r="H220" s="37"/>
      <c r="I220" s="79" t="s">
        <v>696</v>
      </c>
      <c r="J220" s="39"/>
      <c r="K220" s="39"/>
      <c r="L220" s="80"/>
      <c r="M220" s="9" t="str">
        <f>IF($J220="AC",COUNTIF($J$5:$J220,"AC"),"")</f>
        <v/>
      </c>
      <c r="N220" s="9" t="str">
        <f>IF($J220="FB",COUNTIF($J$5:$J220,"FB"),"")</f>
        <v/>
      </c>
      <c r="O220" s="9" t="str">
        <f>IF($J220="PC",COUNTIF($J$5:$J220,"PC"),"")</f>
        <v/>
      </c>
      <c r="P220" s="28" t="s">
        <v>1090</v>
      </c>
      <c r="Q220" s="28" t="s">
        <v>1091</v>
      </c>
    </row>
    <row r="221" spans="1:17" ht="27" customHeight="1" x14ac:dyDescent="0.25">
      <c r="A221" s="69">
        <v>6</v>
      </c>
      <c r="B221" s="70" t="s">
        <v>542</v>
      </c>
      <c r="C221" s="71" t="s">
        <v>1046</v>
      </c>
      <c r="D221" s="70" t="s">
        <v>1047</v>
      </c>
      <c r="E221" s="70" t="s">
        <v>1092</v>
      </c>
      <c r="F221" s="88" t="s">
        <v>69</v>
      </c>
      <c r="G221" s="77" t="s">
        <v>1093</v>
      </c>
      <c r="H221" s="89"/>
      <c r="I221" s="81" t="s">
        <v>854</v>
      </c>
      <c r="J221" s="90"/>
      <c r="K221" s="39"/>
      <c r="L221" s="40"/>
      <c r="M221" s="9" t="str">
        <f>IF($J221="AC",COUNTIF($J$5:$J221,"AC"),"")</f>
        <v/>
      </c>
      <c r="N221" s="9" t="str">
        <f>IF($J221="FB",COUNTIF($J$5:$J221,"FB"),"")</f>
        <v/>
      </c>
      <c r="O221" s="9" t="str">
        <f>IF($J221="PC",COUNTIF($J$5:$J221,"PC"),"")</f>
        <v/>
      </c>
      <c r="P221" s="28" t="s">
        <v>1094</v>
      </c>
      <c r="Q221" s="28" t="s">
        <v>1095</v>
      </c>
    </row>
    <row r="222" spans="1:17" ht="27" customHeight="1" x14ac:dyDescent="0.25">
      <c r="A222" s="69">
        <v>6</v>
      </c>
      <c r="B222" s="70" t="s">
        <v>542</v>
      </c>
      <c r="C222" s="71" t="s">
        <v>1046</v>
      </c>
      <c r="D222" s="70" t="s">
        <v>1047</v>
      </c>
      <c r="E222" s="70" t="s">
        <v>1096</v>
      </c>
      <c r="F222" s="98" t="s">
        <v>69</v>
      </c>
      <c r="G222" s="93" t="s">
        <v>1097</v>
      </c>
      <c r="H222" s="94"/>
      <c r="I222" s="95" t="s">
        <v>1098</v>
      </c>
      <c r="J222" s="96"/>
      <c r="K222" s="96"/>
      <c r="L222" s="96"/>
      <c r="M222" s="97" t="str">
        <f>IF($J222="AC",COUNTIF($J$5:$J222,"AC"),"")</f>
        <v/>
      </c>
      <c r="N222" s="97" t="str">
        <f>IF($J222="FB",COUNTIF($J$5:$J222,"FB"),"")</f>
        <v/>
      </c>
      <c r="O222" s="97" t="str">
        <f>IF($J222="PC",COUNTIF($J$5:$J222,"PC"),"")</f>
        <v/>
      </c>
      <c r="P222" s="28" t="s">
        <v>1099</v>
      </c>
      <c r="Q222" s="28" t="s">
        <v>1100</v>
      </c>
    </row>
    <row r="223" spans="1:17" ht="27" customHeight="1" x14ac:dyDescent="0.25">
      <c r="A223" s="69">
        <v>6</v>
      </c>
      <c r="B223" s="70" t="s">
        <v>542</v>
      </c>
      <c r="C223" s="71" t="s">
        <v>1046</v>
      </c>
      <c r="D223" s="70" t="s">
        <v>1047</v>
      </c>
      <c r="E223" s="70" t="s">
        <v>1096</v>
      </c>
      <c r="F223" s="98" t="s">
        <v>69</v>
      </c>
      <c r="G223" s="93" t="s">
        <v>1101</v>
      </c>
      <c r="H223" s="94"/>
      <c r="I223" s="95" t="s">
        <v>1102</v>
      </c>
      <c r="J223" s="96"/>
      <c r="K223" s="96"/>
      <c r="L223" s="96"/>
      <c r="M223" s="97" t="str">
        <f>IF($J223="AC",COUNTIF($J$5:$J223,"AC"),"")</f>
        <v/>
      </c>
      <c r="N223" s="97" t="str">
        <f>IF($J223="FB",COUNTIF($J$5:$J223,"FB"),"")</f>
        <v/>
      </c>
      <c r="O223" s="97" t="str">
        <f>IF($J223="PC",COUNTIF($J$5:$J223,"PC"),"")</f>
        <v/>
      </c>
      <c r="P223" s="28" t="s">
        <v>1103</v>
      </c>
      <c r="Q223" s="28" t="s">
        <v>1104</v>
      </c>
    </row>
    <row r="224" spans="1:17" ht="40.5" customHeight="1" x14ac:dyDescent="0.25">
      <c r="A224" s="69">
        <v>6</v>
      </c>
      <c r="B224" s="70" t="s">
        <v>542</v>
      </c>
      <c r="C224" s="71" t="s">
        <v>1046</v>
      </c>
      <c r="D224" s="70" t="s">
        <v>1047</v>
      </c>
      <c r="E224" s="70" t="s">
        <v>1105</v>
      </c>
      <c r="F224" s="88" t="s">
        <v>69</v>
      </c>
      <c r="G224" s="77" t="s">
        <v>1106</v>
      </c>
      <c r="H224" s="89"/>
      <c r="I224" s="81" t="s">
        <v>854</v>
      </c>
      <c r="J224" s="90"/>
      <c r="K224" s="39"/>
      <c r="L224" s="40"/>
      <c r="M224" s="9" t="str">
        <f>IF($J224="AC",COUNTIF($J$5:$J224,"AC"),"")</f>
        <v/>
      </c>
      <c r="N224" s="9" t="str">
        <f>IF($J224="FB",COUNTIF($J$5:$J224,"FB"),"")</f>
        <v/>
      </c>
      <c r="O224" s="9" t="str">
        <f>IF($J224="PC",COUNTIF($J$5:$J224,"PC"),"")</f>
        <v/>
      </c>
      <c r="P224" s="28" t="s">
        <v>1107</v>
      </c>
      <c r="Q224" s="28" t="s">
        <v>1108</v>
      </c>
    </row>
    <row r="225" spans="1:17" ht="27" customHeight="1" x14ac:dyDescent="0.25">
      <c r="A225" s="69">
        <v>6</v>
      </c>
      <c r="B225" s="70" t="s">
        <v>542</v>
      </c>
      <c r="C225" s="71" t="s">
        <v>1046</v>
      </c>
      <c r="D225" s="70" t="s">
        <v>1047</v>
      </c>
      <c r="E225" s="70" t="s">
        <v>1096</v>
      </c>
      <c r="F225" s="98" t="s">
        <v>69</v>
      </c>
      <c r="G225" s="93" t="s">
        <v>1109</v>
      </c>
      <c r="H225" s="94"/>
      <c r="I225" s="95" t="s">
        <v>1110</v>
      </c>
      <c r="J225" s="96"/>
      <c r="K225" s="96"/>
      <c r="L225" s="96"/>
      <c r="M225" s="97" t="str">
        <f>IF($J225="AC",COUNTIF($J$5:$J225,"AC"),"")</f>
        <v/>
      </c>
      <c r="N225" s="97" t="str">
        <f>IF($J225="FB",COUNTIF($J$5:$J225,"FB"),"")</f>
        <v/>
      </c>
      <c r="O225" s="97" t="str">
        <f>IF($J225="PC",COUNTIF($J$5:$J225,"PC"),"")</f>
        <v/>
      </c>
      <c r="P225" s="28" t="s">
        <v>1111</v>
      </c>
      <c r="Q225" s="28" t="s">
        <v>1112</v>
      </c>
    </row>
    <row r="226" spans="1:17" ht="27" customHeight="1" x14ac:dyDescent="0.25">
      <c r="A226" s="69">
        <v>6</v>
      </c>
      <c r="B226" s="70" t="s">
        <v>542</v>
      </c>
      <c r="C226" s="71" t="s">
        <v>1046</v>
      </c>
      <c r="D226" s="70" t="s">
        <v>1047</v>
      </c>
      <c r="E226" s="70" t="s">
        <v>1113</v>
      </c>
      <c r="F226" s="91" t="s">
        <v>92</v>
      </c>
      <c r="G226" s="77" t="s">
        <v>1114</v>
      </c>
      <c r="H226" s="89"/>
      <c r="I226" s="81" t="s">
        <v>854</v>
      </c>
      <c r="J226" s="90"/>
      <c r="K226" s="39"/>
      <c r="L226" s="40"/>
      <c r="M226" s="9" t="str">
        <f>IF($J226="AC",COUNTIF($J$5:$J226,"AC"),"")</f>
        <v/>
      </c>
      <c r="N226" s="9" t="str">
        <f>IF($J226="FB",COUNTIF($J$5:$J226,"FB"),"")</f>
        <v/>
      </c>
      <c r="O226" s="9" t="str">
        <f>IF($J226="PC",COUNTIF($J$5:$J226,"PC"),"")</f>
        <v/>
      </c>
      <c r="P226" s="28" t="s">
        <v>1115</v>
      </c>
      <c r="Q226" s="28" t="s">
        <v>1116</v>
      </c>
    </row>
    <row r="227" spans="1:17" ht="40.5" customHeight="1" x14ac:dyDescent="0.25">
      <c r="A227" s="69">
        <v>6</v>
      </c>
      <c r="B227" s="70" t="s">
        <v>542</v>
      </c>
      <c r="C227" s="71" t="s">
        <v>1046</v>
      </c>
      <c r="D227" s="70" t="s">
        <v>1047</v>
      </c>
      <c r="E227" s="70" t="s">
        <v>1113</v>
      </c>
      <c r="F227" s="92" t="s">
        <v>92</v>
      </c>
      <c r="G227" s="93" t="s">
        <v>1117</v>
      </c>
      <c r="H227" s="94"/>
      <c r="I227" s="95" t="s">
        <v>1118</v>
      </c>
      <c r="J227" s="96"/>
      <c r="K227" s="96"/>
      <c r="L227" s="96"/>
      <c r="M227" s="97" t="str">
        <f>IF($J227="AC",COUNTIF($J$5:$J227,"AC"),"")</f>
        <v/>
      </c>
      <c r="N227" s="97" t="str">
        <f>IF($J227="FB",COUNTIF($J$5:$J227,"FB"),"")</f>
        <v/>
      </c>
      <c r="O227" s="97" t="str">
        <f>IF($J227="PC",COUNTIF($J$5:$J227,"PC"),"")</f>
        <v/>
      </c>
      <c r="P227" s="28" t="s">
        <v>1119</v>
      </c>
      <c r="Q227" s="28" t="s">
        <v>1120</v>
      </c>
    </row>
    <row r="228" spans="1:17" ht="40.5" customHeight="1" x14ac:dyDescent="0.25">
      <c r="A228" s="69">
        <v>6</v>
      </c>
      <c r="B228" s="70" t="s">
        <v>542</v>
      </c>
      <c r="C228" s="71" t="s">
        <v>1046</v>
      </c>
      <c r="D228" s="70" t="s">
        <v>1047</v>
      </c>
      <c r="E228" s="70" t="s">
        <v>1113</v>
      </c>
      <c r="F228" s="92" t="s">
        <v>92</v>
      </c>
      <c r="G228" s="93" t="s">
        <v>1121</v>
      </c>
      <c r="H228" s="94"/>
      <c r="I228" s="95" t="s">
        <v>1122</v>
      </c>
      <c r="J228" s="96"/>
      <c r="K228" s="96"/>
      <c r="L228" s="96"/>
      <c r="M228" s="97" t="str">
        <f>IF($J228="AC",COUNTIF($J$5:$J228,"AC"),"")</f>
        <v/>
      </c>
      <c r="N228" s="97" t="str">
        <f>IF($J228="FB",COUNTIF($J$5:$J228,"FB"),"")</f>
        <v/>
      </c>
      <c r="O228" s="97" t="str">
        <f>IF($J228="PC",COUNTIF($J$5:$J228,"PC"),"")</f>
        <v/>
      </c>
      <c r="P228" s="28" t="s">
        <v>1123</v>
      </c>
      <c r="Q228" s="28" t="s">
        <v>1124</v>
      </c>
    </row>
    <row r="229" spans="1:17" ht="40.5" customHeight="1" x14ac:dyDescent="0.25">
      <c r="A229" s="69">
        <v>6</v>
      </c>
      <c r="B229" s="70" t="s">
        <v>542</v>
      </c>
      <c r="C229" s="71" t="s">
        <v>1046</v>
      </c>
      <c r="D229" s="70" t="s">
        <v>1047</v>
      </c>
      <c r="E229" s="70" t="s">
        <v>1125</v>
      </c>
      <c r="F229" s="98" t="s">
        <v>69</v>
      </c>
      <c r="G229" s="93" t="s">
        <v>1126</v>
      </c>
      <c r="H229" s="94"/>
      <c r="I229" s="95" t="s">
        <v>1127</v>
      </c>
      <c r="J229" s="96"/>
      <c r="K229" s="96"/>
      <c r="L229" s="96"/>
      <c r="M229" s="97" t="str">
        <f>IF($J229="AC",COUNTIF($J$5:$J229,"AC"),"")</f>
        <v/>
      </c>
      <c r="N229" s="97" t="str">
        <f>IF($J229="FB",COUNTIF($J$5:$J229,"FB"),"")</f>
        <v/>
      </c>
      <c r="O229" s="97" t="str">
        <f>IF($J229="PC",COUNTIF($J$5:$J229,"PC"),"")</f>
        <v/>
      </c>
      <c r="P229" s="28" t="s">
        <v>1128</v>
      </c>
      <c r="Q229" s="28" t="s">
        <v>1129</v>
      </c>
    </row>
    <row r="230" spans="1:17" ht="27" customHeight="1" x14ac:dyDescent="0.25">
      <c r="A230" s="69">
        <v>6</v>
      </c>
      <c r="B230" s="70" t="s">
        <v>542</v>
      </c>
      <c r="C230" s="71" t="s">
        <v>1046</v>
      </c>
      <c r="D230" s="70" t="s">
        <v>1047</v>
      </c>
      <c r="E230" s="70" t="s">
        <v>1130</v>
      </c>
      <c r="F230" s="88" t="s">
        <v>69</v>
      </c>
      <c r="G230" s="77" t="s">
        <v>1131</v>
      </c>
      <c r="H230" s="89"/>
      <c r="I230" s="81" t="s">
        <v>854</v>
      </c>
      <c r="J230" s="90"/>
      <c r="K230" s="39"/>
      <c r="L230" s="40"/>
      <c r="M230" s="9" t="str">
        <f>IF($J230="AC",COUNTIF($J$5:$J230,"AC"),"")</f>
        <v/>
      </c>
      <c r="N230" s="9" t="str">
        <f>IF($J230="FB",COUNTIF($J$5:$J230,"FB"),"")</f>
        <v/>
      </c>
      <c r="O230" s="9" t="str">
        <f>IF($J230="PC",COUNTIF($J$5:$J230,"PC"),"")</f>
        <v/>
      </c>
      <c r="P230" s="28" t="s">
        <v>1132</v>
      </c>
      <c r="Q230" s="28" t="s">
        <v>1133</v>
      </c>
    </row>
    <row r="231" spans="1:17" ht="40.5" customHeight="1" x14ac:dyDescent="0.25">
      <c r="A231" s="69">
        <v>6</v>
      </c>
      <c r="B231" s="70" t="s">
        <v>542</v>
      </c>
      <c r="C231" s="71" t="s">
        <v>1046</v>
      </c>
      <c r="D231" s="70" t="s">
        <v>1047</v>
      </c>
      <c r="E231" s="70" t="s">
        <v>1130</v>
      </c>
      <c r="F231" s="98" t="s">
        <v>69</v>
      </c>
      <c r="G231" s="93" t="s">
        <v>1134</v>
      </c>
      <c r="H231" s="94"/>
      <c r="I231" s="95" t="s">
        <v>1135</v>
      </c>
      <c r="J231" s="96"/>
      <c r="K231" s="96"/>
      <c r="L231" s="96"/>
      <c r="M231" s="97" t="str">
        <f>IF($J231="AC",COUNTIF($J$5:$J231,"AC"),"")</f>
        <v/>
      </c>
      <c r="N231" s="97" t="str">
        <f>IF($J231="FB",COUNTIF($J$5:$J231,"FB"),"")</f>
        <v/>
      </c>
      <c r="O231" s="97" t="str">
        <f>IF($J231="PC",COUNTIF($J$5:$J231,"PC"),"")</f>
        <v/>
      </c>
      <c r="P231" s="28" t="s">
        <v>1136</v>
      </c>
      <c r="Q231" s="28" t="s">
        <v>1137</v>
      </c>
    </row>
    <row r="232" spans="1:17" ht="27" customHeight="1" x14ac:dyDescent="0.25">
      <c r="A232" s="69">
        <v>6</v>
      </c>
      <c r="B232" s="70" t="s">
        <v>542</v>
      </c>
      <c r="C232" s="71" t="s">
        <v>1046</v>
      </c>
      <c r="D232" s="70" t="s">
        <v>1047</v>
      </c>
      <c r="E232" s="70" t="s">
        <v>1138</v>
      </c>
      <c r="F232" s="91" t="s">
        <v>92</v>
      </c>
      <c r="G232" s="77" t="s">
        <v>1139</v>
      </c>
      <c r="H232" s="89"/>
      <c r="I232" s="81" t="s">
        <v>854</v>
      </c>
      <c r="J232" s="90"/>
      <c r="K232" s="39"/>
      <c r="L232" s="40"/>
      <c r="M232" s="9" t="str">
        <f>IF($J232="AC",COUNTIF($J$5:$J232,"AC"),"")</f>
        <v/>
      </c>
      <c r="N232" s="9" t="str">
        <f>IF($J232="FB",COUNTIF($J$5:$J232,"FB"),"")</f>
        <v/>
      </c>
      <c r="O232" s="9" t="str">
        <f>IF($J232="PC",COUNTIF($J$5:$J232,"PC"),"")</f>
        <v/>
      </c>
      <c r="P232" s="28" t="s">
        <v>1140</v>
      </c>
      <c r="Q232" s="28" t="s">
        <v>1141</v>
      </c>
    </row>
    <row r="233" spans="1:17" ht="27" customHeight="1" x14ac:dyDescent="0.25">
      <c r="A233" s="69">
        <v>6</v>
      </c>
      <c r="B233" s="70" t="s">
        <v>542</v>
      </c>
      <c r="C233" s="71" t="s">
        <v>1046</v>
      </c>
      <c r="D233" s="70" t="s">
        <v>1047</v>
      </c>
      <c r="E233" s="70" t="s">
        <v>1138</v>
      </c>
      <c r="F233" s="92" t="s">
        <v>92</v>
      </c>
      <c r="G233" s="93" t="s">
        <v>1142</v>
      </c>
      <c r="H233" s="94"/>
      <c r="I233" s="95" t="s">
        <v>1143</v>
      </c>
      <c r="J233" s="96"/>
      <c r="K233" s="96"/>
      <c r="L233" s="96"/>
      <c r="M233" s="97" t="str">
        <f>IF($J233="AC",COUNTIF($J$5:$J233,"AC"),"")</f>
        <v/>
      </c>
      <c r="N233" s="97" t="str">
        <f>IF($J233="FB",COUNTIF($J$5:$J233,"FB"),"")</f>
        <v/>
      </c>
      <c r="O233" s="97" t="str">
        <f>IF($J233="PC",COUNTIF($J$5:$J233,"PC"),"")</f>
        <v/>
      </c>
      <c r="P233" s="28" t="s">
        <v>1144</v>
      </c>
      <c r="Q233" s="28" t="s">
        <v>1145</v>
      </c>
    </row>
    <row r="234" spans="1:17" ht="40.5" customHeight="1" x14ac:dyDescent="0.25">
      <c r="A234" s="69">
        <v>6</v>
      </c>
      <c r="B234" s="70" t="s">
        <v>542</v>
      </c>
      <c r="C234" s="71" t="s">
        <v>1046</v>
      </c>
      <c r="D234" s="70" t="s">
        <v>1047</v>
      </c>
      <c r="E234" s="70" t="s">
        <v>1146</v>
      </c>
      <c r="F234" s="67" t="s">
        <v>165</v>
      </c>
      <c r="G234" s="77" t="s">
        <v>1147</v>
      </c>
      <c r="H234" s="89"/>
      <c r="I234" s="81" t="s">
        <v>854</v>
      </c>
      <c r="J234" s="90"/>
      <c r="K234" s="39"/>
      <c r="L234" s="40"/>
      <c r="M234" s="9" t="str">
        <f>IF($J234="AC",COUNTIF($J$5:$J234,"AC"),"")</f>
        <v/>
      </c>
      <c r="N234" s="9" t="str">
        <f>IF($J234="FB",COUNTIF($J$5:$J234,"FB"),"")</f>
        <v/>
      </c>
      <c r="O234" s="9" t="str">
        <f>IF($J234="PC",COUNTIF($J$5:$J234,"PC"),"")</f>
        <v/>
      </c>
      <c r="P234" s="28" t="s">
        <v>1148</v>
      </c>
      <c r="Q234" s="28" t="s">
        <v>1149</v>
      </c>
    </row>
    <row r="235" spans="1:17" ht="40.5" customHeight="1" x14ac:dyDescent="0.25">
      <c r="A235" s="69">
        <v>6</v>
      </c>
      <c r="B235" s="70" t="s">
        <v>542</v>
      </c>
      <c r="C235" s="71" t="s">
        <v>1046</v>
      </c>
      <c r="D235" s="70" t="s">
        <v>1047</v>
      </c>
      <c r="E235" s="70" t="s">
        <v>1146</v>
      </c>
      <c r="F235" s="99" t="s">
        <v>165</v>
      </c>
      <c r="G235" s="93" t="s">
        <v>1150</v>
      </c>
      <c r="H235" s="94"/>
      <c r="I235" s="95"/>
      <c r="J235" s="96"/>
      <c r="K235" s="96"/>
      <c r="L235" s="96"/>
      <c r="M235" s="97" t="str">
        <f>IF($J235="AC",COUNTIF($J$5:$J235,"AC"),"")</f>
        <v/>
      </c>
      <c r="N235" s="97" t="str">
        <f>IF($J235="FB",COUNTIF($J$5:$J235,"FB"),"")</f>
        <v/>
      </c>
      <c r="O235" s="97" t="str">
        <f>IF($J235="PC",COUNTIF($J$5:$J235,"PC"),"")</f>
        <v/>
      </c>
      <c r="P235" s="28" t="s">
        <v>1151</v>
      </c>
      <c r="Q235" s="28" t="s">
        <v>1152</v>
      </c>
    </row>
    <row r="236" spans="1:17" s="27" customFormat="1" ht="67.5" customHeight="1" x14ac:dyDescent="0.2">
      <c r="A236" s="69">
        <v>6</v>
      </c>
      <c r="B236" s="70" t="s">
        <v>542</v>
      </c>
      <c r="C236" s="71" t="s">
        <v>1153</v>
      </c>
      <c r="D236" s="70" t="s">
        <v>1154</v>
      </c>
      <c r="E236" s="70" t="s">
        <v>1155</v>
      </c>
      <c r="F236" s="66" t="s">
        <v>53</v>
      </c>
      <c r="G236" s="72" t="s">
        <v>1156</v>
      </c>
      <c r="H236" s="73"/>
      <c r="I236" s="24" t="s">
        <v>1157</v>
      </c>
      <c r="J236" s="25"/>
      <c r="K236" s="25"/>
      <c r="L236" s="26"/>
      <c r="O236" s="27" t="str">
        <f>IF($J236="PC",COUNTIF($J$5:$J236,"PC"),"")</f>
        <v/>
      </c>
      <c r="P236" s="28" t="s">
        <v>1158</v>
      </c>
      <c r="Q236" s="28" t="s">
        <v>1159</v>
      </c>
    </row>
    <row r="237" spans="1:17" s="27" customFormat="1" ht="94.5" customHeight="1" x14ac:dyDescent="0.2">
      <c r="A237" s="69">
        <v>6</v>
      </c>
      <c r="B237" s="70" t="s">
        <v>542</v>
      </c>
      <c r="C237" s="71" t="s">
        <v>1153</v>
      </c>
      <c r="D237" s="70" t="s">
        <v>1154</v>
      </c>
      <c r="E237" s="70" t="s">
        <v>1160</v>
      </c>
      <c r="F237" s="66" t="s">
        <v>53</v>
      </c>
      <c r="G237" s="72" t="s">
        <v>1161</v>
      </c>
      <c r="H237" s="73"/>
      <c r="I237" s="24" t="s">
        <v>1162</v>
      </c>
      <c r="J237" s="25"/>
      <c r="K237" s="25"/>
      <c r="L237" s="26"/>
      <c r="O237" s="27" t="str">
        <f>IF($J237="PC",COUNTIF($J$5:$J237,"PC"),"")</f>
        <v/>
      </c>
      <c r="P237" s="28" t="s">
        <v>1163</v>
      </c>
      <c r="Q237" s="28" t="s">
        <v>1164</v>
      </c>
    </row>
    <row r="238" spans="1:17" ht="40.5" customHeight="1" x14ac:dyDescent="0.25">
      <c r="A238" s="69">
        <v>6</v>
      </c>
      <c r="B238" s="70" t="s">
        <v>542</v>
      </c>
      <c r="C238" s="71" t="s">
        <v>1153</v>
      </c>
      <c r="D238" s="70" t="s">
        <v>1154</v>
      </c>
      <c r="E238" s="70" t="s">
        <v>1165</v>
      </c>
      <c r="F238" s="58" t="s">
        <v>69</v>
      </c>
      <c r="G238" s="77" t="s">
        <v>1166</v>
      </c>
      <c r="H238" s="37"/>
      <c r="I238" s="38" t="s">
        <v>1167</v>
      </c>
      <c r="J238" s="39"/>
      <c r="K238" s="39"/>
      <c r="L238" s="40"/>
      <c r="O238" s="9" t="str">
        <f>IF($J238="PC",COUNTIF($J$5:$J238,"PC"),"")</f>
        <v/>
      </c>
      <c r="P238" s="28" t="s">
        <v>1168</v>
      </c>
      <c r="Q238" s="28" t="s">
        <v>1169</v>
      </c>
    </row>
    <row r="239" spans="1:17" ht="40.5" customHeight="1" x14ac:dyDescent="0.25">
      <c r="A239" s="69">
        <v>6</v>
      </c>
      <c r="B239" s="70" t="s">
        <v>542</v>
      </c>
      <c r="C239" s="71" t="s">
        <v>1153</v>
      </c>
      <c r="D239" s="70" t="s">
        <v>1154</v>
      </c>
      <c r="E239" s="70" t="s">
        <v>1170</v>
      </c>
      <c r="F239" s="58" t="s">
        <v>69</v>
      </c>
      <c r="G239" s="77" t="s">
        <v>1171</v>
      </c>
      <c r="H239" s="37"/>
      <c r="I239" s="38" t="s">
        <v>1172</v>
      </c>
      <c r="J239" s="39"/>
      <c r="K239" s="39"/>
      <c r="L239" s="40"/>
      <c r="O239" s="9" t="str">
        <f>IF($J239="PC",COUNTIF($J$5:$J239,"PC"),"")</f>
        <v/>
      </c>
      <c r="P239" s="28" t="s">
        <v>1173</v>
      </c>
      <c r="Q239" s="28" t="s">
        <v>1174</v>
      </c>
    </row>
    <row r="240" spans="1:17" ht="40.5" customHeight="1" x14ac:dyDescent="0.25">
      <c r="A240" s="69">
        <v>6</v>
      </c>
      <c r="B240" s="70" t="s">
        <v>542</v>
      </c>
      <c r="C240" s="71" t="s">
        <v>1153</v>
      </c>
      <c r="D240" s="70" t="s">
        <v>1154</v>
      </c>
      <c r="E240" s="70" t="s">
        <v>1175</v>
      </c>
      <c r="F240" s="58" t="s">
        <v>69</v>
      </c>
      <c r="G240" s="77" t="s">
        <v>1176</v>
      </c>
      <c r="H240" s="37"/>
      <c r="I240" s="38" t="s">
        <v>1177</v>
      </c>
      <c r="J240" s="39"/>
      <c r="K240" s="39"/>
      <c r="L240" s="40"/>
      <c r="O240" s="9" t="str">
        <f>IF($J240="PC",COUNTIF($J$5:$J240,"PC"),"")</f>
        <v/>
      </c>
      <c r="P240" s="28" t="s">
        <v>1178</v>
      </c>
      <c r="Q240" s="28" t="s">
        <v>1179</v>
      </c>
    </row>
    <row r="241" spans="1:17" ht="30.75" customHeight="1" x14ac:dyDescent="0.25">
      <c r="A241" s="69">
        <v>6</v>
      </c>
      <c r="B241" s="70" t="s">
        <v>542</v>
      </c>
      <c r="C241" s="71" t="s">
        <v>1153</v>
      </c>
      <c r="D241" s="70" t="s">
        <v>1154</v>
      </c>
      <c r="E241" s="70" t="s">
        <v>1180</v>
      </c>
      <c r="F241" s="92" t="s">
        <v>92</v>
      </c>
      <c r="G241" s="77" t="s">
        <v>1181</v>
      </c>
      <c r="H241" s="37"/>
      <c r="I241" s="38" t="s">
        <v>1182</v>
      </c>
      <c r="J241" s="39"/>
      <c r="K241" s="39"/>
      <c r="L241" s="40"/>
      <c r="O241" s="9" t="str">
        <f>IF($J241="PC",COUNTIF($J$5:$J241,"PC"),"")</f>
        <v/>
      </c>
      <c r="P241" s="28" t="s">
        <v>1183</v>
      </c>
      <c r="Q241" s="28" t="s">
        <v>1184</v>
      </c>
    </row>
    <row r="242" spans="1:17" ht="42" customHeight="1" x14ac:dyDescent="0.25">
      <c r="A242" s="69">
        <v>6</v>
      </c>
      <c r="B242" s="70" t="s">
        <v>542</v>
      </c>
      <c r="C242" s="71" t="s">
        <v>1153</v>
      </c>
      <c r="D242" s="70" t="s">
        <v>1154</v>
      </c>
      <c r="E242" s="70" t="s">
        <v>1185</v>
      </c>
      <c r="F242" s="58" t="s">
        <v>69</v>
      </c>
      <c r="G242" s="77" t="s">
        <v>1186</v>
      </c>
      <c r="H242" s="37"/>
      <c r="I242" s="38" t="s">
        <v>1187</v>
      </c>
      <c r="J242" s="39"/>
      <c r="K242" s="39"/>
      <c r="L242" s="40"/>
      <c r="O242" s="9" t="str">
        <f>IF($J242="PC",COUNTIF($J$5:$J242,"PC"),"")</f>
        <v/>
      </c>
      <c r="P242" s="28" t="s">
        <v>1188</v>
      </c>
      <c r="Q242" s="28" t="s">
        <v>1189</v>
      </c>
    </row>
    <row r="243" spans="1:17" ht="40.5" customHeight="1" x14ac:dyDescent="0.25">
      <c r="A243" s="69">
        <v>6</v>
      </c>
      <c r="B243" s="70" t="s">
        <v>542</v>
      </c>
      <c r="C243" s="71" t="s">
        <v>1153</v>
      </c>
      <c r="D243" s="70" t="s">
        <v>1154</v>
      </c>
      <c r="E243" s="70" t="s">
        <v>1190</v>
      </c>
      <c r="F243" s="78" t="s">
        <v>69</v>
      </c>
      <c r="G243" s="77" t="s">
        <v>1191</v>
      </c>
      <c r="H243" s="37"/>
      <c r="I243" s="79" t="s">
        <v>696</v>
      </c>
      <c r="J243" s="39"/>
      <c r="K243" s="39"/>
      <c r="L243" s="80"/>
      <c r="M243" s="9" t="str">
        <f>IF($J243="AC",COUNTIF($J$5:$J243,"AC"),"")</f>
        <v/>
      </c>
      <c r="N243" s="9" t="str">
        <f>IF($J243="FB",COUNTIF($J$5:$J243,"FB"),"")</f>
        <v/>
      </c>
      <c r="O243" s="9" t="str">
        <f>IF($J243="PC",COUNTIF($J$5:$J243,"PC"),"")</f>
        <v/>
      </c>
      <c r="P243" s="28" t="s">
        <v>1192</v>
      </c>
      <c r="Q243" s="28" t="s">
        <v>1193</v>
      </c>
    </row>
    <row r="244" spans="1:17" ht="40.5" customHeight="1" x14ac:dyDescent="0.25">
      <c r="A244" s="69">
        <v>6</v>
      </c>
      <c r="B244" s="70" t="s">
        <v>542</v>
      </c>
      <c r="C244" s="71" t="s">
        <v>1153</v>
      </c>
      <c r="D244" s="70" t="s">
        <v>1154</v>
      </c>
      <c r="E244" s="70" t="s">
        <v>1194</v>
      </c>
      <c r="F244" s="78" t="s">
        <v>69</v>
      </c>
      <c r="G244" s="77" t="s">
        <v>1195</v>
      </c>
      <c r="H244" s="37"/>
      <c r="I244" s="79" t="s">
        <v>696</v>
      </c>
      <c r="J244" s="39"/>
      <c r="K244" s="39"/>
      <c r="L244" s="80"/>
      <c r="M244" s="9" t="str">
        <f>IF($J244="AC",COUNTIF($J$5:$J244,"AC"),"")</f>
        <v/>
      </c>
      <c r="N244" s="9" t="str">
        <f>IF($J244="FB",COUNTIF($J$5:$J244,"FB"),"")</f>
        <v/>
      </c>
      <c r="O244" s="9" t="str">
        <f>IF($J244="PC",COUNTIF($J$5:$J244,"PC"),"")</f>
        <v/>
      </c>
      <c r="P244" s="28" t="s">
        <v>1196</v>
      </c>
      <c r="Q244" s="28" t="s">
        <v>1197</v>
      </c>
    </row>
    <row r="245" spans="1:17" ht="40.5" customHeight="1" x14ac:dyDescent="0.25">
      <c r="A245" s="69">
        <v>6</v>
      </c>
      <c r="B245" s="70" t="s">
        <v>542</v>
      </c>
      <c r="C245" s="71" t="s">
        <v>1153</v>
      </c>
      <c r="D245" s="70" t="s">
        <v>1154</v>
      </c>
      <c r="E245" s="70" t="s">
        <v>1198</v>
      </c>
      <c r="F245" s="68" t="s">
        <v>92</v>
      </c>
      <c r="G245" s="77" t="s">
        <v>1199</v>
      </c>
      <c r="H245" s="37"/>
      <c r="I245" s="79" t="s">
        <v>696</v>
      </c>
      <c r="J245" s="39"/>
      <c r="K245" s="39"/>
      <c r="L245" s="80"/>
      <c r="M245" s="9" t="str">
        <f>IF($J245="AC",COUNTIF($J$5:$J245,"AC"),"")</f>
        <v/>
      </c>
      <c r="N245" s="9" t="str">
        <f>IF($J245="FB",COUNTIF($J$5:$J245,"FB"),"")</f>
        <v/>
      </c>
      <c r="O245" s="9" t="str">
        <f>IF($J245="PC",COUNTIF($J$5:$J245,"PC"),"")</f>
        <v/>
      </c>
      <c r="P245" s="28" t="s">
        <v>1200</v>
      </c>
      <c r="Q245" s="28" t="s">
        <v>1201</v>
      </c>
    </row>
    <row r="246" spans="1:17" s="27" customFormat="1" ht="121.5" customHeight="1" x14ac:dyDescent="0.2">
      <c r="A246" s="69">
        <v>6</v>
      </c>
      <c r="B246" s="70" t="s">
        <v>542</v>
      </c>
      <c r="C246" s="71" t="s">
        <v>1153</v>
      </c>
      <c r="D246" s="70" t="s">
        <v>1154</v>
      </c>
      <c r="E246" s="70" t="s">
        <v>1202</v>
      </c>
      <c r="F246" s="82" t="s">
        <v>53</v>
      </c>
      <c r="G246" s="83" t="s">
        <v>1203</v>
      </c>
      <c r="H246" s="84"/>
      <c r="I246" s="85" t="s">
        <v>1204</v>
      </c>
      <c r="J246" s="86"/>
      <c r="K246" s="86"/>
      <c r="L246" s="86"/>
      <c r="M246" s="87"/>
      <c r="N246" s="87"/>
      <c r="O246" s="87" t="str">
        <f>IF($J246="PC",COUNTIF($J$5:$J246,"PC"),"")</f>
        <v/>
      </c>
      <c r="P246" s="28" t="s">
        <v>1205</v>
      </c>
      <c r="Q246" s="28" t="s">
        <v>1206</v>
      </c>
    </row>
    <row r="247" spans="1:17" s="27" customFormat="1" ht="27.75" customHeight="1" x14ac:dyDescent="0.2">
      <c r="A247" s="69">
        <v>6</v>
      </c>
      <c r="B247" s="70" t="s">
        <v>542</v>
      </c>
      <c r="C247" s="71" t="s">
        <v>1153</v>
      </c>
      <c r="D247" s="70" t="s">
        <v>1154</v>
      </c>
      <c r="E247" s="70" t="s">
        <v>1202</v>
      </c>
      <c r="F247" s="82" t="s">
        <v>53</v>
      </c>
      <c r="G247" s="83" t="s">
        <v>1207</v>
      </c>
      <c r="H247" s="84"/>
      <c r="I247" s="85" t="s">
        <v>1208</v>
      </c>
      <c r="J247" s="86"/>
      <c r="K247" s="86"/>
      <c r="L247" s="86"/>
      <c r="M247" s="87"/>
      <c r="N247" s="87"/>
      <c r="O247" s="87" t="str">
        <f>IF($J247="PC",COUNTIF($J$5:$J247,"PC"),"")</f>
        <v/>
      </c>
      <c r="P247" s="28" t="s">
        <v>1209</v>
      </c>
      <c r="Q247" s="28" t="s">
        <v>1210</v>
      </c>
    </row>
    <row r="248" spans="1:17" s="27" customFormat="1" ht="81" customHeight="1" x14ac:dyDescent="0.2">
      <c r="A248" s="69">
        <v>6</v>
      </c>
      <c r="B248" s="70" t="s">
        <v>542</v>
      </c>
      <c r="C248" s="71" t="s">
        <v>1153</v>
      </c>
      <c r="D248" s="70" t="s">
        <v>1154</v>
      </c>
      <c r="E248" s="70" t="s">
        <v>1202</v>
      </c>
      <c r="F248" s="82" t="s">
        <v>53</v>
      </c>
      <c r="G248" s="83" t="s">
        <v>1211</v>
      </c>
      <c r="H248" s="84"/>
      <c r="I248" s="85" t="s">
        <v>1212</v>
      </c>
      <c r="J248" s="86"/>
      <c r="K248" s="86"/>
      <c r="L248" s="86"/>
      <c r="M248" s="87"/>
      <c r="N248" s="87"/>
      <c r="O248" s="87" t="str">
        <f>IF($J248="PC",COUNTIF($J$5:$J248,"PC"),"")</f>
        <v/>
      </c>
      <c r="P248" s="28" t="s">
        <v>1213</v>
      </c>
      <c r="Q248" s="28" t="s">
        <v>1214</v>
      </c>
    </row>
    <row r="249" spans="1:17" s="27" customFormat="1" ht="108" customHeight="1" x14ac:dyDescent="0.2">
      <c r="A249" s="69">
        <v>6</v>
      </c>
      <c r="B249" s="70" t="s">
        <v>542</v>
      </c>
      <c r="C249" s="71" t="s">
        <v>1153</v>
      </c>
      <c r="D249" s="70" t="s">
        <v>1154</v>
      </c>
      <c r="E249" s="70" t="s">
        <v>1215</v>
      </c>
      <c r="F249" s="66" t="s">
        <v>53</v>
      </c>
      <c r="G249" s="72" t="s">
        <v>1216</v>
      </c>
      <c r="H249" s="73"/>
      <c r="I249" s="24" t="s">
        <v>1217</v>
      </c>
      <c r="J249" s="25"/>
      <c r="K249" s="25"/>
      <c r="L249" s="26"/>
      <c r="O249" s="27" t="str">
        <f>IF($J249="PC",COUNTIF($J$5:$J249,"PC"),"")</f>
        <v/>
      </c>
      <c r="P249" s="28" t="s">
        <v>1218</v>
      </c>
      <c r="Q249" s="28" t="s">
        <v>1219</v>
      </c>
    </row>
    <row r="250" spans="1:17" s="27" customFormat="1" ht="94.5" customHeight="1" x14ac:dyDescent="0.2">
      <c r="A250" s="69">
        <v>6</v>
      </c>
      <c r="B250" s="70" t="s">
        <v>542</v>
      </c>
      <c r="C250" s="71" t="s">
        <v>1153</v>
      </c>
      <c r="D250" s="70" t="s">
        <v>1154</v>
      </c>
      <c r="E250" s="70" t="s">
        <v>1220</v>
      </c>
      <c r="F250" s="82" t="s">
        <v>53</v>
      </c>
      <c r="G250" s="83" t="s">
        <v>1221</v>
      </c>
      <c r="H250" s="84"/>
      <c r="I250" s="85" t="s">
        <v>1222</v>
      </c>
      <c r="J250" s="86"/>
      <c r="K250" s="86"/>
      <c r="L250" s="86"/>
      <c r="M250" s="87"/>
      <c r="N250" s="87"/>
      <c r="O250" s="87" t="str">
        <f>IF($J250="PC",COUNTIF($J$5:$J250,"PC"),"")</f>
        <v/>
      </c>
      <c r="P250" s="28" t="s">
        <v>1223</v>
      </c>
      <c r="Q250" s="28" t="s">
        <v>1224</v>
      </c>
    </row>
    <row r="251" spans="1:17" s="27" customFormat="1" ht="67.5" customHeight="1" x14ac:dyDescent="0.2">
      <c r="A251" s="69">
        <v>6</v>
      </c>
      <c r="B251" s="70" t="s">
        <v>542</v>
      </c>
      <c r="C251" s="71" t="s">
        <v>1153</v>
      </c>
      <c r="D251" s="70" t="s">
        <v>1154</v>
      </c>
      <c r="E251" s="70" t="s">
        <v>1220</v>
      </c>
      <c r="F251" s="82" t="s">
        <v>53</v>
      </c>
      <c r="G251" s="83" t="s">
        <v>1225</v>
      </c>
      <c r="H251" s="84"/>
      <c r="I251" s="85" t="s">
        <v>1226</v>
      </c>
      <c r="J251" s="86"/>
      <c r="K251" s="86"/>
      <c r="L251" s="86"/>
      <c r="M251" s="87"/>
      <c r="N251" s="87"/>
      <c r="O251" s="87" t="str">
        <f>IF($J251="PC",COUNTIF($J$5:$J251,"PC"),"")</f>
        <v/>
      </c>
      <c r="P251" s="28" t="s">
        <v>1227</v>
      </c>
      <c r="Q251" s="28" t="s">
        <v>1228</v>
      </c>
    </row>
    <row r="252" spans="1:17" s="27" customFormat="1" ht="94.5" customHeight="1" x14ac:dyDescent="0.2">
      <c r="A252" s="69">
        <v>6</v>
      </c>
      <c r="B252" s="70" t="s">
        <v>542</v>
      </c>
      <c r="C252" s="71" t="s">
        <v>1153</v>
      </c>
      <c r="D252" s="70" t="s">
        <v>1154</v>
      </c>
      <c r="E252" s="70" t="s">
        <v>1220</v>
      </c>
      <c r="F252" s="82" t="s">
        <v>53</v>
      </c>
      <c r="G252" s="83" t="s">
        <v>1229</v>
      </c>
      <c r="H252" s="84"/>
      <c r="I252" s="85" t="s">
        <v>1230</v>
      </c>
      <c r="J252" s="86"/>
      <c r="K252" s="86"/>
      <c r="L252" s="86"/>
      <c r="M252" s="87" t="str">
        <f>IF($J252="AC",COUNTIF($J$5:$J252,"AC"),"")</f>
        <v/>
      </c>
      <c r="N252" s="87" t="str">
        <f>IF($J252="FB",COUNTIF($J$5:$J252,"FB"),"")</f>
        <v/>
      </c>
      <c r="O252" s="87" t="str">
        <f>IF($J252="PC",COUNTIF($J$5:$J252,"PC"),"")</f>
        <v/>
      </c>
      <c r="P252" s="28" t="s">
        <v>1231</v>
      </c>
      <c r="Q252" s="28" t="s">
        <v>1232</v>
      </c>
    </row>
    <row r="253" spans="1:17" s="27" customFormat="1" ht="27.75" customHeight="1" x14ac:dyDescent="0.2">
      <c r="A253" s="69">
        <v>6</v>
      </c>
      <c r="B253" s="70" t="s">
        <v>542</v>
      </c>
      <c r="C253" s="71" t="s">
        <v>1153</v>
      </c>
      <c r="D253" s="70" t="s">
        <v>1154</v>
      </c>
      <c r="E253" s="70" t="s">
        <v>1220</v>
      </c>
      <c r="F253" s="82" t="s">
        <v>53</v>
      </c>
      <c r="G253" s="83" t="s">
        <v>1233</v>
      </c>
      <c r="H253" s="84"/>
      <c r="I253" s="85" t="s">
        <v>1234</v>
      </c>
      <c r="J253" s="86"/>
      <c r="K253" s="86"/>
      <c r="L253" s="86"/>
      <c r="M253" s="87"/>
      <c r="N253" s="87"/>
      <c r="O253" s="87" t="str">
        <f>IF($J253="PC",COUNTIF($J$5:$J253,"PC"),"")</f>
        <v/>
      </c>
      <c r="P253" s="28" t="s">
        <v>1235</v>
      </c>
      <c r="Q253" s="28" t="s">
        <v>1236</v>
      </c>
    </row>
    <row r="254" spans="1:17" s="27" customFormat="1" ht="94.5" customHeight="1" x14ac:dyDescent="0.2">
      <c r="A254" s="69">
        <v>6</v>
      </c>
      <c r="B254" s="70" t="s">
        <v>542</v>
      </c>
      <c r="C254" s="71" t="s">
        <v>1153</v>
      </c>
      <c r="D254" s="70" t="s">
        <v>1154</v>
      </c>
      <c r="E254" s="70" t="s">
        <v>1220</v>
      </c>
      <c r="F254" s="82" t="s">
        <v>53</v>
      </c>
      <c r="G254" s="83" t="s">
        <v>1237</v>
      </c>
      <c r="H254" s="84"/>
      <c r="I254" s="85" t="s">
        <v>1238</v>
      </c>
      <c r="J254" s="86"/>
      <c r="K254" s="86"/>
      <c r="L254" s="86"/>
      <c r="M254" s="87"/>
      <c r="N254" s="87"/>
      <c r="O254" s="87" t="str">
        <f>IF($J254="PC",COUNTIF($J$5:$J254,"PC"),"")</f>
        <v/>
      </c>
      <c r="P254" s="28" t="s">
        <v>1239</v>
      </c>
      <c r="Q254" s="28" t="s">
        <v>1240</v>
      </c>
    </row>
    <row r="255" spans="1:17" ht="27" customHeight="1" x14ac:dyDescent="0.25">
      <c r="A255" s="69">
        <v>6</v>
      </c>
      <c r="B255" s="70" t="s">
        <v>542</v>
      </c>
      <c r="C255" s="71" t="s">
        <v>1153</v>
      </c>
      <c r="D255" s="70" t="s">
        <v>1154</v>
      </c>
      <c r="E255" s="70" t="s">
        <v>1241</v>
      </c>
      <c r="F255" s="88" t="s">
        <v>69</v>
      </c>
      <c r="G255" s="77" t="s">
        <v>1242</v>
      </c>
      <c r="H255" s="89"/>
      <c r="I255" s="81" t="s">
        <v>854</v>
      </c>
      <c r="J255" s="90"/>
      <c r="K255" s="39"/>
      <c r="L255" s="40"/>
      <c r="M255" s="9" t="str">
        <f>IF($J255="AC",COUNTIF($J$5:$J255,"AC"),"")</f>
        <v/>
      </c>
      <c r="N255" s="9" t="str">
        <f>IF($J255="FB",COUNTIF($J$5:$J255,"FB"),"")</f>
        <v/>
      </c>
      <c r="O255" s="9" t="str">
        <f>IF($J255="PC",COUNTIF($J$5:$J255,"PC"),"")</f>
        <v/>
      </c>
      <c r="P255" s="28" t="s">
        <v>1243</v>
      </c>
      <c r="Q255" s="28" t="s">
        <v>1244</v>
      </c>
    </row>
    <row r="256" spans="1:17" ht="27" customHeight="1" x14ac:dyDescent="0.25">
      <c r="A256" s="69">
        <v>6</v>
      </c>
      <c r="B256" s="70" t="s">
        <v>542</v>
      </c>
      <c r="C256" s="71" t="s">
        <v>1153</v>
      </c>
      <c r="D256" s="70" t="s">
        <v>1154</v>
      </c>
      <c r="E256" s="70" t="s">
        <v>1241</v>
      </c>
      <c r="F256" s="92" t="s">
        <v>92</v>
      </c>
      <c r="G256" s="93" t="s">
        <v>1245</v>
      </c>
      <c r="H256" s="94"/>
      <c r="I256" s="95" t="s">
        <v>1246</v>
      </c>
      <c r="J256" s="96"/>
      <c r="K256" s="96"/>
      <c r="L256" s="96"/>
      <c r="M256" s="97" t="str">
        <f>IF($J256="AC",COUNTIF($J$5:$J256,"AC"),"")</f>
        <v/>
      </c>
      <c r="N256" s="97" t="str">
        <f>IF($J256="FB",COUNTIF($J$5:$J256,"FB"),"")</f>
        <v/>
      </c>
      <c r="O256" s="97" t="str">
        <f>IF($J256="PC",COUNTIF($J$5:$J256,"PC"),"")</f>
        <v/>
      </c>
      <c r="P256" s="28" t="s">
        <v>1247</v>
      </c>
      <c r="Q256" s="28" t="s">
        <v>1248</v>
      </c>
    </row>
    <row r="257" spans="1:17" ht="27" customHeight="1" x14ac:dyDescent="0.25">
      <c r="A257" s="69">
        <v>6</v>
      </c>
      <c r="B257" s="70" t="s">
        <v>542</v>
      </c>
      <c r="C257" s="71" t="s">
        <v>1153</v>
      </c>
      <c r="D257" s="70" t="s">
        <v>1154</v>
      </c>
      <c r="E257" s="70" t="s">
        <v>1241</v>
      </c>
      <c r="F257" s="92" t="s">
        <v>92</v>
      </c>
      <c r="G257" s="93" t="s">
        <v>1249</v>
      </c>
      <c r="H257" s="94"/>
      <c r="I257" s="95" t="s">
        <v>994</v>
      </c>
      <c r="J257" s="96"/>
      <c r="K257" s="96"/>
      <c r="L257" s="96"/>
      <c r="M257" s="97" t="str">
        <f>IF($J257="AC",COUNTIF($J$5:$J257,"AC"),"")</f>
        <v/>
      </c>
      <c r="N257" s="97" t="str">
        <f>IF($J257="FB",COUNTIF($J$5:$J257,"FB"),"")</f>
        <v/>
      </c>
      <c r="O257" s="97" t="str">
        <f>IF($J257="PC",COUNTIF($J$5:$J257,"PC"),"")</f>
        <v/>
      </c>
      <c r="P257" s="28" t="s">
        <v>1250</v>
      </c>
      <c r="Q257" s="28" t="s">
        <v>1251</v>
      </c>
    </row>
    <row r="258" spans="1:17" ht="27" customHeight="1" x14ac:dyDescent="0.25">
      <c r="A258" s="69">
        <v>6</v>
      </c>
      <c r="B258" s="70" t="s">
        <v>542</v>
      </c>
      <c r="C258" s="71" t="s">
        <v>1153</v>
      </c>
      <c r="D258" s="70" t="s">
        <v>1154</v>
      </c>
      <c r="E258" s="70" t="s">
        <v>1241</v>
      </c>
      <c r="F258" s="98" t="s">
        <v>69</v>
      </c>
      <c r="G258" s="93" t="s">
        <v>1252</v>
      </c>
      <c r="H258" s="94"/>
      <c r="I258" s="95" t="s">
        <v>1253</v>
      </c>
      <c r="J258" s="96"/>
      <c r="K258" s="96"/>
      <c r="L258" s="96"/>
      <c r="M258" s="97" t="str">
        <f>IF($J258="AC",COUNTIF($J$5:$J258,"AC"),"")</f>
        <v/>
      </c>
      <c r="N258" s="97" t="str">
        <f>IF($J258="FB",COUNTIF($J$5:$J258,"FB"),"")</f>
        <v/>
      </c>
      <c r="O258" s="97" t="str">
        <f>IF($J258="PC",COUNTIF($J$5:$J258,"PC"),"")</f>
        <v/>
      </c>
      <c r="P258" s="28" t="s">
        <v>1254</v>
      </c>
      <c r="Q258" s="28" t="s">
        <v>1255</v>
      </c>
    </row>
    <row r="259" spans="1:17" ht="27" customHeight="1" x14ac:dyDescent="0.25">
      <c r="A259" s="69">
        <v>6</v>
      </c>
      <c r="B259" s="70" t="s">
        <v>542</v>
      </c>
      <c r="C259" s="71" t="s">
        <v>1153</v>
      </c>
      <c r="D259" s="70" t="s">
        <v>1154</v>
      </c>
      <c r="E259" s="70" t="s">
        <v>1241</v>
      </c>
      <c r="F259" s="82" t="s">
        <v>53</v>
      </c>
      <c r="G259" s="93" t="s">
        <v>1256</v>
      </c>
      <c r="H259" s="94"/>
      <c r="I259" s="95" t="s">
        <v>1253</v>
      </c>
      <c r="J259" s="96"/>
      <c r="K259" s="96"/>
      <c r="L259" s="96"/>
      <c r="M259" s="97" t="str">
        <f>IF($J259="AC",COUNTIF($J$5:$J259,"AC"),"")</f>
        <v/>
      </c>
      <c r="N259" s="97" t="str">
        <f>IF($J259="FB",COUNTIF($J$5:$J259,"FB"),"")</f>
        <v/>
      </c>
      <c r="O259" s="97" t="str">
        <f>IF($J259="PC",COUNTIF($J$5:$J259,"PC"),"")</f>
        <v/>
      </c>
      <c r="P259" s="28" t="s">
        <v>1257</v>
      </c>
      <c r="Q259" s="28" t="s">
        <v>1258</v>
      </c>
    </row>
    <row r="260" spans="1:17" ht="40.5" customHeight="1" x14ac:dyDescent="0.25">
      <c r="A260" s="69">
        <v>6</v>
      </c>
      <c r="B260" s="70" t="s">
        <v>542</v>
      </c>
      <c r="C260" s="71" t="s">
        <v>1153</v>
      </c>
      <c r="D260" s="70" t="s">
        <v>1154</v>
      </c>
      <c r="E260" s="70" t="s">
        <v>1259</v>
      </c>
      <c r="F260" s="98" t="s">
        <v>69</v>
      </c>
      <c r="G260" s="77" t="s">
        <v>1260</v>
      </c>
      <c r="H260" s="89"/>
      <c r="I260" s="81" t="s">
        <v>854</v>
      </c>
      <c r="J260" s="90"/>
      <c r="K260" s="39"/>
      <c r="L260" s="40"/>
      <c r="M260" s="9" t="str">
        <f>IF($J260="AC",COUNTIF($J$5:$J260,"AC"),"")</f>
        <v/>
      </c>
      <c r="N260" s="9" t="str">
        <f>IF($J260="FB",COUNTIF($J$5:$J260,"FB"),"")</f>
        <v/>
      </c>
      <c r="O260" s="9" t="str">
        <f>IF($J260="PC",COUNTIF($J$5:$J260,"PC"),"")</f>
        <v/>
      </c>
      <c r="P260" s="28" t="s">
        <v>1261</v>
      </c>
      <c r="Q260" s="28" t="s">
        <v>1262</v>
      </c>
    </row>
    <row r="261" spans="1:17" ht="27" customHeight="1" x14ac:dyDescent="0.25">
      <c r="A261" s="69">
        <v>6</v>
      </c>
      <c r="B261" s="70" t="s">
        <v>542</v>
      </c>
      <c r="C261" s="71" t="s">
        <v>1153</v>
      </c>
      <c r="D261" s="70" t="s">
        <v>1154</v>
      </c>
      <c r="E261" s="70" t="s">
        <v>1259</v>
      </c>
      <c r="F261" s="66" t="s">
        <v>53</v>
      </c>
      <c r="G261" s="93" t="s">
        <v>1263</v>
      </c>
      <c r="H261" s="94"/>
      <c r="I261" s="95" t="s">
        <v>1264</v>
      </c>
      <c r="J261" s="96"/>
      <c r="K261" s="96"/>
      <c r="L261" s="96"/>
      <c r="M261" s="97"/>
      <c r="N261" s="97"/>
      <c r="O261" s="97" t="str">
        <f>IF($J261="PC",COUNTIF($J$5:$J261,"PC"),"")</f>
        <v/>
      </c>
      <c r="P261" s="28" t="s">
        <v>1265</v>
      </c>
      <c r="Q261" s="28" t="s">
        <v>1266</v>
      </c>
    </row>
    <row r="262" spans="1:17" ht="27" customHeight="1" x14ac:dyDescent="0.25">
      <c r="A262" s="69">
        <v>6</v>
      </c>
      <c r="B262" s="70" t="s">
        <v>542</v>
      </c>
      <c r="C262" s="71" t="s">
        <v>1153</v>
      </c>
      <c r="D262" s="70" t="s">
        <v>1154</v>
      </c>
      <c r="E262" s="70" t="s">
        <v>1259</v>
      </c>
      <c r="F262" s="66" t="s">
        <v>53</v>
      </c>
      <c r="G262" s="93" t="s">
        <v>1267</v>
      </c>
      <c r="H262" s="94"/>
      <c r="I262" s="95" t="s">
        <v>1268</v>
      </c>
      <c r="J262" s="96"/>
      <c r="K262" s="96"/>
      <c r="L262" s="96"/>
      <c r="M262" s="97"/>
      <c r="N262" s="97"/>
      <c r="O262" s="97" t="str">
        <f>IF($J262="PC",COUNTIF($J$5:$J262,"PC"),"")</f>
        <v/>
      </c>
      <c r="P262" s="28" t="s">
        <v>1269</v>
      </c>
      <c r="Q262" s="28" t="s">
        <v>1270</v>
      </c>
    </row>
    <row r="263" spans="1:17" ht="40.5" customHeight="1" x14ac:dyDescent="0.25">
      <c r="A263" s="69">
        <v>6</v>
      </c>
      <c r="B263" s="70" t="s">
        <v>542</v>
      </c>
      <c r="C263" s="71" t="s">
        <v>1153</v>
      </c>
      <c r="D263" s="70" t="s">
        <v>1154</v>
      </c>
      <c r="E263" s="70" t="s">
        <v>1259</v>
      </c>
      <c r="F263" s="98" t="s">
        <v>69</v>
      </c>
      <c r="G263" s="93" t="s">
        <v>1271</v>
      </c>
      <c r="H263" s="94"/>
      <c r="I263" s="95" t="s">
        <v>1272</v>
      </c>
      <c r="J263" s="96"/>
      <c r="K263" s="96"/>
      <c r="L263" s="96"/>
      <c r="M263" s="97"/>
      <c r="N263" s="97"/>
      <c r="O263" s="97" t="str">
        <f>IF($J263="PC",COUNTIF($J$5:$J263,"PC"),"")</f>
        <v/>
      </c>
      <c r="P263" s="28" t="s">
        <v>1273</v>
      </c>
      <c r="Q263" s="28" t="s">
        <v>1274</v>
      </c>
    </row>
    <row r="264" spans="1:17" ht="27" customHeight="1" x14ac:dyDescent="0.25">
      <c r="A264" s="69">
        <v>6</v>
      </c>
      <c r="B264" s="70" t="s">
        <v>542</v>
      </c>
      <c r="C264" s="71" t="s">
        <v>1153</v>
      </c>
      <c r="D264" s="70" t="s">
        <v>1154</v>
      </c>
      <c r="E264" s="70" t="s">
        <v>1259</v>
      </c>
      <c r="F264" s="67" t="s">
        <v>165</v>
      </c>
      <c r="G264" s="93" t="s">
        <v>1275</v>
      </c>
      <c r="H264" s="94"/>
      <c r="I264" s="95" t="s">
        <v>994</v>
      </c>
      <c r="J264" s="96"/>
      <c r="K264" s="96"/>
      <c r="L264" s="96"/>
      <c r="M264" s="97" t="str">
        <f>IF($J264="AC",COUNTIF($J$5:$J264,"AC"),"")</f>
        <v/>
      </c>
      <c r="N264" s="97" t="str">
        <f>IF($J264="FB",COUNTIF($J$5:$J264,"FB"),"")</f>
        <v/>
      </c>
      <c r="O264" s="97" t="str">
        <f>IF($J264="PC",COUNTIF($J$5:$J264,"PC"),"")</f>
        <v/>
      </c>
      <c r="P264" s="28" t="s">
        <v>1276</v>
      </c>
      <c r="Q264" s="28" t="s">
        <v>1277</v>
      </c>
    </row>
    <row r="265" spans="1:17" s="27" customFormat="1" ht="42" customHeight="1" x14ac:dyDescent="0.2">
      <c r="A265" s="69">
        <v>6</v>
      </c>
      <c r="B265" s="70" t="s">
        <v>542</v>
      </c>
      <c r="C265" s="71" t="s">
        <v>1278</v>
      </c>
      <c r="D265" s="70" t="s">
        <v>1279</v>
      </c>
      <c r="E265" s="70" t="s">
        <v>1280</v>
      </c>
      <c r="F265" s="66" t="s">
        <v>53</v>
      </c>
      <c r="G265" s="72" t="s">
        <v>1281</v>
      </c>
      <c r="H265" s="73"/>
      <c r="I265" s="24" t="s">
        <v>1282</v>
      </c>
      <c r="J265" s="25"/>
      <c r="K265" s="25"/>
      <c r="L265" s="26"/>
      <c r="O265" s="27" t="str">
        <f>IF($J265="PC",COUNTIF($J$5:$J265,"PC"),"")</f>
        <v/>
      </c>
      <c r="P265" s="28" t="s">
        <v>1283</v>
      </c>
      <c r="Q265" s="28" t="s">
        <v>1284</v>
      </c>
    </row>
    <row r="266" spans="1:17" s="27" customFormat="1" ht="40.5" customHeight="1" x14ac:dyDescent="0.2">
      <c r="A266" s="69">
        <v>6</v>
      </c>
      <c r="B266" s="70" t="s">
        <v>542</v>
      </c>
      <c r="C266" s="71" t="s">
        <v>1278</v>
      </c>
      <c r="D266" s="70" t="s">
        <v>1279</v>
      </c>
      <c r="E266" s="70" t="s">
        <v>1285</v>
      </c>
      <c r="F266" s="66" t="s">
        <v>53</v>
      </c>
      <c r="G266" s="72" t="s">
        <v>1286</v>
      </c>
      <c r="H266" s="73"/>
      <c r="I266" s="24" t="s">
        <v>1287</v>
      </c>
      <c r="J266" s="25"/>
      <c r="K266" s="25"/>
      <c r="L266" s="26"/>
      <c r="O266" s="27" t="str">
        <f>IF($J266="PC",COUNTIF($J$5:$J266,"PC"),"")</f>
        <v/>
      </c>
      <c r="P266" s="28" t="s">
        <v>1288</v>
      </c>
      <c r="Q266" s="28" t="s">
        <v>1289</v>
      </c>
    </row>
    <row r="267" spans="1:17" ht="45.75" customHeight="1" x14ac:dyDescent="0.25">
      <c r="A267" s="69">
        <v>6</v>
      </c>
      <c r="B267" s="70" t="s">
        <v>542</v>
      </c>
      <c r="C267" s="71" t="s">
        <v>1278</v>
      </c>
      <c r="D267" s="70" t="s">
        <v>1279</v>
      </c>
      <c r="E267" s="70" t="s">
        <v>305</v>
      </c>
      <c r="F267" s="58" t="s">
        <v>69</v>
      </c>
      <c r="G267" s="77" t="s">
        <v>1290</v>
      </c>
      <c r="H267" s="37"/>
      <c r="I267" s="38" t="s">
        <v>1291</v>
      </c>
      <c r="J267" s="39"/>
      <c r="K267" s="39"/>
      <c r="L267" s="40"/>
      <c r="O267" s="9" t="str">
        <f>IF($J267="PC",COUNTIF($J$5:$J267,"PC"),"")</f>
        <v/>
      </c>
      <c r="P267" s="28" t="s">
        <v>1292</v>
      </c>
      <c r="Q267" s="28" t="s">
        <v>1293</v>
      </c>
    </row>
    <row r="268" spans="1:17" ht="45.75" customHeight="1" x14ac:dyDescent="0.25">
      <c r="A268" s="69">
        <v>6</v>
      </c>
      <c r="B268" s="70" t="s">
        <v>542</v>
      </c>
      <c r="C268" s="71" t="s">
        <v>1278</v>
      </c>
      <c r="D268" s="70" t="s">
        <v>1279</v>
      </c>
      <c r="E268" s="70" t="s">
        <v>1294</v>
      </c>
      <c r="F268" s="92" t="s">
        <v>92</v>
      </c>
      <c r="G268" s="77" t="s">
        <v>1295</v>
      </c>
      <c r="H268" s="37"/>
      <c r="I268" s="38" t="s">
        <v>1296</v>
      </c>
      <c r="J268" s="39"/>
      <c r="K268" s="39"/>
      <c r="L268" s="40"/>
      <c r="M268" s="9" t="str">
        <f>IF($J268="AC",COUNTIF($J$5:$J268,"AC"),"")</f>
        <v/>
      </c>
      <c r="N268" s="9" t="str">
        <f>IF($J268="FB",COUNTIF($J$5:$J268,"FB"),"")</f>
        <v/>
      </c>
      <c r="O268" s="9" t="str">
        <f>IF($J268="PC",COUNTIF($J$5:$J268,"PC"),"")</f>
        <v/>
      </c>
      <c r="P268" s="28" t="s">
        <v>1297</v>
      </c>
      <c r="Q268" s="28" t="s">
        <v>1298</v>
      </c>
    </row>
    <row r="269" spans="1:17" ht="45.75" customHeight="1" x14ac:dyDescent="0.25">
      <c r="A269" s="69">
        <v>6</v>
      </c>
      <c r="B269" s="70" t="s">
        <v>542</v>
      </c>
      <c r="C269" s="71" t="s">
        <v>1278</v>
      </c>
      <c r="D269" s="70" t="s">
        <v>1279</v>
      </c>
      <c r="E269" s="70" t="s">
        <v>1299</v>
      </c>
      <c r="F269" s="92" t="s">
        <v>92</v>
      </c>
      <c r="G269" s="77" t="s">
        <v>1300</v>
      </c>
      <c r="H269" s="37"/>
      <c r="I269" s="38" t="s">
        <v>1301</v>
      </c>
      <c r="J269" s="39"/>
      <c r="K269" s="39"/>
      <c r="L269" s="40"/>
      <c r="O269" s="9" t="str">
        <f>IF($J269="PC",COUNTIF($J$5:$J269,"PC"),"")</f>
        <v/>
      </c>
      <c r="P269" s="28" t="s">
        <v>1302</v>
      </c>
      <c r="Q269" s="28" t="s">
        <v>1303</v>
      </c>
    </row>
    <row r="270" spans="1:17" ht="45.75" customHeight="1" x14ac:dyDescent="0.25">
      <c r="A270" s="69">
        <v>6</v>
      </c>
      <c r="B270" s="70" t="s">
        <v>542</v>
      </c>
      <c r="C270" s="71" t="s">
        <v>1278</v>
      </c>
      <c r="D270" s="70" t="s">
        <v>1279</v>
      </c>
      <c r="E270" s="70" t="s">
        <v>1304</v>
      </c>
      <c r="F270" s="92" t="s">
        <v>92</v>
      </c>
      <c r="G270" s="77" t="s">
        <v>1305</v>
      </c>
      <c r="H270" s="37"/>
      <c r="I270" s="38" t="s">
        <v>1306</v>
      </c>
      <c r="J270" s="39"/>
      <c r="K270" s="39"/>
      <c r="L270" s="40"/>
      <c r="O270" s="9" t="str">
        <f>IF($J270="PC",COUNTIF($J$5:$J270,"PC"),"")</f>
        <v/>
      </c>
      <c r="P270" s="28" t="s">
        <v>1307</v>
      </c>
      <c r="Q270" s="28" t="s">
        <v>1308</v>
      </c>
    </row>
    <row r="271" spans="1:17" ht="40.5" customHeight="1" x14ac:dyDescent="0.25">
      <c r="A271" s="69">
        <v>6</v>
      </c>
      <c r="B271" s="70" t="s">
        <v>542</v>
      </c>
      <c r="C271" s="71" t="s">
        <v>1278</v>
      </c>
      <c r="D271" s="70" t="s">
        <v>1279</v>
      </c>
      <c r="E271" s="70" t="s">
        <v>1309</v>
      </c>
      <c r="F271" s="78" t="s">
        <v>69</v>
      </c>
      <c r="G271" s="77" t="s">
        <v>1310</v>
      </c>
      <c r="H271" s="37"/>
      <c r="I271" s="81" t="s">
        <v>696</v>
      </c>
      <c r="J271" s="39"/>
      <c r="K271" s="39"/>
      <c r="L271" s="40"/>
      <c r="M271" s="9" t="str">
        <f>IF($J271="AC",COUNTIF($J$5:$J271,"AC"),"")</f>
        <v/>
      </c>
      <c r="N271" s="9" t="str">
        <f>IF($J271="FB",COUNTIF($J$5:$J271,"FB"),"")</f>
        <v/>
      </c>
      <c r="O271" s="9" t="str">
        <f>IF($J271="PC",COUNTIF($J$5:$J271,"PC"),"")</f>
        <v/>
      </c>
      <c r="P271" s="28" t="s">
        <v>1311</v>
      </c>
      <c r="Q271" s="28" t="s">
        <v>1312</v>
      </c>
    </row>
    <row r="272" spans="1:17" s="27" customFormat="1" ht="40.5" customHeight="1" x14ac:dyDescent="0.2">
      <c r="A272" s="69">
        <v>6</v>
      </c>
      <c r="B272" s="70" t="s">
        <v>542</v>
      </c>
      <c r="C272" s="71" t="s">
        <v>1278</v>
      </c>
      <c r="D272" s="70" t="s">
        <v>1279</v>
      </c>
      <c r="E272" s="70" t="s">
        <v>1313</v>
      </c>
      <c r="F272" s="66" t="s">
        <v>53</v>
      </c>
      <c r="G272" s="72" t="s">
        <v>1314</v>
      </c>
      <c r="H272" s="73"/>
      <c r="I272" s="24" t="s">
        <v>854</v>
      </c>
      <c r="J272" s="25"/>
      <c r="K272" s="25"/>
      <c r="L272" s="26"/>
      <c r="M272" s="27" t="str">
        <f>IF($J272="AC",COUNTIF($J$5:$J272,"AC"),"")</f>
        <v/>
      </c>
      <c r="N272" s="27" t="str">
        <f>IF($J272="FB",COUNTIF($J$5:$J272,"FB"),"")</f>
        <v/>
      </c>
      <c r="O272" s="27" t="str">
        <f>IF($J272="PC",COUNTIF($J$5:$J272,"PC"),"")</f>
        <v/>
      </c>
      <c r="P272" s="28" t="s">
        <v>1315</v>
      </c>
      <c r="Q272" s="28" t="s">
        <v>1316</v>
      </c>
    </row>
    <row r="273" spans="1:17" s="27" customFormat="1" ht="40.5" customHeight="1" x14ac:dyDescent="0.2">
      <c r="A273" s="69">
        <v>6</v>
      </c>
      <c r="B273" s="70" t="s">
        <v>542</v>
      </c>
      <c r="C273" s="71" t="s">
        <v>1278</v>
      </c>
      <c r="D273" s="70" t="s">
        <v>1279</v>
      </c>
      <c r="E273" s="70" t="s">
        <v>1313</v>
      </c>
      <c r="F273" s="82" t="s">
        <v>53</v>
      </c>
      <c r="G273" s="83" t="s">
        <v>1317</v>
      </c>
      <c r="H273" s="84"/>
      <c r="I273" s="85" t="s">
        <v>1318</v>
      </c>
      <c r="J273" s="86"/>
      <c r="K273" s="86"/>
      <c r="L273" s="86"/>
      <c r="M273" s="87"/>
      <c r="N273" s="87"/>
      <c r="O273" s="87" t="str">
        <f>IF($J273="PC",COUNTIF($J$5:$J273,"PC"),"")</f>
        <v/>
      </c>
      <c r="P273" s="28" t="s">
        <v>1319</v>
      </c>
      <c r="Q273" s="28" t="s">
        <v>1320</v>
      </c>
    </row>
    <row r="274" spans="1:17" s="27" customFormat="1" ht="40.5" customHeight="1" x14ac:dyDescent="0.2">
      <c r="A274" s="69">
        <v>6</v>
      </c>
      <c r="B274" s="70" t="s">
        <v>542</v>
      </c>
      <c r="C274" s="71" t="s">
        <v>1278</v>
      </c>
      <c r="D274" s="70" t="s">
        <v>1279</v>
      </c>
      <c r="E274" s="70" t="s">
        <v>1313</v>
      </c>
      <c r="F274" s="82" t="s">
        <v>53</v>
      </c>
      <c r="G274" s="83" t="s">
        <v>1321</v>
      </c>
      <c r="H274" s="84"/>
      <c r="I274" s="85" t="s">
        <v>1322</v>
      </c>
      <c r="J274" s="86"/>
      <c r="K274" s="86"/>
      <c r="L274" s="86"/>
      <c r="M274" s="87"/>
      <c r="N274" s="87"/>
      <c r="O274" s="87" t="str">
        <f>IF($J274="PC",COUNTIF($J$5:$J274,"PC"),"")</f>
        <v/>
      </c>
      <c r="P274" s="28" t="s">
        <v>1323</v>
      </c>
      <c r="Q274" s="28" t="s">
        <v>1324</v>
      </c>
    </row>
    <row r="275" spans="1:17" ht="40.5" customHeight="1" x14ac:dyDescent="0.25">
      <c r="A275" s="69">
        <v>6</v>
      </c>
      <c r="B275" s="70" t="s">
        <v>542</v>
      </c>
      <c r="C275" s="71" t="s">
        <v>1278</v>
      </c>
      <c r="D275" s="70" t="s">
        <v>1279</v>
      </c>
      <c r="E275" s="70" t="s">
        <v>1325</v>
      </c>
      <c r="F275" s="88" t="s">
        <v>69</v>
      </c>
      <c r="G275" s="77" t="s">
        <v>1326</v>
      </c>
      <c r="H275" s="89"/>
      <c r="I275" s="81" t="s">
        <v>854</v>
      </c>
      <c r="J275" s="90"/>
      <c r="K275" s="39"/>
      <c r="L275" s="40"/>
      <c r="M275" s="9" t="str">
        <f>IF($J275="AC",COUNTIF($J$5:$J275,"AC"),"")</f>
        <v/>
      </c>
      <c r="N275" s="9" t="str">
        <f>IF($J275="FB",COUNTIF($J$5:$J275,"FB"),"")</f>
        <v/>
      </c>
      <c r="O275" s="9" t="str">
        <f>IF($J275="PC",COUNTIF($J$5:$J275,"PC"),"")</f>
        <v/>
      </c>
      <c r="P275" s="28" t="s">
        <v>1327</v>
      </c>
      <c r="Q275" s="28" t="s">
        <v>1328</v>
      </c>
    </row>
    <row r="276" spans="1:17" ht="27" customHeight="1" x14ac:dyDescent="0.25">
      <c r="A276" s="69">
        <v>6</v>
      </c>
      <c r="B276" s="70" t="s">
        <v>542</v>
      </c>
      <c r="C276" s="71" t="s">
        <v>1278</v>
      </c>
      <c r="D276" s="70" t="s">
        <v>1279</v>
      </c>
      <c r="E276" s="70" t="s">
        <v>1325</v>
      </c>
      <c r="F276" s="98" t="s">
        <v>69</v>
      </c>
      <c r="G276" s="93" t="s">
        <v>1329</v>
      </c>
      <c r="H276" s="94"/>
      <c r="I276" s="95" t="s">
        <v>1330</v>
      </c>
      <c r="J276" s="96"/>
      <c r="K276" s="96"/>
      <c r="L276" s="96"/>
      <c r="M276" s="97"/>
      <c r="N276" s="97"/>
      <c r="O276" s="97" t="str">
        <f>IF($J276="PC",COUNTIF($J$5:$J276,"PC"),"")</f>
        <v/>
      </c>
      <c r="P276" s="28" t="s">
        <v>1331</v>
      </c>
      <c r="Q276" s="28" t="s">
        <v>1332</v>
      </c>
    </row>
    <row r="277" spans="1:17" ht="27" customHeight="1" x14ac:dyDescent="0.25">
      <c r="A277" s="69">
        <v>6</v>
      </c>
      <c r="B277" s="70" t="s">
        <v>542</v>
      </c>
      <c r="C277" s="71" t="s">
        <v>1278</v>
      </c>
      <c r="D277" s="70" t="s">
        <v>1279</v>
      </c>
      <c r="E277" s="70" t="s">
        <v>1325</v>
      </c>
      <c r="F277" s="98" t="s">
        <v>69</v>
      </c>
      <c r="G277" s="93" t="s">
        <v>1333</v>
      </c>
      <c r="H277" s="94"/>
      <c r="I277" s="95" t="s">
        <v>1334</v>
      </c>
      <c r="J277" s="96"/>
      <c r="K277" s="96"/>
      <c r="L277" s="96"/>
      <c r="M277" s="97"/>
      <c r="N277" s="97"/>
      <c r="O277" s="97" t="str">
        <f>IF($J277="PC",COUNTIF($J$5:$J277,"PC"),"")</f>
        <v/>
      </c>
      <c r="P277" s="28" t="s">
        <v>1335</v>
      </c>
      <c r="Q277" s="28" t="s">
        <v>1336</v>
      </c>
    </row>
    <row r="278" spans="1:17" ht="27" customHeight="1" x14ac:dyDescent="0.25">
      <c r="A278" s="69">
        <v>6</v>
      </c>
      <c r="B278" s="70" t="s">
        <v>542</v>
      </c>
      <c r="C278" s="71" t="s">
        <v>1278</v>
      </c>
      <c r="D278" s="70" t="s">
        <v>1279</v>
      </c>
      <c r="E278" s="70" t="s">
        <v>1325</v>
      </c>
      <c r="F278" s="98" t="s">
        <v>69</v>
      </c>
      <c r="G278" s="93" t="s">
        <v>1337</v>
      </c>
      <c r="H278" s="94"/>
      <c r="I278" s="95" t="s">
        <v>1253</v>
      </c>
      <c r="J278" s="96"/>
      <c r="K278" s="96"/>
      <c r="L278" s="96"/>
      <c r="M278" s="97" t="str">
        <f>IF($J278="AC",COUNTIF($J$5:$J278,"AC"),"")</f>
        <v/>
      </c>
      <c r="N278" s="97" t="str">
        <f>IF($J278="FB",COUNTIF($J$5:$J278,"FB"),"")</f>
        <v/>
      </c>
      <c r="O278" s="97" t="str">
        <f>IF($J278="PC",COUNTIF($J$5:$J278,"PC"),"")</f>
        <v/>
      </c>
      <c r="P278" s="28" t="s">
        <v>1338</v>
      </c>
      <c r="Q278" s="28" t="s">
        <v>1339</v>
      </c>
    </row>
    <row r="279" spans="1:17" ht="40.5" customHeight="1" x14ac:dyDescent="0.25">
      <c r="A279" s="69">
        <v>6</v>
      </c>
      <c r="B279" s="70" t="s">
        <v>542</v>
      </c>
      <c r="C279" s="71" t="s">
        <v>1278</v>
      </c>
      <c r="D279" s="70" t="s">
        <v>1279</v>
      </c>
      <c r="E279" s="70" t="s">
        <v>1340</v>
      </c>
      <c r="F279" s="88" t="s">
        <v>69</v>
      </c>
      <c r="G279" s="77" t="s">
        <v>1341</v>
      </c>
      <c r="H279" s="89"/>
      <c r="I279" s="81" t="s">
        <v>854</v>
      </c>
      <c r="J279" s="90"/>
      <c r="K279" s="39"/>
      <c r="L279" s="40"/>
      <c r="M279" s="9" t="str">
        <f>IF($J279="AC",COUNTIF($J$5:$J279,"AC"),"")</f>
        <v/>
      </c>
      <c r="N279" s="9" t="str">
        <f>IF($J279="FB",COUNTIF($J$5:$J279,"FB"),"")</f>
        <v/>
      </c>
      <c r="O279" s="9" t="str">
        <f>IF($J279="PC",COUNTIF($J$5:$J279,"PC"),"")</f>
        <v/>
      </c>
      <c r="P279" s="28" t="s">
        <v>1342</v>
      </c>
      <c r="Q279" s="28" t="s">
        <v>1343</v>
      </c>
    </row>
    <row r="280" spans="1:17" ht="40.5" customHeight="1" x14ac:dyDescent="0.25">
      <c r="A280" s="69">
        <v>6</v>
      </c>
      <c r="B280" s="70" t="s">
        <v>542</v>
      </c>
      <c r="C280" s="71" t="s">
        <v>1278</v>
      </c>
      <c r="D280" s="70" t="s">
        <v>1279</v>
      </c>
      <c r="E280" s="70" t="s">
        <v>1340</v>
      </c>
      <c r="F280" s="98" t="s">
        <v>69</v>
      </c>
      <c r="G280" s="93" t="s">
        <v>1344</v>
      </c>
      <c r="H280" s="94"/>
      <c r="I280" s="95" t="s">
        <v>1345</v>
      </c>
      <c r="J280" s="96"/>
      <c r="K280" s="96"/>
      <c r="L280" s="96"/>
      <c r="M280" s="97"/>
      <c r="N280" s="97"/>
      <c r="O280" s="97" t="str">
        <f>IF($J280="PC",COUNTIF($J$5:$J280,"PC"),"")</f>
        <v/>
      </c>
      <c r="P280" s="28" t="s">
        <v>1346</v>
      </c>
      <c r="Q280" s="28" t="s">
        <v>1347</v>
      </c>
    </row>
    <row r="281" spans="1:17" ht="27" customHeight="1" x14ac:dyDescent="0.25">
      <c r="A281" s="69">
        <v>6</v>
      </c>
      <c r="B281" s="70" t="s">
        <v>542</v>
      </c>
      <c r="C281" s="71" t="s">
        <v>1278</v>
      </c>
      <c r="D281" s="70" t="s">
        <v>1279</v>
      </c>
      <c r="E281" s="70" t="s">
        <v>1340</v>
      </c>
      <c r="F281" s="98" t="s">
        <v>69</v>
      </c>
      <c r="G281" s="93" t="s">
        <v>1348</v>
      </c>
      <c r="H281" s="94"/>
      <c r="I281" s="95" t="s">
        <v>1349</v>
      </c>
      <c r="J281" s="96"/>
      <c r="K281" s="96"/>
      <c r="L281" s="96"/>
      <c r="M281" s="97"/>
      <c r="N281" s="97"/>
      <c r="O281" s="97" t="str">
        <f>IF($J281="PC",COUNTIF($J$5:$J281,"PC"),"")</f>
        <v/>
      </c>
      <c r="P281" s="28" t="s">
        <v>1350</v>
      </c>
      <c r="Q281" s="28" t="s">
        <v>1351</v>
      </c>
    </row>
    <row r="282" spans="1:17" ht="27" customHeight="1" x14ac:dyDescent="0.25">
      <c r="A282" s="69">
        <v>6</v>
      </c>
      <c r="B282" s="70" t="s">
        <v>542</v>
      </c>
      <c r="C282" s="71" t="s">
        <v>1278</v>
      </c>
      <c r="D282" s="70" t="s">
        <v>1279</v>
      </c>
      <c r="E282" s="70" t="s">
        <v>1340</v>
      </c>
      <c r="F282" s="98" t="s">
        <v>69</v>
      </c>
      <c r="G282" s="93" t="s">
        <v>1352</v>
      </c>
      <c r="H282" s="94"/>
      <c r="I282" s="95" t="s">
        <v>1353</v>
      </c>
      <c r="J282" s="96"/>
      <c r="K282" s="96"/>
      <c r="L282" s="96"/>
      <c r="M282" s="97"/>
      <c r="N282" s="97"/>
      <c r="O282" s="97" t="str">
        <f>IF($J282="PC",COUNTIF($J$5:$J282,"PC"),"")</f>
        <v/>
      </c>
      <c r="P282" s="28" t="s">
        <v>1354</v>
      </c>
      <c r="Q282" s="28" t="s">
        <v>1355</v>
      </c>
    </row>
    <row r="283" spans="1:17" ht="40.5" customHeight="1" x14ac:dyDescent="0.25">
      <c r="A283" s="69">
        <v>6</v>
      </c>
      <c r="B283" s="70" t="s">
        <v>542</v>
      </c>
      <c r="C283" s="71" t="s">
        <v>1278</v>
      </c>
      <c r="D283" s="70" t="s">
        <v>1279</v>
      </c>
      <c r="E283" s="70" t="s">
        <v>1356</v>
      </c>
      <c r="F283" s="98" t="s">
        <v>69</v>
      </c>
      <c r="G283" s="93" t="s">
        <v>1357</v>
      </c>
      <c r="H283" s="94"/>
      <c r="I283" s="95" t="s">
        <v>1358</v>
      </c>
      <c r="J283" s="96"/>
      <c r="K283" s="96"/>
      <c r="L283" s="96"/>
      <c r="M283" s="97"/>
      <c r="N283" s="97"/>
      <c r="O283" s="97" t="str">
        <f>IF($J283="PC",COUNTIF($J$5:$J283,"PC"),"")</f>
        <v/>
      </c>
      <c r="P283" s="28" t="s">
        <v>1359</v>
      </c>
      <c r="Q283" s="28" t="s">
        <v>1360</v>
      </c>
    </row>
    <row r="284" spans="1:17" ht="27" customHeight="1" x14ac:dyDescent="0.25">
      <c r="A284" s="69">
        <v>6</v>
      </c>
      <c r="B284" s="70" t="s">
        <v>542</v>
      </c>
      <c r="C284" s="71" t="s">
        <v>1278</v>
      </c>
      <c r="D284" s="70" t="s">
        <v>1279</v>
      </c>
      <c r="E284" s="70" t="s">
        <v>1356</v>
      </c>
      <c r="F284" s="98" t="s">
        <v>69</v>
      </c>
      <c r="G284" s="93" t="s">
        <v>1361</v>
      </c>
      <c r="H284" s="94"/>
      <c r="I284" s="95" t="s">
        <v>1362</v>
      </c>
      <c r="J284" s="96"/>
      <c r="K284" s="96"/>
      <c r="L284" s="96"/>
      <c r="M284" s="97"/>
      <c r="N284" s="97"/>
      <c r="O284" s="97" t="str">
        <f>IF($J284="PC",COUNTIF($J$5:$J284,"PC"),"")</f>
        <v/>
      </c>
      <c r="P284" s="28" t="s">
        <v>1363</v>
      </c>
      <c r="Q284" s="28" t="s">
        <v>1364</v>
      </c>
    </row>
    <row r="285" spans="1:17" ht="40.5" customHeight="1" x14ac:dyDescent="0.25">
      <c r="A285" s="69">
        <v>6</v>
      </c>
      <c r="B285" s="70" t="s">
        <v>542</v>
      </c>
      <c r="C285" s="71" t="s">
        <v>1278</v>
      </c>
      <c r="D285" s="70" t="s">
        <v>1279</v>
      </c>
      <c r="E285" s="70" t="s">
        <v>1356</v>
      </c>
      <c r="F285" s="98" t="s">
        <v>69</v>
      </c>
      <c r="G285" s="93" t="s">
        <v>1365</v>
      </c>
      <c r="H285" s="94"/>
      <c r="I285" s="95" t="s">
        <v>1366</v>
      </c>
      <c r="J285" s="96"/>
      <c r="K285" s="96"/>
      <c r="L285" s="96"/>
      <c r="M285" s="97"/>
      <c r="N285" s="97"/>
      <c r="O285" s="97" t="str">
        <f>IF($J285="PC",COUNTIF($J$5:$J285,"PC"),"")</f>
        <v/>
      </c>
      <c r="P285" s="28" t="s">
        <v>1367</v>
      </c>
      <c r="Q285" s="28" t="s">
        <v>1368</v>
      </c>
    </row>
    <row r="286" spans="1:17" ht="40.5" customHeight="1" x14ac:dyDescent="0.25">
      <c r="A286" s="69">
        <v>6</v>
      </c>
      <c r="B286" s="70" t="s">
        <v>542</v>
      </c>
      <c r="C286" s="71" t="s">
        <v>1278</v>
      </c>
      <c r="D286" s="70" t="s">
        <v>1279</v>
      </c>
      <c r="E286" s="70" t="s">
        <v>1146</v>
      </c>
      <c r="F286" s="67" t="s">
        <v>165</v>
      </c>
      <c r="G286" s="77" t="s">
        <v>1369</v>
      </c>
      <c r="H286" s="89"/>
      <c r="I286" s="81" t="s">
        <v>854</v>
      </c>
      <c r="J286" s="90"/>
      <c r="K286" s="39"/>
      <c r="L286" s="40"/>
      <c r="M286" s="9" t="str">
        <f>IF($J286="AC",COUNTIF($J$5:$J286,"AC"),"")</f>
        <v/>
      </c>
      <c r="N286" s="9" t="str">
        <f>IF($J286="FB",COUNTIF($J$5:$J286,"FB"),"")</f>
        <v/>
      </c>
      <c r="O286" s="9" t="str">
        <f>IF($J286="PC",COUNTIF($J$5:$J286,"PC"),"")</f>
        <v/>
      </c>
      <c r="P286" s="28" t="s">
        <v>1370</v>
      </c>
      <c r="Q286" s="28" t="s">
        <v>1371</v>
      </c>
    </row>
    <row r="287" spans="1:17" ht="40.5" customHeight="1" x14ac:dyDescent="0.25">
      <c r="A287" s="69">
        <v>6</v>
      </c>
      <c r="B287" s="70" t="s">
        <v>542</v>
      </c>
      <c r="C287" s="71" t="s">
        <v>1278</v>
      </c>
      <c r="D287" s="70" t="s">
        <v>1279</v>
      </c>
      <c r="E287" s="70" t="s">
        <v>1146</v>
      </c>
      <c r="F287" s="99" t="s">
        <v>165</v>
      </c>
      <c r="G287" s="93" t="s">
        <v>1372</v>
      </c>
      <c r="H287" s="94"/>
      <c r="I287" s="95"/>
      <c r="J287" s="96"/>
      <c r="K287" s="96"/>
      <c r="L287" s="96"/>
      <c r="M287" s="97" t="str">
        <f>IF($J287="AC",COUNTIF($J$5:$J287,"AC"),"")</f>
        <v/>
      </c>
      <c r="N287" s="97" t="str">
        <f>IF($J287="FB",COUNTIF($J$5:$J287,"FB"),"")</f>
        <v/>
      </c>
      <c r="O287" s="97" t="str">
        <f>IF($J287="PC",COUNTIF($J$5:$J287,"PC"),"")</f>
        <v/>
      </c>
      <c r="P287" s="28" t="s">
        <v>1373</v>
      </c>
      <c r="Q287" s="28" t="s">
        <v>1374</v>
      </c>
    </row>
    <row r="288" spans="1:17" ht="40.5" customHeight="1" x14ac:dyDescent="0.25">
      <c r="A288" s="69">
        <v>6</v>
      </c>
      <c r="B288" s="70" t="s">
        <v>542</v>
      </c>
      <c r="C288" s="71" t="s">
        <v>1278</v>
      </c>
      <c r="D288" s="70" t="s">
        <v>1279</v>
      </c>
      <c r="E288" s="70" t="s">
        <v>1146</v>
      </c>
      <c r="F288" s="99" t="s">
        <v>165</v>
      </c>
      <c r="G288" s="93" t="s">
        <v>1375</v>
      </c>
      <c r="H288" s="94"/>
      <c r="I288" s="95"/>
      <c r="J288" s="96"/>
      <c r="K288" s="96"/>
      <c r="L288" s="96"/>
      <c r="M288" s="97" t="str">
        <f>IF($J288="AC",COUNTIF($J$5:$J288,"AC"),"")</f>
        <v/>
      </c>
      <c r="N288" s="97" t="str">
        <f>IF($J288="FB",COUNTIF($J$5:$J288,"FB"),"")</f>
        <v/>
      </c>
      <c r="O288" s="97" t="str">
        <f>IF($J288="PC",COUNTIF($J$5:$J288,"PC"),"")</f>
        <v/>
      </c>
      <c r="P288" s="28" t="s">
        <v>1376</v>
      </c>
      <c r="Q288" s="28" t="s">
        <v>1377</v>
      </c>
    </row>
    <row r="289" spans="1:17" ht="40.5" customHeight="1" x14ac:dyDescent="0.25">
      <c r="A289" s="69">
        <v>6</v>
      </c>
      <c r="B289" s="70" t="s">
        <v>542</v>
      </c>
      <c r="C289" s="71" t="s">
        <v>1378</v>
      </c>
      <c r="D289" s="70" t="s">
        <v>1379</v>
      </c>
      <c r="E289" s="70" t="s">
        <v>1380</v>
      </c>
      <c r="F289" s="58" t="s">
        <v>69</v>
      </c>
      <c r="G289" s="77" t="s">
        <v>1381</v>
      </c>
      <c r="H289" s="37"/>
      <c r="I289" s="38" t="s">
        <v>1382</v>
      </c>
      <c r="J289" s="39"/>
      <c r="K289" s="39"/>
      <c r="L289" s="40"/>
      <c r="M289" s="9" t="str">
        <f>IF($J289="AC",COUNTIF($J$5:$J289,"AC"),"")</f>
        <v/>
      </c>
      <c r="N289" s="9" t="str">
        <f>IF($J289="FB",COUNTIF($J$5:$J289,"FB"),"")</f>
        <v/>
      </c>
      <c r="O289" s="9" t="str">
        <f>IF($J289="PC",COUNTIF($J$5:$J289,"PC"),"")</f>
        <v/>
      </c>
      <c r="P289" s="28" t="s">
        <v>1383</v>
      </c>
      <c r="Q289" s="28" t="s">
        <v>1384</v>
      </c>
    </row>
    <row r="290" spans="1:17" ht="30.75" customHeight="1" x14ac:dyDescent="0.25">
      <c r="A290" s="69">
        <v>6</v>
      </c>
      <c r="B290" s="70" t="s">
        <v>542</v>
      </c>
      <c r="C290" s="71" t="s">
        <v>1378</v>
      </c>
      <c r="D290" s="70" t="s">
        <v>1379</v>
      </c>
      <c r="E290" s="70" t="s">
        <v>1385</v>
      </c>
      <c r="F290" s="92" t="s">
        <v>92</v>
      </c>
      <c r="G290" s="77" t="s">
        <v>1386</v>
      </c>
      <c r="H290" s="37"/>
      <c r="I290" s="38" t="s">
        <v>1387</v>
      </c>
      <c r="J290" s="39"/>
      <c r="K290" s="39"/>
      <c r="L290" s="40"/>
      <c r="M290" s="9" t="str">
        <f>IF($J290="AC",COUNTIF($J$5:$J290,"AC"),"")</f>
        <v/>
      </c>
      <c r="N290" s="9" t="str">
        <f>IF($J290="FB",COUNTIF($J$5:$J290,"FB"),"")</f>
        <v/>
      </c>
      <c r="O290" s="9" t="str">
        <f>IF($J290="PC",COUNTIF($J$5:$J290,"PC"),"")</f>
        <v/>
      </c>
      <c r="P290" s="28" t="s">
        <v>1388</v>
      </c>
      <c r="Q290" s="28" t="s">
        <v>1389</v>
      </c>
    </row>
    <row r="291" spans="1:17" ht="40.5" customHeight="1" x14ac:dyDescent="0.25">
      <c r="A291" s="69">
        <v>6</v>
      </c>
      <c r="B291" s="70" t="s">
        <v>542</v>
      </c>
      <c r="C291" s="71" t="s">
        <v>1378</v>
      </c>
      <c r="D291" s="70" t="s">
        <v>1379</v>
      </c>
      <c r="E291" s="70" t="s">
        <v>1390</v>
      </c>
      <c r="F291" s="92" t="s">
        <v>92</v>
      </c>
      <c r="G291" s="77" t="s">
        <v>1391</v>
      </c>
      <c r="H291" s="37"/>
      <c r="I291" s="38" t="s">
        <v>1392</v>
      </c>
      <c r="J291" s="39"/>
      <c r="K291" s="39"/>
      <c r="L291" s="40"/>
      <c r="M291" s="9" t="str">
        <f>IF($J291="AC",COUNTIF($J$5:$J291,"AC"),"")</f>
        <v/>
      </c>
      <c r="N291" s="9" t="str">
        <f>IF($J291="FB",COUNTIF($J$5:$J291,"FB"),"")</f>
        <v/>
      </c>
      <c r="O291" s="9" t="str">
        <f>IF($J291="PC",COUNTIF($J$5:$J291,"PC"),"")</f>
        <v/>
      </c>
      <c r="P291" s="28" t="s">
        <v>1393</v>
      </c>
      <c r="Q291" s="28" t="s">
        <v>1394</v>
      </c>
    </row>
    <row r="292" spans="1:17" ht="53.25" customHeight="1" x14ac:dyDescent="0.25">
      <c r="A292" s="69">
        <v>6</v>
      </c>
      <c r="B292" s="70" t="s">
        <v>542</v>
      </c>
      <c r="C292" s="71" t="s">
        <v>1378</v>
      </c>
      <c r="D292" s="70" t="s">
        <v>1379</v>
      </c>
      <c r="E292" s="70" t="s">
        <v>1395</v>
      </c>
      <c r="F292" s="91" t="s">
        <v>92</v>
      </c>
      <c r="G292" s="77" t="s">
        <v>1396</v>
      </c>
      <c r="H292" s="89"/>
      <c r="I292" s="81" t="s">
        <v>854</v>
      </c>
      <c r="J292" s="90"/>
      <c r="K292" s="39"/>
      <c r="L292" s="40"/>
      <c r="M292" s="9" t="str">
        <f>IF($J292="AC",COUNTIF($J$5:$J292,"AC"),"")</f>
        <v/>
      </c>
      <c r="N292" s="9" t="str">
        <f>IF($J292="FB",COUNTIF($J$5:$J292,"FB"),"")</f>
        <v/>
      </c>
      <c r="O292" s="9" t="str">
        <f>IF($J292="PC",COUNTIF($J$5:$J292,"PC"),"")</f>
        <v/>
      </c>
      <c r="P292" s="28" t="s">
        <v>1397</v>
      </c>
      <c r="Q292" s="28" t="s">
        <v>1398</v>
      </c>
    </row>
    <row r="293" spans="1:17" ht="40.5" customHeight="1" x14ac:dyDescent="0.25">
      <c r="A293" s="69">
        <v>6</v>
      </c>
      <c r="B293" s="70" t="s">
        <v>542</v>
      </c>
      <c r="C293" s="71" t="s">
        <v>1378</v>
      </c>
      <c r="D293" s="70" t="s">
        <v>1379</v>
      </c>
      <c r="E293" s="70" t="s">
        <v>1395</v>
      </c>
      <c r="F293" s="92" t="s">
        <v>92</v>
      </c>
      <c r="G293" s="93" t="s">
        <v>1399</v>
      </c>
      <c r="H293" s="94"/>
      <c r="I293" s="95" t="s">
        <v>1400</v>
      </c>
      <c r="J293" s="96"/>
      <c r="K293" s="96"/>
      <c r="L293" s="96"/>
      <c r="M293" s="97" t="str">
        <f>IF($J293="AC",COUNTIF($J$5:$J293,"AC"),"")</f>
        <v/>
      </c>
      <c r="N293" s="97" t="str">
        <f>IF($J293="FB",COUNTIF($J$5:$J293,"FB"),"")</f>
        <v/>
      </c>
      <c r="O293" s="97" t="str">
        <f>IF($J293="PC",COUNTIF($J$5:$J293,"PC"),"")</f>
        <v/>
      </c>
      <c r="P293" s="28" t="s">
        <v>1401</v>
      </c>
      <c r="Q293" s="28" t="s">
        <v>1402</v>
      </c>
    </row>
    <row r="294" spans="1:17" ht="27" customHeight="1" x14ac:dyDescent="0.25">
      <c r="A294" s="69">
        <v>6</v>
      </c>
      <c r="B294" s="70" t="s">
        <v>542</v>
      </c>
      <c r="C294" s="71" t="s">
        <v>1378</v>
      </c>
      <c r="D294" s="70" t="s">
        <v>1379</v>
      </c>
      <c r="E294" s="70" t="s">
        <v>1395</v>
      </c>
      <c r="F294" s="92" t="s">
        <v>92</v>
      </c>
      <c r="G294" s="93" t="s">
        <v>1403</v>
      </c>
      <c r="H294" s="94"/>
      <c r="I294" s="95"/>
      <c r="J294" s="96"/>
      <c r="K294" s="96"/>
      <c r="L294" s="96"/>
      <c r="M294" s="97" t="str">
        <f>IF($J294="AC",COUNTIF($J$5:$J294,"AC"),"")</f>
        <v/>
      </c>
      <c r="N294" s="97" t="str">
        <f>IF($J294="FB",COUNTIF($J$5:$J294,"FB"),"")</f>
        <v/>
      </c>
      <c r="O294" s="97" t="str">
        <f>IF($J294="PC",COUNTIF($J$5:$J294,"PC"),"")</f>
        <v/>
      </c>
      <c r="P294" s="28" t="s">
        <v>1404</v>
      </c>
      <c r="Q294" s="28" t="s">
        <v>1405</v>
      </c>
    </row>
    <row r="295" spans="1:17" ht="27" customHeight="1" x14ac:dyDescent="0.25">
      <c r="A295" s="69">
        <v>6</v>
      </c>
      <c r="B295" s="70" t="s">
        <v>542</v>
      </c>
      <c r="C295" s="71" t="s">
        <v>1378</v>
      </c>
      <c r="D295" s="70" t="s">
        <v>1379</v>
      </c>
      <c r="E295" s="70" t="s">
        <v>1395</v>
      </c>
      <c r="F295" s="92" t="s">
        <v>92</v>
      </c>
      <c r="G295" s="93" t="s">
        <v>1406</v>
      </c>
      <c r="H295" s="94"/>
      <c r="I295" s="95"/>
      <c r="J295" s="96"/>
      <c r="K295" s="96"/>
      <c r="L295" s="96"/>
      <c r="M295" s="97" t="str">
        <f>IF($J295="AC",COUNTIF($J$5:$J295,"AC"),"")</f>
        <v/>
      </c>
      <c r="N295" s="97" t="str">
        <f>IF($J295="FB",COUNTIF($J$5:$J295,"FB"),"")</f>
        <v/>
      </c>
      <c r="O295" s="97" t="str">
        <f>IF($J295="PC",COUNTIF($J$5:$J295,"PC"),"")</f>
        <v/>
      </c>
      <c r="P295" s="28" t="s">
        <v>1407</v>
      </c>
      <c r="Q295" s="28" t="s">
        <v>1408</v>
      </c>
    </row>
    <row r="296" spans="1:17" ht="40.5" customHeight="1" x14ac:dyDescent="0.25">
      <c r="A296" s="69">
        <v>6</v>
      </c>
      <c r="B296" s="70" t="s">
        <v>542</v>
      </c>
      <c r="C296" s="71" t="s">
        <v>1378</v>
      </c>
      <c r="D296" s="70" t="s">
        <v>1379</v>
      </c>
      <c r="E296" s="70" t="s">
        <v>1395</v>
      </c>
      <c r="F296" s="92" t="s">
        <v>92</v>
      </c>
      <c r="G296" s="93" t="s">
        <v>1409</v>
      </c>
      <c r="H296" s="94"/>
      <c r="I296" s="95" t="s">
        <v>1410</v>
      </c>
      <c r="J296" s="96"/>
      <c r="K296" s="96"/>
      <c r="L296" s="96"/>
      <c r="M296" s="97" t="str">
        <f>IF($J296="AC",COUNTIF($J$5:$J296,"AC"),"")</f>
        <v/>
      </c>
      <c r="N296" s="97" t="str">
        <f>IF($J296="FB",COUNTIF($J$5:$J296,"FB"),"")</f>
        <v/>
      </c>
      <c r="O296" s="97" t="str">
        <f>IF($J296="PC",COUNTIF($J$5:$J296,"PC"),"")</f>
        <v/>
      </c>
      <c r="P296" s="28" t="s">
        <v>1411</v>
      </c>
      <c r="Q296" s="28" t="s">
        <v>1412</v>
      </c>
    </row>
    <row r="297" spans="1:17" ht="40.5" customHeight="1" x14ac:dyDescent="0.25">
      <c r="A297" s="69">
        <v>6</v>
      </c>
      <c r="B297" s="70" t="s">
        <v>542</v>
      </c>
      <c r="C297" s="71" t="s">
        <v>1378</v>
      </c>
      <c r="D297" s="70" t="s">
        <v>1379</v>
      </c>
      <c r="E297" s="70" t="s">
        <v>1413</v>
      </c>
      <c r="F297" s="91" t="s">
        <v>92</v>
      </c>
      <c r="G297" s="77" t="s">
        <v>1414</v>
      </c>
      <c r="H297" s="89"/>
      <c r="I297" s="81" t="s">
        <v>854</v>
      </c>
      <c r="J297" s="90"/>
      <c r="K297" s="39"/>
      <c r="L297" s="40"/>
      <c r="M297" s="9" t="str">
        <f>IF($J297="AC",COUNTIF($J$5:$J297,"AC"),"")</f>
        <v/>
      </c>
      <c r="N297" s="9" t="str">
        <f>IF($J297="FB",COUNTIF($J$5:$J297,"FB"),"")</f>
        <v/>
      </c>
      <c r="O297" s="9" t="str">
        <f>IF($J297="PC",COUNTIF($J$5:$J297,"PC"),"")</f>
        <v/>
      </c>
      <c r="P297" s="28" t="s">
        <v>1415</v>
      </c>
      <c r="Q297" s="28" t="s">
        <v>1416</v>
      </c>
    </row>
    <row r="298" spans="1:17" ht="40.5" customHeight="1" x14ac:dyDescent="0.25">
      <c r="A298" s="69">
        <v>6</v>
      </c>
      <c r="B298" s="70" t="s">
        <v>542</v>
      </c>
      <c r="C298" s="71" t="s">
        <v>1378</v>
      </c>
      <c r="D298" s="70" t="s">
        <v>1379</v>
      </c>
      <c r="E298" s="70" t="s">
        <v>1413</v>
      </c>
      <c r="F298" s="92" t="s">
        <v>92</v>
      </c>
      <c r="G298" s="93" t="s">
        <v>1417</v>
      </c>
      <c r="H298" s="94"/>
      <c r="I298" s="95" t="s">
        <v>1418</v>
      </c>
      <c r="J298" s="96"/>
      <c r="K298" s="96"/>
      <c r="L298" s="96"/>
      <c r="M298" s="97" t="str">
        <f>IF($J298="AC",COUNTIF($J$5:$J298,"AC"),"")</f>
        <v/>
      </c>
      <c r="N298" s="97" t="str">
        <f>IF($J298="FB",COUNTIF($J$5:$J298,"FB"),"")</f>
        <v/>
      </c>
      <c r="O298" s="97" t="str">
        <f>IF($J298="PC",COUNTIF($J$5:$J298,"PC"),"")</f>
        <v/>
      </c>
      <c r="P298" s="28" t="s">
        <v>1419</v>
      </c>
      <c r="Q298" s="28" t="s">
        <v>1420</v>
      </c>
    </row>
    <row r="299" spans="1:17" ht="40.5" customHeight="1" x14ac:dyDescent="0.25">
      <c r="A299" s="69">
        <v>6</v>
      </c>
      <c r="B299" s="70" t="s">
        <v>542</v>
      </c>
      <c r="C299" s="71" t="s">
        <v>1378</v>
      </c>
      <c r="D299" s="70" t="s">
        <v>1379</v>
      </c>
      <c r="E299" s="70" t="s">
        <v>1413</v>
      </c>
      <c r="F299" s="92" t="s">
        <v>92</v>
      </c>
      <c r="G299" s="93" t="s">
        <v>1421</v>
      </c>
      <c r="H299" s="94"/>
      <c r="I299" s="95"/>
      <c r="J299" s="96"/>
      <c r="K299" s="96"/>
      <c r="L299" s="96"/>
      <c r="M299" s="97" t="str">
        <f>IF($J299="AC",COUNTIF($J$5:$J299,"AC"),"")</f>
        <v/>
      </c>
      <c r="N299" s="97" t="str">
        <f>IF($J299="FB",COUNTIF($J$5:$J299,"FB"),"")</f>
        <v/>
      </c>
      <c r="O299" s="97" t="str">
        <f>IF($J299="PC",COUNTIF($J$5:$J299,"PC"),"")</f>
        <v/>
      </c>
      <c r="P299" s="28" t="s">
        <v>1422</v>
      </c>
      <c r="Q299" s="28" t="s">
        <v>1423</v>
      </c>
    </row>
    <row r="300" spans="1:17" ht="40.5" customHeight="1" x14ac:dyDescent="0.25">
      <c r="A300" s="69">
        <v>6</v>
      </c>
      <c r="B300" s="70" t="s">
        <v>542</v>
      </c>
      <c r="C300" s="71" t="s">
        <v>1378</v>
      </c>
      <c r="D300" s="70" t="s">
        <v>1379</v>
      </c>
      <c r="E300" s="70" t="s">
        <v>1424</v>
      </c>
      <c r="F300" s="91" t="s">
        <v>92</v>
      </c>
      <c r="G300" s="77" t="s">
        <v>1425</v>
      </c>
      <c r="H300" s="89"/>
      <c r="I300" s="81" t="s">
        <v>854</v>
      </c>
      <c r="J300" s="90"/>
      <c r="K300" s="39"/>
      <c r="L300" s="40"/>
      <c r="M300" s="9" t="str">
        <f>IF($J300="AC",COUNTIF($J$5:$J300,"AC"),"")</f>
        <v/>
      </c>
      <c r="N300" s="9" t="str">
        <f>IF($J300="FB",COUNTIF($J$5:$J300,"FB"),"")</f>
        <v/>
      </c>
      <c r="O300" s="9" t="str">
        <f>IF($J300="PC",COUNTIF($J$5:$J300,"PC"),"")</f>
        <v/>
      </c>
      <c r="P300" s="28" t="s">
        <v>1426</v>
      </c>
      <c r="Q300" s="28" t="s">
        <v>1427</v>
      </c>
    </row>
    <row r="301" spans="1:17" ht="27" customHeight="1" x14ac:dyDescent="0.25">
      <c r="A301" s="69">
        <v>6</v>
      </c>
      <c r="B301" s="70" t="s">
        <v>542</v>
      </c>
      <c r="C301" s="71" t="s">
        <v>1378</v>
      </c>
      <c r="D301" s="70" t="s">
        <v>1379</v>
      </c>
      <c r="E301" s="70" t="s">
        <v>1428</v>
      </c>
      <c r="F301" s="92" t="s">
        <v>92</v>
      </c>
      <c r="G301" s="93" t="s">
        <v>1429</v>
      </c>
      <c r="H301" s="94"/>
      <c r="I301" s="95"/>
      <c r="J301" s="96"/>
      <c r="K301" s="96"/>
      <c r="L301" s="96"/>
      <c r="M301" s="97" t="str">
        <f>IF($J301="AC",COUNTIF($J$5:$J301,"AC"),"")</f>
        <v/>
      </c>
      <c r="N301" s="97" t="str">
        <f>IF($J301="FB",COUNTIF($J$5:$J301,"FB"),"")</f>
        <v/>
      </c>
      <c r="O301" s="97" t="str">
        <f>IF($J301="PC",COUNTIF($J$5:$J301,"PC"),"")</f>
        <v/>
      </c>
      <c r="P301" s="28" t="s">
        <v>1430</v>
      </c>
      <c r="Q301" s="28" t="s">
        <v>1431</v>
      </c>
    </row>
    <row r="302" spans="1:17" ht="40.5" customHeight="1" x14ac:dyDescent="0.25">
      <c r="A302" s="69">
        <v>6</v>
      </c>
      <c r="B302" s="70" t="s">
        <v>542</v>
      </c>
      <c r="C302" s="71" t="s">
        <v>1378</v>
      </c>
      <c r="D302" s="70" t="s">
        <v>1379</v>
      </c>
      <c r="E302" s="70" t="s">
        <v>1432</v>
      </c>
      <c r="F302" s="91" t="s">
        <v>92</v>
      </c>
      <c r="G302" s="77" t="s">
        <v>1433</v>
      </c>
      <c r="H302" s="89"/>
      <c r="I302" s="81" t="s">
        <v>854</v>
      </c>
      <c r="J302" s="90"/>
      <c r="K302" s="39"/>
      <c r="L302" s="40"/>
      <c r="M302" s="9" t="str">
        <f>IF($J302="AC",COUNTIF($J$5:$J302,"AC"),"")</f>
        <v/>
      </c>
      <c r="N302" s="9" t="str">
        <f>IF($J302="FB",COUNTIF($J$5:$J302,"FB"),"")</f>
        <v/>
      </c>
      <c r="O302" s="9" t="str">
        <f>IF($J302="PC",COUNTIF($J$5:$J302,"PC"),"")</f>
        <v/>
      </c>
      <c r="P302" s="28" t="s">
        <v>1434</v>
      </c>
      <c r="Q302" s="28" t="s">
        <v>1435</v>
      </c>
    </row>
    <row r="303" spans="1:17" ht="40.5" customHeight="1" x14ac:dyDescent="0.25">
      <c r="A303" s="69">
        <v>6</v>
      </c>
      <c r="B303" s="70" t="s">
        <v>542</v>
      </c>
      <c r="C303" s="71" t="s">
        <v>1378</v>
      </c>
      <c r="D303" s="70" t="s">
        <v>1379</v>
      </c>
      <c r="E303" s="70" t="s">
        <v>1436</v>
      </c>
      <c r="F303" s="67" t="s">
        <v>165</v>
      </c>
      <c r="G303" s="77" t="s">
        <v>1437</v>
      </c>
      <c r="H303" s="89"/>
      <c r="I303" s="81" t="s">
        <v>854</v>
      </c>
      <c r="J303" s="90"/>
      <c r="K303" s="39"/>
      <c r="L303" s="40"/>
      <c r="M303" s="9" t="str">
        <f>IF($J303="AC",COUNTIF($J$5:$J303,"AC"),"")</f>
        <v/>
      </c>
      <c r="N303" s="9" t="str">
        <f>IF($J303="FB",COUNTIF($J$5:$J303,"FB"),"")</f>
        <v/>
      </c>
      <c r="O303" s="9" t="str">
        <f>IF($J303="PC",COUNTIF($J$5:$J303,"PC"),"")</f>
        <v/>
      </c>
      <c r="P303" s="28" t="s">
        <v>1438</v>
      </c>
      <c r="Q303" s="28" t="s">
        <v>1439</v>
      </c>
    </row>
    <row r="304" spans="1:17" ht="45.75" customHeight="1" x14ac:dyDescent="0.25">
      <c r="A304" s="69">
        <v>6</v>
      </c>
      <c r="B304" s="70" t="s">
        <v>542</v>
      </c>
      <c r="C304" s="71" t="s">
        <v>1440</v>
      </c>
      <c r="D304" s="70" t="s">
        <v>1441</v>
      </c>
      <c r="E304" s="70" t="s">
        <v>1442</v>
      </c>
      <c r="F304" s="58" t="s">
        <v>69</v>
      </c>
      <c r="G304" s="77" t="s">
        <v>1443</v>
      </c>
      <c r="H304" s="37"/>
      <c r="I304" s="38" t="s">
        <v>1444</v>
      </c>
      <c r="J304" s="39"/>
      <c r="K304" s="39"/>
      <c r="L304" s="40"/>
      <c r="M304" s="9" t="str">
        <f>IF($J304="AC",COUNTIF($J$5:$J304,"AC"),"")</f>
        <v/>
      </c>
      <c r="N304" s="9" t="str">
        <f>IF($J304="FB",COUNTIF($J$5:$J304,"FB"),"")</f>
        <v/>
      </c>
      <c r="O304" s="9" t="str">
        <f>IF($J304="PC",COUNTIF($J$5:$J304,"PC"),"")</f>
        <v/>
      </c>
      <c r="P304" s="28" t="s">
        <v>1445</v>
      </c>
      <c r="Q304" s="28" t="s">
        <v>1446</v>
      </c>
    </row>
    <row r="305" spans="1:17" ht="45.75" customHeight="1" x14ac:dyDescent="0.25">
      <c r="A305" s="69">
        <v>6</v>
      </c>
      <c r="B305" s="70" t="s">
        <v>542</v>
      </c>
      <c r="C305" s="71" t="s">
        <v>1440</v>
      </c>
      <c r="D305" s="70" t="s">
        <v>1441</v>
      </c>
      <c r="E305" s="70" t="s">
        <v>1447</v>
      </c>
      <c r="F305" s="58" t="s">
        <v>69</v>
      </c>
      <c r="G305" s="77" t="s">
        <v>1448</v>
      </c>
      <c r="H305" s="37"/>
      <c r="I305" s="38" t="s">
        <v>1449</v>
      </c>
      <c r="J305" s="39"/>
      <c r="K305" s="39"/>
      <c r="L305" s="40"/>
      <c r="M305" s="9" t="str">
        <f>IF($J305="AC",COUNTIF($J$5:$J305,"AC"),"")</f>
        <v/>
      </c>
      <c r="N305" s="9" t="str">
        <f>IF($J305="FB",COUNTIF($J$5:$J305,"FB"),"")</f>
        <v/>
      </c>
      <c r="O305" s="9" t="str">
        <f>IF($J305="PC",COUNTIF($J$5:$J305,"PC"),"")</f>
        <v/>
      </c>
      <c r="P305" s="28" t="s">
        <v>1450</v>
      </c>
      <c r="Q305" s="28" t="s">
        <v>1451</v>
      </c>
    </row>
    <row r="306" spans="1:17" ht="45.75" customHeight="1" x14ac:dyDescent="0.25">
      <c r="A306" s="69">
        <v>6</v>
      </c>
      <c r="B306" s="70" t="s">
        <v>542</v>
      </c>
      <c r="C306" s="71" t="s">
        <v>1440</v>
      </c>
      <c r="D306" s="70" t="s">
        <v>1441</v>
      </c>
      <c r="E306" s="70" t="s">
        <v>1452</v>
      </c>
      <c r="F306" s="91" t="s">
        <v>92</v>
      </c>
      <c r="G306" s="77" t="s">
        <v>1453</v>
      </c>
      <c r="H306" s="37"/>
      <c r="I306" s="38" t="s">
        <v>1454</v>
      </c>
      <c r="J306" s="39"/>
      <c r="K306" s="39"/>
      <c r="L306" s="40"/>
      <c r="M306" s="9" t="str">
        <f>IF($J306="AC",COUNTIF($J$5:$J306,"AC"),"")</f>
        <v/>
      </c>
      <c r="N306" s="9" t="str">
        <f>IF($J306="FB",COUNTIF($J$5:$J306,"FB"),"")</f>
        <v/>
      </c>
      <c r="O306" s="9" t="str">
        <f>IF($J306="PC",COUNTIF($J$5:$J306,"PC"),"")</f>
        <v/>
      </c>
      <c r="P306" s="28" t="s">
        <v>1455</v>
      </c>
      <c r="Q306" s="28" t="s">
        <v>1456</v>
      </c>
    </row>
    <row r="307" spans="1:17" ht="45.75" customHeight="1" x14ac:dyDescent="0.25">
      <c r="A307" s="69">
        <v>6</v>
      </c>
      <c r="B307" s="70" t="s">
        <v>542</v>
      </c>
      <c r="C307" s="71" t="s">
        <v>1440</v>
      </c>
      <c r="D307" s="70" t="s">
        <v>1441</v>
      </c>
      <c r="E307" s="70" t="s">
        <v>1457</v>
      </c>
      <c r="F307" s="91" t="s">
        <v>92</v>
      </c>
      <c r="G307" s="77" t="s">
        <v>1458</v>
      </c>
      <c r="H307" s="37"/>
      <c r="I307" s="38" t="s">
        <v>1459</v>
      </c>
      <c r="J307" s="39"/>
      <c r="K307" s="39"/>
      <c r="L307" s="40"/>
      <c r="M307" s="9" t="str">
        <f>IF($J307="AC",COUNTIF($J$5:$J307,"AC"),"")</f>
        <v/>
      </c>
      <c r="N307" s="9" t="str">
        <f>IF($J307="FB",COUNTIF($J$5:$J307,"FB"),"")</f>
        <v/>
      </c>
      <c r="O307" s="9" t="str">
        <f>IF($J307="PC",COUNTIF($J$5:$J307,"PC"),"")</f>
        <v/>
      </c>
      <c r="P307" s="28" t="s">
        <v>1460</v>
      </c>
      <c r="Q307" s="28" t="s">
        <v>1461</v>
      </c>
    </row>
    <row r="308" spans="1:17" ht="75.75" customHeight="1" x14ac:dyDescent="0.25">
      <c r="A308" s="69">
        <v>6</v>
      </c>
      <c r="B308" s="70" t="s">
        <v>542</v>
      </c>
      <c r="C308" s="71" t="s">
        <v>1440</v>
      </c>
      <c r="D308" s="70" t="s">
        <v>1441</v>
      </c>
      <c r="E308" s="70" t="s">
        <v>1462</v>
      </c>
      <c r="F308" s="78" t="s">
        <v>69</v>
      </c>
      <c r="G308" s="77" t="s">
        <v>1463</v>
      </c>
      <c r="H308" s="37"/>
      <c r="I308" s="81" t="s">
        <v>696</v>
      </c>
      <c r="J308" s="39"/>
      <c r="K308" s="39"/>
      <c r="L308" s="80"/>
      <c r="M308" s="9" t="str">
        <f>IF($J308="AC",COUNTIF($J$5:$J308,"AC"),"")</f>
        <v/>
      </c>
      <c r="N308" s="9" t="str">
        <f>IF($J308="FB",COUNTIF($J$5:$J308,"FB"),"")</f>
        <v/>
      </c>
      <c r="O308" s="9" t="str">
        <f>IF($J308="PC",COUNTIF($J$5:$J308,"PC"),"")</f>
        <v/>
      </c>
      <c r="P308" s="28" t="s">
        <v>1464</v>
      </c>
      <c r="Q308" s="28" t="s">
        <v>1465</v>
      </c>
    </row>
    <row r="309" spans="1:17" ht="40.5" customHeight="1" x14ac:dyDescent="0.25">
      <c r="A309" s="69">
        <v>6</v>
      </c>
      <c r="B309" s="70" t="s">
        <v>542</v>
      </c>
      <c r="C309" s="71" t="s">
        <v>1440</v>
      </c>
      <c r="D309" s="70" t="s">
        <v>1441</v>
      </c>
      <c r="E309" s="70" t="s">
        <v>1466</v>
      </c>
      <c r="F309" s="88" t="s">
        <v>69</v>
      </c>
      <c r="G309" s="77" t="s">
        <v>1467</v>
      </c>
      <c r="H309" s="89"/>
      <c r="I309" s="81" t="s">
        <v>854</v>
      </c>
      <c r="J309" s="90"/>
      <c r="K309" s="39"/>
      <c r="L309" s="40"/>
      <c r="M309" s="9" t="str">
        <f>IF($J309="AC",COUNTIF($J$5:$J309,"AC"),"")</f>
        <v/>
      </c>
      <c r="N309" s="9" t="str">
        <f>IF($J309="FB",COUNTIF($J$5:$J309,"FB"),"")</f>
        <v/>
      </c>
      <c r="O309" s="9" t="str">
        <f>IF($J309="PC",COUNTIF($J$5:$J309,"PC"),"")</f>
        <v/>
      </c>
      <c r="P309" s="28" t="s">
        <v>1468</v>
      </c>
      <c r="Q309" s="28" t="s">
        <v>1469</v>
      </c>
    </row>
    <row r="310" spans="1:17" ht="40.5" customHeight="1" x14ac:dyDescent="0.25">
      <c r="A310" s="69">
        <v>6</v>
      </c>
      <c r="B310" s="70" t="s">
        <v>542</v>
      </c>
      <c r="C310" s="71" t="s">
        <v>1440</v>
      </c>
      <c r="D310" s="70" t="s">
        <v>1441</v>
      </c>
      <c r="E310" s="70" t="s">
        <v>1470</v>
      </c>
      <c r="F310" s="98" t="s">
        <v>69</v>
      </c>
      <c r="G310" s="93" t="s">
        <v>1471</v>
      </c>
      <c r="H310" s="94"/>
      <c r="I310" s="95" t="s">
        <v>1472</v>
      </c>
      <c r="J310" s="96"/>
      <c r="K310" s="96"/>
      <c r="L310" s="96"/>
      <c r="M310" s="97" t="str">
        <f>IF($J310="AC",COUNTIF($J$5:$J310,"AC"),"")</f>
        <v/>
      </c>
      <c r="N310" s="97" t="str">
        <f>IF($J310="FB",COUNTIF($J$5:$J310,"FB"),"")</f>
        <v/>
      </c>
      <c r="O310" s="97" t="str">
        <f>IF($J310="PC",COUNTIF($J$5:$J310,"PC"),"")</f>
        <v/>
      </c>
      <c r="P310" s="28" t="s">
        <v>1473</v>
      </c>
      <c r="Q310" s="28" t="s">
        <v>1474</v>
      </c>
    </row>
    <row r="311" spans="1:17" ht="27" customHeight="1" x14ac:dyDescent="0.25">
      <c r="A311" s="69">
        <v>6</v>
      </c>
      <c r="B311" s="70" t="s">
        <v>542</v>
      </c>
      <c r="C311" s="71" t="s">
        <v>1440</v>
      </c>
      <c r="D311" s="70" t="s">
        <v>1441</v>
      </c>
      <c r="E311" s="70" t="s">
        <v>1470</v>
      </c>
      <c r="F311" s="98" t="s">
        <v>69</v>
      </c>
      <c r="G311" s="93" t="s">
        <v>1475</v>
      </c>
      <c r="H311" s="94"/>
      <c r="I311" s="95" t="s">
        <v>1476</v>
      </c>
      <c r="J311" s="96"/>
      <c r="K311" s="96"/>
      <c r="L311" s="96"/>
      <c r="M311" s="97" t="str">
        <f>IF($J311="AC",COUNTIF($J$5:$J311,"AC"),"")</f>
        <v/>
      </c>
      <c r="N311" s="97" t="str">
        <f>IF($J311="FB",COUNTIF($J$5:$J311,"FB"),"")</f>
        <v/>
      </c>
      <c r="O311" s="97" t="str">
        <f>IF($J311="PC",COUNTIF($J$5:$J311,"PC"),"")</f>
        <v/>
      </c>
      <c r="P311" s="28" t="s">
        <v>1477</v>
      </c>
      <c r="Q311" s="28" t="s">
        <v>1478</v>
      </c>
    </row>
    <row r="312" spans="1:17" ht="40.5" customHeight="1" x14ac:dyDescent="0.25">
      <c r="A312" s="69">
        <v>6</v>
      </c>
      <c r="B312" s="70" t="s">
        <v>542</v>
      </c>
      <c r="C312" s="71" t="s">
        <v>1440</v>
      </c>
      <c r="D312" s="70" t="s">
        <v>1441</v>
      </c>
      <c r="E312" s="70" t="s">
        <v>1470</v>
      </c>
      <c r="F312" s="98" t="s">
        <v>69</v>
      </c>
      <c r="G312" s="93" t="s">
        <v>1479</v>
      </c>
      <c r="H312" s="94"/>
      <c r="I312" s="95" t="s">
        <v>1480</v>
      </c>
      <c r="J312" s="96"/>
      <c r="K312" s="96"/>
      <c r="L312" s="96"/>
      <c r="M312" s="97" t="str">
        <f>IF($J312="AC",COUNTIF($J$5:$J312,"AC"),"")</f>
        <v/>
      </c>
      <c r="N312" s="97" t="str">
        <f>IF($J312="FB",COUNTIF($J$5:$J312,"FB"),"")</f>
        <v/>
      </c>
      <c r="O312" s="97" t="str">
        <f>IF($J312="PC",COUNTIF($J$5:$J312,"PC"),"")</f>
        <v/>
      </c>
      <c r="P312" s="28" t="s">
        <v>1481</v>
      </c>
      <c r="Q312" s="28" t="s">
        <v>1482</v>
      </c>
    </row>
    <row r="313" spans="1:17" ht="40.5" customHeight="1" x14ac:dyDescent="0.25">
      <c r="A313" s="69">
        <v>6</v>
      </c>
      <c r="B313" s="70" t="s">
        <v>542</v>
      </c>
      <c r="C313" s="71" t="s">
        <v>1440</v>
      </c>
      <c r="D313" s="70" t="s">
        <v>1441</v>
      </c>
      <c r="E313" s="70" t="s">
        <v>1483</v>
      </c>
      <c r="F313" s="88" t="s">
        <v>69</v>
      </c>
      <c r="G313" s="77" t="s">
        <v>1484</v>
      </c>
      <c r="H313" s="89"/>
      <c r="I313" s="81" t="s">
        <v>854</v>
      </c>
      <c r="J313" s="90"/>
      <c r="K313" s="39"/>
      <c r="L313" s="40"/>
      <c r="M313" s="9" t="str">
        <f>IF($J313="AC",COUNTIF($J$5:$J313,"AC"),"")</f>
        <v/>
      </c>
      <c r="N313" s="9" t="str">
        <f>IF($J313="FB",COUNTIF($J$5:$J313,"FB"),"")</f>
        <v/>
      </c>
      <c r="O313" s="9" t="str">
        <f>IF($J313="PC",COUNTIF($J$5:$J313,"PC"),"")</f>
        <v/>
      </c>
      <c r="P313" s="28" t="s">
        <v>1485</v>
      </c>
      <c r="Q313" s="28" t="s">
        <v>1486</v>
      </c>
    </row>
    <row r="314" spans="1:17" ht="27" customHeight="1" x14ac:dyDescent="0.25">
      <c r="A314" s="69">
        <v>6</v>
      </c>
      <c r="B314" s="70" t="s">
        <v>542</v>
      </c>
      <c r="C314" s="71" t="s">
        <v>1440</v>
      </c>
      <c r="D314" s="70" t="s">
        <v>1441</v>
      </c>
      <c r="E314" s="70" t="s">
        <v>1487</v>
      </c>
      <c r="F314" s="98" t="s">
        <v>69</v>
      </c>
      <c r="G314" s="93" t="s">
        <v>1488</v>
      </c>
      <c r="H314" s="94"/>
      <c r="I314" s="95" t="s">
        <v>1253</v>
      </c>
      <c r="J314" s="96"/>
      <c r="K314" s="96"/>
      <c r="L314" s="96"/>
      <c r="M314" s="97" t="str">
        <f>IF($J314="AC",COUNTIF($J$5:$J314,"AC"),"")</f>
        <v/>
      </c>
      <c r="N314" s="97" t="str">
        <f>IF($J314="FB",COUNTIF($J$5:$J314,"FB"),"")</f>
        <v/>
      </c>
      <c r="O314" s="97" t="str">
        <f>IF($J314="PC",COUNTIF($J$5:$J314,"PC"),"")</f>
        <v/>
      </c>
      <c r="P314" s="28" t="s">
        <v>1489</v>
      </c>
      <c r="Q314" s="28" t="s">
        <v>1490</v>
      </c>
    </row>
    <row r="315" spans="1:17" ht="40.5" customHeight="1" x14ac:dyDescent="0.25">
      <c r="A315" s="69">
        <v>6</v>
      </c>
      <c r="B315" s="70" t="s">
        <v>542</v>
      </c>
      <c r="C315" s="71" t="s">
        <v>1440</v>
      </c>
      <c r="D315" s="70" t="s">
        <v>1441</v>
      </c>
      <c r="E315" s="70" t="s">
        <v>1487</v>
      </c>
      <c r="F315" s="98" t="s">
        <v>69</v>
      </c>
      <c r="G315" s="93" t="s">
        <v>1491</v>
      </c>
      <c r="H315" s="94"/>
      <c r="I315" s="95" t="s">
        <v>1492</v>
      </c>
      <c r="J315" s="96"/>
      <c r="K315" s="96"/>
      <c r="L315" s="96"/>
      <c r="M315" s="97" t="str">
        <f>IF($J315="AC",COUNTIF($J$5:$J315,"AC"),"")</f>
        <v/>
      </c>
      <c r="N315" s="97" t="str">
        <f>IF($J315="FB",COUNTIF($J$5:$J315,"FB"),"")</f>
        <v/>
      </c>
      <c r="O315" s="97" t="str">
        <f>IF($J315="PC",COUNTIF($J$5:$J315,"PC"),"")</f>
        <v/>
      </c>
      <c r="P315" s="28" t="s">
        <v>1493</v>
      </c>
      <c r="Q315" s="28" t="s">
        <v>1494</v>
      </c>
    </row>
    <row r="316" spans="1:17" ht="40.5" customHeight="1" x14ac:dyDescent="0.25">
      <c r="A316" s="69">
        <v>6</v>
      </c>
      <c r="B316" s="70" t="s">
        <v>542</v>
      </c>
      <c r="C316" s="71" t="s">
        <v>1440</v>
      </c>
      <c r="D316" s="70" t="s">
        <v>1441</v>
      </c>
      <c r="E316" s="70" t="s">
        <v>1487</v>
      </c>
      <c r="F316" s="98" t="s">
        <v>69</v>
      </c>
      <c r="G316" s="93" t="s">
        <v>1495</v>
      </c>
      <c r="H316" s="94"/>
      <c r="I316" s="95" t="s">
        <v>1496</v>
      </c>
      <c r="J316" s="96"/>
      <c r="K316" s="96"/>
      <c r="L316" s="96"/>
      <c r="M316" s="97" t="str">
        <f>IF($J316="AC",COUNTIF($J$5:$J316,"AC"),"")</f>
        <v/>
      </c>
      <c r="N316" s="97" t="str">
        <f>IF($J316="FB",COUNTIF($J$5:$J316,"FB"),"")</f>
        <v/>
      </c>
      <c r="O316" s="97" t="str">
        <f>IF($J316="PC",COUNTIF($J$5:$J316,"PC"),"")</f>
        <v/>
      </c>
      <c r="P316" s="28" t="s">
        <v>1497</v>
      </c>
      <c r="Q316" s="28" t="s">
        <v>1498</v>
      </c>
    </row>
    <row r="317" spans="1:17" ht="40.5" customHeight="1" x14ac:dyDescent="0.25">
      <c r="A317" s="69">
        <v>6</v>
      </c>
      <c r="B317" s="70" t="s">
        <v>542</v>
      </c>
      <c r="C317" s="71" t="s">
        <v>1440</v>
      </c>
      <c r="D317" s="70" t="s">
        <v>1441</v>
      </c>
      <c r="E317" s="70" t="s">
        <v>1499</v>
      </c>
      <c r="F317" s="91" t="s">
        <v>92</v>
      </c>
      <c r="G317" s="77" t="s">
        <v>1500</v>
      </c>
      <c r="H317" s="89"/>
      <c r="I317" s="81" t="s">
        <v>854</v>
      </c>
      <c r="J317" s="90"/>
      <c r="K317" s="39"/>
      <c r="L317" s="40"/>
      <c r="M317" s="9" t="str">
        <f>IF($J317="AC",COUNTIF($J$5:$J317,"AC"),"")</f>
        <v/>
      </c>
      <c r="N317" s="9" t="str">
        <f>IF($J317="FB",COUNTIF($J$5:$J317,"FB"),"")</f>
        <v/>
      </c>
      <c r="O317" s="9" t="str">
        <f>IF($J317="PC",COUNTIF($J$5:$J317,"PC"),"")</f>
        <v/>
      </c>
      <c r="P317" s="28" t="s">
        <v>1501</v>
      </c>
      <c r="Q317" s="28" t="s">
        <v>1502</v>
      </c>
    </row>
    <row r="318" spans="1:17" ht="53.25" customHeight="1" x14ac:dyDescent="0.25">
      <c r="A318" s="69">
        <v>6</v>
      </c>
      <c r="B318" s="70" t="s">
        <v>542</v>
      </c>
      <c r="C318" s="71" t="s">
        <v>1440</v>
      </c>
      <c r="D318" s="70" t="s">
        <v>1441</v>
      </c>
      <c r="E318" s="70" t="s">
        <v>1499</v>
      </c>
      <c r="F318" s="92" t="s">
        <v>92</v>
      </c>
      <c r="G318" s="93" t="s">
        <v>1503</v>
      </c>
      <c r="H318" s="94"/>
      <c r="I318" s="95" t="s">
        <v>1504</v>
      </c>
      <c r="J318" s="96"/>
      <c r="K318" s="96"/>
      <c r="L318" s="96"/>
      <c r="M318" s="97" t="str">
        <f>IF($J318="AC",COUNTIF($J$5:$J318,"AC"),"")</f>
        <v/>
      </c>
      <c r="N318" s="97" t="str">
        <f>IF($J318="FB",COUNTIF($J$5:$J318,"FB"),"")</f>
        <v/>
      </c>
      <c r="O318" s="97" t="str">
        <f>IF($J318="PC",COUNTIF($J$5:$J318,"PC"),"")</f>
        <v/>
      </c>
      <c r="P318" s="28" t="s">
        <v>1505</v>
      </c>
      <c r="Q318" s="28" t="s">
        <v>1506</v>
      </c>
    </row>
    <row r="319" spans="1:17" ht="27" customHeight="1" x14ac:dyDescent="0.25">
      <c r="A319" s="69">
        <v>6</v>
      </c>
      <c r="B319" s="70" t="s">
        <v>542</v>
      </c>
      <c r="C319" s="71" t="s">
        <v>1440</v>
      </c>
      <c r="D319" s="70" t="s">
        <v>1441</v>
      </c>
      <c r="E319" s="70" t="s">
        <v>1499</v>
      </c>
      <c r="F319" s="92" t="s">
        <v>92</v>
      </c>
      <c r="G319" s="93" t="s">
        <v>1507</v>
      </c>
      <c r="H319" s="94"/>
      <c r="I319" s="95" t="s">
        <v>1508</v>
      </c>
      <c r="J319" s="96"/>
      <c r="K319" s="96"/>
      <c r="L319" s="96"/>
      <c r="M319" s="97" t="str">
        <f>IF($J319="AC",COUNTIF($J$5:$J319,"AC"),"")</f>
        <v/>
      </c>
      <c r="N319" s="97" t="str">
        <f>IF($J319="FB",COUNTIF($J$5:$J319,"FB"),"")</f>
        <v/>
      </c>
      <c r="O319" s="97" t="str">
        <f>IF($J319="PC",COUNTIF($J$5:$J319,"PC"),"")</f>
        <v/>
      </c>
      <c r="P319" s="28" t="s">
        <v>1509</v>
      </c>
      <c r="Q319" s="28" t="s">
        <v>1510</v>
      </c>
    </row>
    <row r="320" spans="1:17" ht="40.5" customHeight="1" x14ac:dyDescent="0.25">
      <c r="A320" s="69">
        <v>6</v>
      </c>
      <c r="B320" s="70" t="s">
        <v>542</v>
      </c>
      <c r="C320" s="71" t="s">
        <v>1440</v>
      </c>
      <c r="D320" s="70" t="s">
        <v>1441</v>
      </c>
      <c r="E320" s="70" t="s">
        <v>1436</v>
      </c>
      <c r="F320" s="67" t="s">
        <v>165</v>
      </c>
      <c r="G320" s="77" t="s">
        <v>1511</v>
      </c>
      <c r="H320" s="89"/>
      <c r="I320" s="81" t="s">
        <v>854</v>
      </c>
      <c r="J320" s="90"/>
      <c r="K320" s="39"/>
      <c r="L320" s="40"/>
      <c r="M320" s="9" t="str">
        <f>IF($J320="AC",COUNTIF($J$5:$J320,"AC"),"")</f>
        <v/>
      </c>
      <c r="N320" s="9" t="str">
        <f>IF($J320="FB",COUNTIF($J$5:$J320,"FB"),"")</f>
        <v/>
      </c>
      <c r="O320" s="9" t="str">
        <f>IF($J320="PC",COUNTIF($J$5:$J320,"PC"),"")</f>
        <v/>
      </c>
      <c r="P320" s="28" t="s">
        <v>1512</v>
      </c>
      <c r="Q320" s="28" t="s">
        <v>1513</v>
      </c>
    </row>
    <row r="321" spans="1:17" ht="30.75" customHeight="1" x14ac:dyDescent="0.25">
      <c r="A321" s="69">
        <v>6</v>
      </c>
      <c r="B321" s="70" t="s">
        <v>542</v>
      </c>
      <c r="C321" s="71" t="s">
        <v>1514</v>
      </c>
      <c r="D321" s="70" t="s">
        <v>1515</v>
      </c>
      <c r="E321" s="70" t="s">
        <v>1516</v>
      </c>
      <c r="F321" s="92" t="s">
        <v>92</v>
      </c>
      <c r="G321" s="77" t="s">
        <v>1517</v>
      </c>
      <c r="H321" s="37"/>
      <c r="I321" s="38" t="s">
        <v>1518</v>
      </c>
      <c r="J321" s="39"/>
      <c r="K321" s="39"/>
      <c r="L321" s="40"/>
      <c r="M321" s="9" t="str">
        <f>IF($J321="AC",COUNTIF($J$5:$J321,"AC"),"")</f>
        <v/>
      </c>
      <c r="N321" s="9" t="str">
        <f>IF($J321="FB",COUNTIF($J$5:$J321,"FB"),"")</f>
        <v/>
      </c>
      <c r="O321" s="9" t="str">
        <f>IF($J321="PC",COUNTIF($J$5:$J321,"PC"),"")</f>
        <v/>
      </c>
      <c r="P321" s="28" t="s">
        <v>1519</v>
      </c>
      <c r="Q321" s="28" t="s">
        <v>1520</v>
      </c>
    </row>
    <row r="322" spans="1:17" ht="40.5" customHeight="1" x14ac:dyDescent="0.25">
      <c r="A322" s="69">
        <v>6</v>
      </c>
      <c r="B322" s="70" t="s">
        <v>542</v>
      </c>
      <c r="C322" s="71" t="s">
        <v>1514</v>
      </c>
      <c r="D322" s="70" t="s">
        <v>1515</v>
      </c>
      <c r="E322" s="70" t="s">
        <v>1521</v>
      </c>
      <c r="F322" s="92" t="s">
        <v>92</v>
      </c>
      <c r="G322" s="77" t="s">
        <v>1522</v>
      </c>
      <c r="H322" s="37"/>
      <c r="I322" s="38" t="s">
        <v>1523</v>
      </c>
      <c r="J322" s="39"/>
      <c r="K322" s="39"/>
      <c r="L322" s="40"/>
      <c r="M322" s="9" t="str">
        <f>IF($J322="AC",COUNTIF($J$5:$J322,"AC"),"")</f>
        <v/>
      </c>
      <c r="N322" s="9" t="str">
        <f>IF($J322="FB",COUNTIF($J$5:$J322,"FB"),"")</f>
        <v/>
      </c>
      <c r="O322" s="9" t="str">
        <f>IF($J322="PC",COUNTIF($J$5:$J322,"PC"),"")</f>
        <v/>
      </c>
      <c r="P322" s="28" t="s">
        <v>1524</v>
      </c>
      <c r="Q322" s="28" t="s">
        <v>1525</v>
      </c>
    </row>
    <row r="323" spans="1:17" ht="30.75" customHeight="1" x14ac:dyDescent="0.25">
      <c r="A323" s="69">
        <v>6</v>
      </c>
      <c r="B323" s="70" t="s">
        <v>542</v>
      </c>
      <c r="C323" s="71" t="s">
        <v>1514</v>
      </c>
      <c r="D323" s="70" t="s">
        <v>1515</v>
      </c>
      <c r="E323" s="70" t="s">
        <v>1526</v>
      </c>
      <c r="F323" s="92" t="s">
        <v>92</v>
      </c>
      <c r="G323" s="77" t="s">
        <v>1527</v>
      </c>
      <c r="H323" s="37"/>
      <c r="I323" s="38" t="s">
        <v>1528</v>
      </c>
      <c r="J323" s="39"/>
      <c r="K323" s="39"/>
      <c r="L323" s="40"/>
      <c r="M323" s="9" t="str">
        <f>IF($J323="AC",COUNTIF($J$5:$J323,"AC"),"")</f>
        <v/>
      </c>
      <c r="N323" s="9" t="str">
        <f>IF($J323="FB",COUNTIF($J$5:$J323,"FB"),"")</f>
        <v/>
      </c>
      <c r="O323" s="9" t="str">
        <f>IF($J323="PC",COUNTIF($J$5:$J323,"PC"),"")</f>
        <v/>
      </c>
      <c r="P323" s="28" t="s">
        <v>1529</v>
      </c>
      <c r="Q323" s="28" t="s">
        <v>1530</v>
      </c>
    </row>
    <row r="324" spans="1:17" ht="30.75" customHeight="1" x14ac:dyDescent="0.25">
      <c r="A324" s="69">
        <v>6</v>
      </c>
      <c r="B324" s="70" t="s">
        <v>542</v>
      </c>
      <c r="C324" s="71" t="s">
        <v>1514</v>
      </c>
      <c r="D324" s="70" t="s">
        <v>1515</v>
      </c>
      <c r="E324" s="70" t="s">
        <v>1531</v>
      </c>
      <c r="F324" s="100" t="s">
        <v>165</v>
      </c>
      <c r="G324" s="77" t="s">
        <v>1532</v>
      </c>
      <c r="H324" s="37"/>
      <c r="I324" s="38" t="s">
        <v>1533</v>
      </c>
      <c r="J324" s="39"/>
      <c r="K324" s="39"/>
      <c r="L324" s="40"/>
      <c r="M324" s="9" t="str">
        <f>IF($J324="AC",COUNTIF($J$5:$J324,"AC"),"")</f>
        <v/>
      </c>
      <c r="N324" s="9" t="str">
        <f>IF($J324="FB",COUNTIF($J$5:$J324,"FB"),"")</f>
        <v/>
      </c>
      <c r="O324" s="9" t="str">
        <f>IF($J324="PC",COUNTIF($J$5:$J324,"PC"),"")</f>
        <v/>
      </c>
      <c r="P324" s="28" t="s">
        <v>1534</v>
      </c>
      <c r="Q324" s="28" t="s">
        <v>1535</v>
      </c>
    </row>
    <row r="325" spans="1:17" ht="27" customHeight="1" x14ac:dyDescent="0.25">
      <c r="A325" s="69">
        <v>6</v>
      </c>
      <c r="B325" s="70" t="s">
        <v>542</v>
      </c>
      <c r="C325" s="71" t="s">
        <v>1514</v>
      </c>
      <c r="D325" s="70" t="s">
        <v>1515</v>
      </c>
      <c r="E325" s="70" t="s">
        <v>1536</v>
      </c>
      <c r="F325" s="91" t="s">
        <v>92</v>
      </c>
      <c r="G325" s="77" t="s">
        <v>1537</v>
      </c>
      <c r="H325" s="89"/>
      <c r="I325" s="81" t="s">
        <v>854</v>
      </c>
      <c r="J325" s="90"/>
      <c r="K325" s="39"/>
      <c r="L325" s="40"/>
      <c r="M325" s="9" t="str">
        <f>IF($J325="AC",COUNTIF($J$5:$J325,"AC"),"")</f>
        <v/>
      </c>
      <c r="N325" s="9" t="str">
        <f>IF($J325="FB",COUNTIF($J$5:$J325,"FB"),"")</f>
        <v/>
      </c>
      <c r="O325" s="9" t="str">
        <f>IF($J325="PC",COUNTIF($J$5:$J325,"PC"),"")</f>
        <v/>
      </c>
      <c r="P325" s="28" t="s">
        <v>1538</v>
      </c>
      <c r="Q325" s="28" t="s">
        <v>1539</v>
      </c>
    </row>
    <row r="326" spans="1:17" ht="27" customHeight="1" x14ac:dyDescent="0.25">
      <c r="A326" s="69">
        <v>6</v>
      </c>
      <c r="B326" s="70" t="s">
        <v>542</v>
      </c>
      <c r="C326" s="71" t="s">
        <v>1514</v>
      </c>
      <c r="D326" s="70" t="s">
        <v>1515</v>
      </c>
      <c r="E326" s="70" t="s">
        <v>1536</v>
      </c>
      <c r="F326" s="92" t="s">
        <v>92</v>
      </c>
      <c r="G326" s="93" t="s">
        <v>1540</v>
      </c>
      <c r="H326" s="94"/>
      <c r="I326" s="95"/>
      <c r="J326" s="96"/>
      <c r="K326" s="96"/>
      <c r="L326" s="96"/>
      <c r="M326" s="97" t="str">
        <f>IF($J326="AC",COUNTIF($J$5:$J326,"AC"),"")</f>
        <v/>
      </c>
      <c r="N326" s="97" t="str">
        <f>IF($J326="FB",COUNTIF($J$5:$J326,"FB"),"")</f>
        <v/>
      </c>
      <c r="O326" s="97" t="str">
        <f>IF($J326="PC",COUNTIF($J$5:$J326,"PC"),"")</f>
        <v/>
      </c>
      <c r="P326" s="28" t="s">
        <v>1541</v>
      </c>
      <c r="Q326" s="28" t="s">
        <v>1542</v>
      </c>
    </row>
    <row r="327" spans="1:17" ht="27" customHeight="1" x14ac:dyDescent="0.25">
      <c r="A327" s="69">
        <v>6</v>
      </c>
      <c r="B327" s="70" t="s">
        <v>542</v>
      </c>
      <c r="C327" s="71" t="s">
        <v>1514</v>
      </c>
      <c r="D327" s="70" t="s">
        <v>1515</v>
      </c>
      <c r="E327" s="70" t="s">
        <v>1536</v>
      </c>
      <c r="F327" s="92" t="s">
        <v>92</v>
      </c>
      <c r="G327" s="93" t="s">
        <v>1543</v>
      </c>
      <c r="H327" s="94"/>
      <c r="I327" s="95" t="s">
        <v>1544</v>
      </c>
      <c r="J327" s="96"/>
      <c r="K327" s="96"/>
      <c r="L327" s="96"/>
      <c r="M327" s="97" t="str">
        <f>IF($J327="AC",COUNTIF($J$5:$J327,"AC"),"")</f>
        <v/>
      </c>
      <c r="N327" s="97" t="str">
        <f>IF($J327="FB",COUNTIF($J$5:$J327,"FB"),"")</f>
        <v/>
      </c>
      <c r="O327" s="97" t="str">
        <f>IF($J327="PC",COUNTIF($J$5:$J327,"PC"),"")</f>
        <v/>
      </c>
      <c r="P327" s="28" t="s">
        <v>1545</v>
      </c>
      <c r="Q327" s="28" t="s">
        <v>1546</v>
      </c>
    </row>
    <row r="328" spans="1:17" ht="27" customHeight="1" x14ac:dyDescent="0.25">
      <c r="A328" s="69">
        <v>6</v>
      </c>
      <c r="B328" s="70" t="s">
        <v>542</v>
      </c>
      <c r="C328" s="71" t="s">
        <v>1514</v>
      </c>
      <c r="D328" s="70" t="s">
        <v>1515</v>
      </c>
      <c r="E328" s="70" t="s">
        <v>1547</v>
      </c>
      <c r="F328" s="91" t="s">
        <v>92</v>
      </c>
      <c r="G328" s="77" t="s">
        <v>1548</v>
      </c>
      <c r="H328" s="89"/>
      <c r="I328" s="81" t="s">
        <v>854</v>
      </c>
      <c r="J328" s="90"/>
      <c r="K328" s="39"/>
      <c r="L328" s="40"/>
      <c r="M328" s="9" t="str">
        <f>IF($J328="AC",COUNTIF($J$5:$J328,"AC"),"")</f>
        <v/>
      </c>
      <c r="N328" s="9" t="str">
        <f>IF($J328="FB",COUNTIF($J$5:$J328,"FB"),"")</f>
        <v/>
      </c>
      <c r="O328" s="9" t="str">
        <f>IF($J328="PC",COUNTIF($J$5:$J328,"PC"),"")</f>
        <v/>
      </c>
      <c r="P328" s="28" t="s">
        <v>1549</v>
      </c>
      <c r="Q328" s="28" t="s">
        <v>1550</v>
      </c>
    </row>
    <row r="329" spans="1:17" ht="27" customHeight="1" x14ac:dyDescent="0.25">
      <c r="A329" s="69">
        <v>6</v>
      </c>
      <c r="B329" s="70" t="s">
        <v>542</v>
      </c>
      <c r="C329" s="71" t="s">
        <v>1514</v>
      </c>
      <c r="D329" s="70" t="s">
        <v>1515</v>
      </c>
      <c r="E329" s="70" t="s">
        <v>1547</v>
      </c>
      <c r="F329" s="92" t="s">
        <v>92</v>
      </c>
      <c r="G329" s="93" t="s">
        <v>1551</v>
      </c>
      <c r="H329" s="94"/>
      <c r="I329" s="95"/>
      <c r="J329" s="96"/>
      <c r="K329" s="96"/>
      <c r="L329" s="96"/>
      <c r="M329" s="97" t="str">
        <f>IF($J329="AC",COUNTIF($J$5:$J329,"AC"),"")</f>
        <v/>
      </c>
      <c r="N329" s="97" t="str">
        <f>IF($J329="FB",COUNTIF($J$5:$J329,"FB"),"")</f>
        <v/>
      </c>
      <c r="O329" s="97" t="str">
        <f>IF($J329="PC",COUNTIF($J$5:$J329,"PC"),"")</f>
        <v/>
      </c>
      <c r="P329" s="28" t="s">
        <v>1552</v>
      </c>
      <c r="Q329" s="28" t="s">
        <v>1553</v>
      </c>
    </row>
    <row r="330" spans="1:17" ht="27" customHeight="1" x14ac:dyDescent="0.25">
      <c r="A330" s="69">
        <v>6</v>
      </c>
      <c r="B330" s="70" t="s">
        <v>542</v>
      </c>
      <c r="C330" s="71" t="s">
        <v>1514</v>
      </c>
      <c r="D330" s="70" t="s">
        <v>1515</v>
      </c>
      <c r="E330" s="70" t="s">
        <v>1547</v>
      </c>
      <c r="F330" s="92" t="s">
        <v>92</v>
      </c>
      <c r="G330" s="93" t="s">
        <v>1554</v>
      </c>
      <c r="H330" s="94"/>
      <c r="I330" s="95"/>
      <c r="J330" s="96"/>
      <c r="K330" s="96"/>
      <c r="L330" s="96"/>
      <c r="M330" s="97" t="str">
        <f>IF($J330="AC",COUNTIF($J$5:$J330,"AC"),"")</f>
        <v/>
      </c>
      <c r="N330" s="97" t="str">
        <f>IF($J330="FB",COUNTIF($J$5:$J330,"FB"),"")</f>
        <v/>
      </c>
      <c r="O330" s="97" t="str">
        <f>IF($J330="PC",COUNTIF($J$5:$J330,"PC"),"")</f>
        <v/>
      </c>
      <c r="P330" s="28" t="s">
        <v>1555</v>
      </c>
      <c r="Q330" s="28" t="s">
        <v>1556</v>
      </c>
    </row>
    <row r="331" spans="1:17" ht="40.5" customHeight="1" x14ac:dyDescent="0.25">
      <c r="A331" s="69">
        <v>6</v>
      </c>
      <c r="B331" s="70" t="s">
        <v>542</v>
      </c>
      <c r="C331" s="71" t="s">
        <v>1514</v>
      </c>
      <c r="D331" s="70" t="s">
        <v>1515</v>
      </c>
      <c r="E331" s="70" t="s">
        <v>1557</v>
      </c>
      <c r="F331" s="91" t="s">
        <v>92</v>
      </c>
      <c r="G331" s="77" t="s">
        <v>1558</v>
      </c>
      <c r="H331" s="89"/>
      <c r="I331" s="81" t="s">
        <v>854</v>
      </c>
      <c r="J331" s="90"/>
      <c r="K331" s="39"/>
      <c r="L331" s="40"/>
      <c r="M331" s="9" t="str">
        <f>IF($J331="AC",COUNTIF($J$5:$J331,"AC"),"")</f>
        <v/>
      </c>
      <c r="N331" s="9" t="str">
        <f>IF($J331="FB",COUNTIF($J$5:$J331,"FB"),"")</f>
        <v/>
      </c>
      <c r="O331" s="9" t="str">
        <f>IF($J331="PC",COUNTIF($J$5:$J331,"PC"),"")</f>
        <v/>
      </c>
      <c r="P331" s="28" t="s">
        <v>1559</v>
      </c>
      <c r="Q331" s="28" t="s">
        <v>1560</v>
      </c>
    </row>
    <row r="332" spans="1:17" ht="27" customHeight="1" x14ac:dyDescent="0.25">
      <c r="A332" s="69">
        <v>6</v>
      </c>
      <c r="B332" s="70" t="s">
        <v>542</v>
      </c>
      <c r="C332" s="71" t="s">
        <v>1514</v>
      </c>
      <c r="D332" s="70" t="s">
        <v>1515</v>
      </c>
      <c r="E332" s="70" t="s">
        <v>1557</v>
      </c>
      <c r="F332" s="92" t="s">
        <v>92</v>
      </c>
      <c r="G332" s="93" t="s">
        <v>1561</v>
      </c>
      <c r="H332" s="94"/>
      <c r="I332" s="95"/>
      <c r="J332" s="96"/>
      <c r="K332" s="96"/>
      <c r="L332" s="96"/>
      <c r="M332" s="97" t="str">
        <f>IF($J332="AC",COUNTIF($J$5:$J332,"AC"),"")</f>
        <v/>
      </c>
      <c r="N332" s="97" t="str">
        <f>IF($J332="FB",COUNTIF($J$5:$J332,"FB"),"")</f>
        <v/>
      </c>
      <c r="O332" s="97" t="str">
        <f>IF($J332="PC",COUNTIF($J$5:$J332,"PC"),"")</f>
        <v/>
      </c>
      <c r="P332" s="28" t="s">
        <v>1562</v>
      </c>
      <c r="Q332" s="28" t="s">
        <v>1563</v>
      </c>
    </row>
    <row r="333" spans="1:17" ht="27" customHeight="1" x14ac:dyDescent="0.25">
      <c r="A333" s="69">
        <v>6</v>
      </c>
      <c r="B333" s="70" t="s">
        <v>542</v>
      </c>
      <c r="C333" s="71" t="s">
        <v>1514</v>
      </c>
      <c r="D333" s="70" t="s">
        <v>1515</v>
      </c>
      <c r="E333" s="70" t="s">
        <v>1564</v>
      </c>
      <c r="F333" s="91" t="s">
        <v>92</v>
      </c>
      <c r="G333" s="77" t="s">
        <v>1565</v>
      </c>
      <c r="H333" s="89"/>
      <c r="I333" s="81" t="s">
        <v>854</v>
      </c>
      <c r="J333" s="90"/>
      <c r="K333" s="39"/>
      <c r="L333" s="40"/>
      <c r="M333" s="9" t="str">
        <f>IF($J333="AC",COUNTIF($J$5:$J333,"AC"),"")</f>
        <v/>
      </c>
      <c r="N333" s="9" t="str">
        <f>IF($J333="FB",COUNTIF($J$5:$J333,"FB"),"")</f>
        <v/>
      </c>
      <c r="O333" s="9" t="str">
        <f>IF($J333="PC",COUNTIF($J$5:$J333,"PC"),"")</f>
        <v/>
      </c>
      <c r="P333" s="28" t="s">
        <v>1566</v>
      </c>
      <c r="Q333" s="28" t="s">
        <v>1567</v>
      </c>
    </row>
    <row r="334" spans="1:17" ht="27" customHeight="1" x14ac:dyDescent="0.25">
      <c r="A334" s="69">
        <v>6</v>
      </c>
      <c r="B334" s="70" t="s">
        <v>542</v>
      </c>
      <c r="C334" s="71" t="s">
        <v>1514</v>
      </c>
      <c r="D334" s="70" t="s">
        <v>1515</v>
      </c>
      <c r="E334" s="70" t="s">
        <v>1564</v>
      </c>
      <c r="F334" s="92" t="s">
        <v>92</v>
      </c>
      <c r="G334" s="93" t="s">
        <v>1568</v>
      </c>
      <c r="H334" s="94"/>
      <c r="I334" s="95"/>
      <c r="J334" s="96"/>
      <c r="K334" s="96"/>
      <c r="L334" s="96"/>
      <c r="M334" s="97" t="str">
        <f>IF($J334="AC",COUNTIF($J$5:$J334,"AC"),"")</f>
        <v/>
      </c>
      <c r="N334" s="97" t="str">
        <f>IF($J334="FB",COUNTIF($J$5:$J334,"FB"),"")</f>
        <v/>
      </c>
      <c r="O334" s="97" t="str">
        <f>IF($J334="PC",COUNTIF($J$5:$J334,"PC"),"")</f>
        <v/>
      </c>
      <c r="P334" s="28" t="s">
        <v>1569</v>
      </c>
      <c r="Q334" s="28" t="s">
        <v>1570</v>
      </c>
    </row>
    <row r="335" spans="1:17" ht="27" customHeight="1" x14ac:dyDescent="0.25">
      <c r="A335" s="69">
        <v>6</v>
      </c>
      <c r="B335" s="70" t="s">
        <v>542</v>
      </c>
      <c r="C335" s="71" t="s">
        <v>1514</v>
      </c>
      <c r="D335" s="70" t="s">
        <v>1515</v>
      </c>
      <c r="E335" s="70" t="s">
        <v>1564</v>
      </c>
      <c r="F335" s="92" t="s">
        <v>92</v>
      </c>
      <c r="G335" s="93" t="s">
        <v>1571</v>
      </c>
      <c r="H335" s="94"/>
      <c r="I335" s="95"/>
      <c r="J335" s="96"/>
      <c r="K335" s="96"/>
      <c r="L335" s="96"/>
      <c r="M335" s="97" t="str">
        <f>IF($J335="AC",COUNTIF($J$5:$J335,"AC"),"")</f>
        <v/>
      </c>
      <c r="N335" s="97" t="str">
        <f>IF($J335="FB",COUNTIF($J$5:$J335,"FB"),"")</f>
        <v/>
      </c>
      <c r="O335" s="97" t="str">
        <f>IF($J335="PC",COUNTIF($J$5:$J335,"PC"),"")</f>
        <v/>
      </c>
      <c r="P335" s="28" t="s">
        <v>1572</v>
      </c>
      <c r="Q335" s="28" t="s">
        <v>1573</v>
      </c>
    </row>
    <row r="336" spans="1:17" ht="40.5" customHeight="1" x14ac:dyDescent="0.25">
      <c r="A336" s="69">
        <v>6</v>
      </c>
      <c r="B336" s="70" t="s">
        <v>542</v>
      </c>
      <c r="C336" s="71" t="s">
        <v>1514</v>
      </c>
      <c r="D336" s="70" t="s">
        <v>1515</v>
      </c>
      <c r="E336" s="70" t="s">
        <v>1574</v>
      </c>
      <c r="F336" s="91" t="s">
        <v>92</v>
      </c>
      <c r="G336" s="77" t="s">
        <v>1575</v>
      </c>
      <c r="H336" s="89"/>
      <c r="I336" s="81" t="s">
        <v>854</v>
      </c>
      <c r="J336" s="90"/>
      <c r="K336" s="39"/>
      <c r="L336" s="40"/>
      <c r="M336" s="9" t="str">
        <f>IF($J336="AC",COUNTIF($J$5:$J336,"AC"),"")</f>
        <v/>
      </c>
      <c r="N336" s="9" t="str">
        <f>IF($J336="FB",COUNTIF($J$5:$J336,"FB"),"")</f>
        <v/>
      </c>
      <c r="O336" s="9" t="str">
        <f>IF($J336="PC",COUNTIF($J$5:$J336,"PC"),"")</f>
        <v/>
      </c>
      <c r="P336" s="28" t="s">
        <v>1576</v>
      </c>
      <c r="Q336" s="28" t="s">
        <v>1577</v>
      </c>
    </row>
    <row r="337" spans="1:17" ht="26.25" customHeight="1" x14ac:dyDescent="0.25">
      <c r="A337" s="69">
        <v>6</v>
      </c>
      <c r="B337" s="70" t="s">
        <v>542</v>
      </c>
      <c r="C337" s="71" t="s">
        <v>1514</v>
      </c>
      <c r="D337" s="70" t="s">
        <v>1515</v>
      </c>
      <c r="E337" s="70" t="s">
        <v>1574</v>
      </c>
      <c r="F337" s="92" t="s">
        <v>92</v>
      </c>
      <c r="G337" s="93" t="s">
        <v>1578</v>
      </c>
      <c r="H337" s="94"/>
      <c r="I337" s="95"/>
      <c r="J337" s="96"/>
      <c r="K337" s="96"/>
      <c r="L337" s="96"/>
      <c r="M337" s="97" t="str">
        <f>IF($J337="AC",COUNTIF($J$5:$J337,"AC"),"")</f>
        <v/>
      </c>
      <c r="N337" s="97" t="str">
        <f>IF($J337="FB",COUNTIF($J$5:$J337,"FB"),"")</f>
        <v/>
      </c>
      <c r="O337" s="97" t="str">
        <f>IF($J337="PC",COUNTIF($J$5:$J337,"PC"),"")</f>
        <v/>
      </c>
      <c r="P337" s="28" t="s">
        <v>1579</v>
      </c>
      <c r="Q337" s="28" t="s">
        <v>1580</v>
      </c>
    </row>
    <row r="338" spans="1:17" ht="27" customHeight="1" x14ac:dyDescent="0.25">
      <c r="A338" s="69">
        <v>6</v>
      </c>
      <c r="B338" s="70" t="s">
        <v>542</v>
      </c>
      <c r="C338" s="71" t="s">
        <v>1514</v>
      </c>
      <c r="D338" s="70" t="s">
        <v>1515</v>
      </c>
      <c r="E338" s="70" t="s">
        <v>1574</v>
      </c>
      <c r="F338" s="92" t="s">
        <v>92</v>
      </c>
      <c r="G338" s="93" t="s">
        <v>1581</v>
      </c>
      <c r="H338" s="94"/>
      <c r="I338" s="95"/>
      <c r="J338" s="96"/>
      <c r="K338" s="96"/>
      <c r="L338" s="96"/>
      <c r="M338" s="97" t="str">
        <f>IF($J338="AC",COUNTIF($J$5:$J338,"AC"),"")</f>
        <v/>
      </c>
      <c r="N338" s="97" t="str">
        <f>IF($J338="FB",COUNTIF($J$5:$J338,"FB"),"")</f>
        <v/>
      </c>
      <c r="O338" s="97" t="str">
        <f>IF($J338="PC",COUNTIF($J$5:$J338,"PC"),"")</f>
        <v/>
      </c>
      <c r="P338" s="28" t="s">
        <v>1582</v>
      </c>
      <c r="Q338" s="28" t="s">
        <v>1583</v>
      </c>
    </row>
    <row r="339" spans="1:17" ht="27" customHeight="1" x14ac:dyDescent="0.25">
      <c r="A339" s="69">
        <v>6</v>
      </c>
      <c r="B339" s="70" t="s">
        <v>542</v>
      </c>
      <c r="C339" s="71" t="s">
        <v>1514</v>
      </c>
      <c r="D339" s="70" t="s">
        <v>1515</v>
      </c>
      <c r="E339" s="70" t="s">
        <v>1574</v>
      </c>
      <c r="F339" s="92" t="s">
        <v>92</v>
      </c>
      <c r="G339" s="93" t="s">
        <v>1584</v>
      </c>
      <c r="H339" s="94"/>
      <c r="I339" s="95"/>
      <c r="J339" s="96"/>
      <c r="K339" s="96"/>
      <c r="L339" s="96"/>
      <c r="M339" s="97" t="str">
        <f>IF($J339="AC",COUNTIF($J$5:$J339,"AC"),"")</f>
        <v/>
      </c>
      <c r="N339" s="97" t="str">
        <f>IF($J339="FB",COUNTIF($J$5:$J339,"FB"),"")</f>
        <v/>
      </c>
      <c r="O339" s="97" t="str">
        <f>IF($J339="PC",COUNTIF($J$5:$J339,"PC"),"")</f>
        <v/>
      </c>
      <c r="P339" s="28" t="s">
        <v>1585</v>
      </c>
      <c r="Q339" s="28" t="s">
        <v>1586</v>
      </c>
    </row>
    <row r="340" spans="1:17" ht="27" customHeight="1" x14ac:dyDescent="0.25">
      <c r="A340" s="69">
        <v>6</v>
      </c>
      <c r="B340" s="70" t="s">
        <v>542</v>
      </c>
      <c r="C340" s="71" t="s">
        <v>1514</v>
      </c>
      <c r="D340" s="70" t="s">
        <v>1515</v>
      </c>
      <c r="E340" s="70" t="s">
        <v>1574</v>
      </c>
      <c r="F340" s="92" t="s">
        <v>92</v>
      </c>
      <c r="G340" s="93" t="s">
        <v>1587</v>
      </c>
      <c r="H340" s="94"/>
      <c r="I340" s="95"/>
      <c r="J340" s="96"/>
      <c r="K340" s="96"/>
      <c r="L340" s="96"/>
      <c r="M340" s="97" t="str">
        <f>IF($J340="AC",COUNTIF($J$5:$J340,"AC"),"")</f>
        <v/>
      </c>
      <c r="N340" s="97" t="str">
        <f>IF($J340="FB",COUNTIF($J$5:$J340,"FB"),"")</f>
        <v/>
      </c>
      <c r="O340" s="97" t="str">
        <f>IF($J340="PC",COUNTIF($J$5:$J340,"PC"),"")</f>
        <v/>
      </c>
      <c r="P340" s="28" t="s">
        <v>1588</v>
      </c>
      <c r="Q340" s="28" t="s">
        <v>1589</v>
      </c>
    </row>
    <row r="341" spans="1:17" ht="27" customHeight="1" x14ac:dyDescent="0.25">
      <c r="A341" s="69">
        <v>6</v>
      </c>
      <c r="B341" s="70" t="s">
        <v>542</v>
      </c>
      <c r="C341" s="71" t="s">
        <v>1590</v>
      </c>
      <c r="D341" s="70" t="s">
        <v>1591</v>
      </c>
      <c r="E341" s="70" t="s">
        <v>1592</v>
      </c>
      <c r="F341" s="78" t="s">
        <v>69</v>
      </c>
      <c r="G341" s="77" t="s">
        <v>1593</v>
      </c>
      <c r="H341" s="37"/>
      <c r="I341" s="79" t="s">
        <v>1594</v>
      </c>
      <c r="J341" s="39"/>
      <c r="K341" s="39"/>
      <c r="L341" s="40"/>
      <c r="M341" s="9" t="str">
        <f>IF($J341="AC",COUNTIF($J$5:$J341,"AC"),"")</f>
        <v/>
      </c>
      <c r="N341" s="9" t="str">
        <f>IF($J341="FB",COUNTIF($J$5:$J341,"FB"),"")</f>
        <v/>
      </c>
      <c r="O341" s="9" t="str">
        <f>IF($J341="PC",COUNTIF($J$5:$J341,"PC"),"")</f>
        <v/>
      </c>
      <c r="P341" s="28" t="s">
        <v>1595</v>
      </c>
      <c r="Q341" s="28" t="s">
        <v>1596</v>
      </c>
    </row>
    <row r="342" spans="1:17" ht="27" customHeight="1" x14ac:dyDescent="0.25">
      <c r="A342" s="69">
        <v>6</v>
      </c>
      <c r="B342" s="70" t="s">
        <v>542</v>
      </c>
      <c r="C342" s="71" t="s">
        <v>1590</v>
      </c>
      <c r="D342" s="70" t="s">
        <v>1591</v>
      </c>
      <c r="E342" s="70" t="s">
        <v>1597</v>
      </c>
      <c r="F342" s="88" t="s">
        <v>69</v>
      </c>
      <c r="G342" s="77" t="s">
        <v>1598</v>
      </c>
      <c r="H342" s="89"/>
      <c r="I342" s="81" t="s">
        <v>854</v>
      </c>
      <c r="J342" s="90"/>
      <c r="K342" s="39"/>
      <c r="L342" s="40"/>
      <c r="M342" s="9" t="str">
        <f>IF($J342="AC",COUNTIF($J$5:$J342,"AC"),"")</f>
        <v/>
      </c>
      <c r="N342" s="9" t="str">
        <f>IF($J342="FB",COUNTIF($J$5:$J342,"FB"),"")</f>
        <v/>
      </c>
      <c r="O342" s="9" t="str">
        <f>IF($J342="PC",COUNTIF($J$5:$J342,"PC"),"")</f>
        <v/>
      </c>
      <c r="P342" s="28" t="s">
        <v>1599</v>
      </c>
      <c r="Q342" s="28" t="s">
        <v>1600</v>
      </c>
    </row>
    <row r="343" spans="1:17" ht="27" customHeight="1" x14ac:dyDescent="0.25">
      <c r="A343" s="69">
        <v>6</v>
      </c>
      <c r="B343" s="70" t="s">
        <v>542</v>
      </c>
      <c r="C343" s="71" t="s">
        <v>1590</v>
      </c>
      <c r="D343" s="70" t="s">
        <v>1591</v>
      </c>
      <c r="E343" s="70" t="s">
        <v>1601</v>
      </c>
      <c r="F343" s="88" t="s">
        <v>69</v>
      </c>
      <c r="G343" s="77" t="s">
        <v>1602</v>
      </c>
      <c r="H343" s="89"/>
      <c r="I343" s="81" t="s">
        <v>854</v>
      </c>
      <c r="J343" s="90"/>
      <c r="K343" s="39"/>
      <c r="L343" s="40"/>
      <c r="M343" s="9" t="str">
        <f>IF($J343="AC",COUNTIF($J$5:$J343,"AC"),"")</f>
        <v/>
      </c>
      <c r="N343" s="9" t="str">
        <f>IF($J343="FB",COUNTIF($J$5:$J343,"FB"),"")</f>
        <v/>
      </c>
      <c r="O343" s="9" t="str">
        <f>IF($J343="PC",COUNTIF($J$5:$J343,"PC"),"")</f>
        <v/>
      </c>
      <c r="P343" s="28" t="s">
        <v>1603</v>
      </c>
      <c r="Q343" s="28" t="s">
        <v>1604</v>
      </c>
    </row>
    <row r="344" spans="1:17" ht="27" customHeight="1" x14ac:dyDescent="0.25">
      <c r="A344" s="69">
        <v>6</v>
      </c>
      <c r="B344" s="70" t="s">
        <v>542</v>
      </c>
      <c r="C344" s="71" t="s">
        <v>1590</v>
      </c>
      <c r="D344" s="70" t="s">
        <v>1591</v>
      </c>
      <c r="E344" s="70" t="s">
        <v>1601</v>
      </c>
      <c r="F344" s="98" t="s">
        <v>69</v>
      </c>
      <c r="G344" s="93" t="s">
        <v>1605</v>
      </c>
      <c r="H344" s="94"/>
      <c r="I344" s="95" t="s">
        <v>1606</v>
      </c>
      <c r="J344" s="96"/>
      <c r="K344" s="96"/>
      <c r="L344" s="96"/>
      <c r="M344" s="97" t="str">
        <f>IF($J344="AC",COUNTIF($J$5:$J344,"AC"),"")</f>
        <v/>
      </c>
      <c r="N344" s="97" t="str">
        <f>IF($J344="FB",COUNTIF($J$5:$J344,"FB"),"")</f>
        <v/>
      </c>
      <c r="O344" s="97" t="str">
        <f>IF($J344="PC",COUNTIF($J$5:$J344,"PC"),"")</f>
        <v/>
      </c>
      <c r="P344" s="28" t="s">
        <v>1607</v>
      </c>
      <c r="Q344" s="28" t="s">
        <v>1608</v>
      </c>
    </row>
    <row r="345" spans="1:17" ht="27" customHeight="1" x14ac:dyDescent="0.25">
      <c r="A345" s="69">
        <v>6</v>
      </c>
      <c r="B345" s="70" t="s">
        <v>542</v>
      </c>
      <c r="C345" s="71" t="s">
        <v>1590</v>
      </c>
      <c r="D345" s="70" t="s">
        <v>1591</v>
      </c>
      <c r="E345" s="70" t="s">
        <v>1609</v>
      </c>
      <c r="F345" s="88" t="s">
        <v>69</v>
      </c>
      <c r="G345" s="77" t="s">
        <v>1610</v>
      </c>
      <c r="H345" s="89"/>
      <c r="I345" s="81" t="s">
        <v>854</v>
      </c>
      <c r="J345" s="90"/>
      <c r="K345" s="39"/>
      <c r="L345" s="40"/>
      <c r="M345" s="9" t="str">
        <f>IF($J345="AC",COUNTIF($J$5:$J345,"AC"),"")</f>
        <v/>
      </c>
      <c r="N345" s="9" t="str">
        <f>IF($J345="FB",COUNTIF($J$5:$J345,"FB"),"")</f>
        <v/>
      </c>
      <c r="O345" s="9" t="str">
        <f>IF($J345="PC",COUNTIF($J$5:$J345,"PC"),"")</f>
        <v/>
      </c>
      <c r="P345" s="28" t="s">
        <v>1611</v>
      </c>
      <c r="Q345" s="28" t="s">
        <v>1612</v>
      </c>
    </row>
    <row r="346" spans="1:17" ht="27" customHeight="1" x14ac:dyDescent="0.25">
      <c r="A346" s="69">
        <v>6</v>
      </c>
      <c r="B346" s="70" t="s">
        <v>542</v>
      </c>
      <c r="C346" s="71" t="s">
        <v>1590</v>
      </c>
      <c r="D346" s="70" t="s">
        <v>1591</v>
      </c>
      <c r="E346" s="70" t="s">
        <v>1613</v>
      </c>
      <c r="F346" s="88" t="s">
        <v>69</v>
      </c>
      <c r="G346" s="77" t="s">
        <v>1614</v>
      </c>
      <c r="H346" s="89"/>
      <c r="I346" s="81"/>
      <c r="J346" s="90"/>
      <c r="K346" s="39"/>
      <c r="L346" s="40"/>
      <c r="M346" s="9" t="str">
        <f>IF($J346="AC",COUNTIF($J$5:$J346,"AC"),"")</f>
        <v/>
      </c>
      <c r="N346" s="9" t="str">
        <f>IF($J346="FB",COUNTIF($J$5:$J346,"FB"),"")</f>
        <v/>
      </c>
      <c r="O346" s="9" t="str">
        <f>IF($J346="PC",COUNTIF($J$5:$J346,"PC"),"")</f>
        <v/>
      </c>
      <c r="P346" s="28" t="s">
        <v>1615</v>
      </c>
      <c r="Q346" s="28" t="s">
        <v>1616</v>
      </c>
    </row>
    <row r="347" spans="1:17" ht="27" customHeight="1" x14ac:dyDescent="0.25">
      <c r="A347" s="69">
        <v>6</v>
      </c>
      <c r="B347" s="70" t="s">
        <v>542</v>
      </c>
      <c r="C347" s="71" t="s">
        <v>1590</v>
      </c>
      <c r="D347" s="70" t="s">
        <v>1591</v>
      </c>
      <c r="E347" s="70" t="s">
        <v>1613</v>
      </c>
      <c r="F347" s="82" t="s">
        <v>53</v>
      </c>
      <c r="G347" s="77" t="s">
        <v>1617</v>
      </c>
      <c r="H347" s="89"/>
      <c r="I347" s="81"/>
      <c r="J347" s="90"/>
      <c r="K347" s="39"/>
      <c r="L347" s="40"/>
      <c r="M347" s="9" t="str">
        <f>IF($J347="AC",COUNTIF($J$5:$J347,"AC"),"")</f>
        <v/>
      </c>
      <c r="N347" s="9" t="str">
        <f>IF($J347="FB",COUNTIF($J$5:$J347,"FB"),"")</f>
        <v/>
      </c>
      <c r="O347" s="9" t="str">
        <f>IF($J347="PC",COUNTIF($J$5:$J347,"PC"),"")</f>
        <v/>
      </c>
      <c r="P347" s="28" t="s">
        <v>1618</v>
      </c>
      <c r="Q347" s="28" t="s">
        <v>1619</v>
      </c>
    </row>
    <row r="348" spans="1:17" ht="27" customHeight="1" x14ac:dyDescent="0.25">
      <c r="A348" s="69">
        <v>6</v>
      </c>
      <c r="B348" s="70" t="s">
        <v>542</v>
      </c>
      <c r="C348" s="71" t="s">
        <v>1590</v>
      </c>
      <c r="D348" s="70" t="s">
        <v>1591</v>
      </c>
      <c r="E348" s="70" t="s">
        <v>1613</v>
      </c>
      <c r="F348" s="82" t="s">
        <v>53</v>
      </c>
      <c r="G348" s="77" t="s">
        <v>1620</v>
      </c>
      <c r="H348" s="89"/>
      <c r="I348" s="81"/>
      <c r="J348" s="90"/>
      <c r="K348" s="39"/>
      <c r="L348" s="40"/>
      <c r="M348" s="9" t="str">
        <f>IF($J348="AC",COUNTIF($J$5:$J348,"AC"),"")</f>
        <v/>
      </c>
      <c r="N348" s="9" t="str">
        <f>IF($J348="FB",COUNTIF($J$5:$J348,"FB"),"")</f>
        <v/>
      </c>
      <c r="O348" s="9" t="str">
        <f>IF($J348="PC",COUNTIF($J$5:$J348,"PC"),"")</f>
        <v/>
      </c>
      <c r="P348" s="28" t="s">
        <v>1621</v>
      </c>
      <c r="Q348" s="28" t="s">
        <v>1622</v>
      </c>
    </row>
    <row r="349" spans="1:17" ht="27" customHeight="1" x14ac:dyDescent="0.25">
      <c r="A349" s="69">
        <v>6</v>
      </c>
      <c r="B349" s="70" t="s">
        <v>542</v>
      </c>
      <c r="C349" s="71" t="s">
        <v>1590</v>
      </c>
      <c r="D349" s="70" t="s">
        <v>1591</v>
      </c>
      <c r="E349" s="70" t="s">
        <v>1613</v>
      </c>
      <c r="F349" s="88" t="s">
        <v>69</v>
      </c>
      <c r="G349" s="77" t="s">
        <v>1623</v>
      </c>
      <c r="H349" s="89"/>
      <c r="I349" s="81"/>
      <c r="J349" s="90"/>
      <c r="K349" s="39"/>
      <c r="L349" s="40"/>
      <c r="M349" s="9" t="str">
        <f>IF($J349="AC",COUNTIF($J$5:$J349,"AC"),"")</f>
        <v/>
      </c>
      <c r="N349" s="9" t="str">
        <f>IF($J349="FB",COUNTIF($J$5:$J349,"FB"),"")</f>
        <v/>
      </c>
      <c r="O349" s="9" t="str">
        <f>IF($J349="PC",COUNTIF($J$5:$J349,"PC"),"")</f>
        <v/>
      </c>
      <c r="P349" s="28" t="s">
        <v>1624</v>
      </c>
      <c r="Q349" s="28" t="s">
        <v>1625</v>
      </c>
    </row>
    <row r="350" spans="1:17" ht="27" customHeight="1" x14ac:dyDescent="0.25">
      <c r="A350" s="69">
        <v>6</v>
      </c>
      <c r="B350" s="70" t="s">
        <v>542</v>
      </c>
      <c r="C350" s="71" t="s">
        <v>1590</v>
      </c>
      <c r="D350" s="70" t="s">
        <v>1591</v>
      </c>
      <c r="E350" s="70" t="s">
        <v>1613</v>
      </c>
      <c r="F350" s="88" t="s">
        <v>69</v>
      </c>
      <c r="G350" s="77" t="s">
        <v>1626</v>
      </c>
      <c r="H350" s="89"/>
      <c r="I350" s="81"/>
      <c r="J350" s="90"/>
      <c r="K350" s="39"/>
      <c r="L350" s="40"/>
      <c r="M350" s="9" t="str">
        <f>IF($J350="AC",COUNTIF($J$5:$J350,"AC"),"")</f>
        <v/>
      </c>
      <c r="N350" s="9" t="str">
        <f>IF($J350="FB",COUNTIF($J$5:$J350,"FB"),"")</f>
        <v/>
      </c>
      <c r="O350" s="9" t="str">
        <f>IF($J350="PC",COUNTIF($J$5:$J350,"PC"),"")</f>
        <v/>
      </c>
      <c r="P350" s="28" t="s">
        <v>1627</v>
      </c>
      <c r="Q350" s="28" t="s">
        <v>1628</v>
      </c>
    </row>
    <row r="351" spans="1:17" ht="27" customHeight="1" x14ac:dyDescent="0.25">
      <c r="A351" s="69">
        <v>6</v>
      </c>
      <c r="B351" s="70" t="s">
        <v>542</v>
      </c>
      <c r="C351" s="71" t="s">
        <v>1590</v>
      </c>
      <c r="D351" s="70" t="s">
        <v>1591</v>
      </c>
      <c r="E351" s="70" t="s">
        <v>1613</v>
      </c>
      <c r="F351" s="92" t="s">
        <v>92</v>
      </c>
      <c r="G351" s="77" t="s">
        <v>1629</v>
      </c>
      <c r="H351" s="89"/>
      <c r="I351" s="81"/>
      <c r="J351" s="90"/>
      <c r="K351" s="39"/>
      <c r="L351" s="40"/>
      <c r="M351" s="9" t="str">
        <f>IF($J351="AC",COUNTIF($J$5:$J351,"AC"),"")</f>
        <v/>
      </c>
      <c r="N351" s="9" t="str">
        <f>IF($J351="FB",COUNTIF($J$5:$J351,"FB"),"")</f>
        <v/>
      </c>
      <c r="O351" s="9" t="str">
        <f>IF($J351="PC",COUNTIF($J$5:$J351,"PC"),"")</f>
        <v/>
      </c>
      <c r="P351" s="28" t="s">
        <v>1630</v>
      </c>
      <c r="Q351" s="28" t="s">
        <v>1631</v>
      </c>
    </row>
    <row r="352" spans="1:17" ht="27" customHeight="1" x14ac:dyDescent="0.25">
      <c r="A352" s="69">
        <v>6</v>
      </c>
      <c r="B352" s="70" t="s">
        <v>542</v>
      </c>
      <c r="C352" s="71" t="s">
        <v>1590</v>
      </c>
      <c r="D352" s="70" t="s">
        <v>1591</v>
      </c>
      <c r="E352" s="70" t="s">
        <v>1632</v>
      </c>
      <c r="F352" s="92" t="s">
        <v>92</v>
      </c>
      <c r="G352" s="77" t="s">
        <v>1633</v>
      </c>
      <c r="H352" s="89"/>
      <c r="I352" s="81"/>
      <c r="J352" s="90"/>
      <c r="K352" s="39"/>
      <c r="L352" s="40"/>
      <c r="M352" s="9" t="str">
        <f>IF($J352="AC",COUNTIF($J$5:$J352,"AC"),"")</f>
        <v/>
      </c>
      <c r="N352" s="9" t="str">
        <f>IF($J352="FB",COUNTIF($J$5:$J352,"FB"),"")</f>
        <v/>
      </c>
      <c r="O352" s="9" t="str">
        <f>IF($J352="PC",COUNTIF($J$5:$J352,"PC"),"")</f>
        <v/>
      </c>
      <c r="P352" s="28" t="s">
        <v>1634</v>
      </c>
      <c r="Q352" s="28" t="s">
        <v>1635</v>
      </c>
    </row>
    <row r="353" spans="1:17" ht="27" customHeight="1" x14ac:dyDescent="0.25">
      <c r="A353" s="69">
        <v>6</v>
      </c>
      <c r="B353" s="70" t="s">
        <v>542</v>
      </c>
      <c r="C353" s="71" t="s">
        <v>1590</v>
      </c>
      <c r="D353" s="70" t="s">
        <v>1591</v>
      </c>
      <c r="E353" s="70" t="s">
        <v>1632</v>
      </c>
      <c r="F353" s="92" t="s">
        <v>92</v>
      </c>
      <c r="G353" s="77" t="s">
        <v>1636</v>
      </c>
      <c r="H353" s="89"/>
      <c r="I353" s="81"/>
      <c r="J353" s="90"/>
      <c r="K353" s="39"/>
      <c r="L353" s="40"/>
      <c r="M353" s="9" t="str">
        <f>IF($J353="AC",COUNTIF($J$5:$J353,"AC"),"")</f>
        <v/>
      </c>
      <c r="N353" s="9" t="str">
        <f>IF($J353="FB",COUNTIF($J$5:$J353,"FB"),"")</f>
        <v/>
      </c>
      <c r="O353" s="9" t="str">
        <f>IF($J353="PC",COUNTIF($J$5:$J353,"PC"),"")</f>
        <v/>
      </c>
      <c r="P353" s="28" t="s">
        <v>1637</v>
      </c>
      <c r="Q353" s="28" t="s">
        <v>1638</v>
      </c>
    </row>
    <row r="354" spans="1:17" ht="27" customHeight="1" x14ac:dyDescent="0.25">
      <c r="A354" s="69">
        <v>6</v>
      </c>
      <c r="B354" s="70" t="s">
        <v>542</v>
      </c>
      <c r="C354" s="71" t="s">
        <v>1590</v>
      </c>
      <c r="D354" s="70" t="s">
        <v>1591</v>
      </c>
      <c r="E354" s="70" t="s">
        <v>1632</v>
      </c>
      <c r="F354" s="92" t="s">
        <v>92</v>
      </c>
      <c r="G354" s="77" t="s">
        <v>1639</v>
      </c>
      <c r="H354" s="89"/>
      <c r="I354" s="81"/>
      <c r="J354" s="90"/>
      <c r="K354" s="39"/>
      <c r="L354" s="40"/>
      <c r="M354" s="9" t="str">
        <f>IF($J354="AC",COUNTIF($J$5:$J354,"AC"),"")</f>
        <v/>
      </c>
      <c r="N354" s="9" t="str">
        <f>IF($J354="FB",COUNTIF($J$5:$J354,"FB"),"")</f>
        <v/>
      </c>
      <c r="O354" s="9" t="str">
        <f>IF($J354="PC",COUNTIF($J$5:$J354,"PC"),"")</f>
        <v/>
      </c>
      <c r="P354" s="28" t="s">
        <v>1640</v>
      </c>
      <c r="Q354" s="28" t="s">
        <v>1641</v>
      </c>
    </row>
    <row r="355" spans="1:17" ht="27" customHeight="1" x14ac:dyDescent="0.25">
      <c r="A355" s="69">
        <v>6</v>
      </c>
      <c r="B355" s="70" t="s">
        <v>542</v>
      </c>
      <c r="C355" s="71" t="s">
        <v>1590</v>
      </c>
      <c r="D355" s="70" t="s">
        <v>1591</v>
      </c>
      <c r="E355" s="70" t="s">
        <v>1632</v>
      </c>
      <c r="F355" s="88" t="s">
        <v>69</v>
      </c>
      <c r="G355" s="77" t="s">
        <v>1642</v>
      </c>
      <c r="H355" s="89"/>
      <c r="I355" s="81"/>
      <c r="J355" s="90"/>
      <c r="K355" s="39"/>
      <c r="L355" s="40"/>
      <c r="M355" s="9" t="str">
        <f>IF($J355="AC",COUNTIF($J$5:$J355,"AC"),"")</f>
        <v/>
      </c>
      <c r="N355" s="9" t="str">
        <f>IF($J355="FB",COUNTIF($J$5:$J355,"FB"),"")</f>
        <v/>
      </c>
      <c r="O355" s="9" t="str">
        <f>IF($J355="PC",COUNTIF($J$5:$J355,"PC"),"")</f>
        <v/>
      </c>
      <c r="P355" s="28" t="s">
        <v>1643</v>
      </c>
      <c r="Q355" s="28" t="s">
        <v>1644</v>
      </c>
    </row>
    <row r="356" spans="1:17" ht="27" customHeight="1" x14ac:dyDescent="0.25">
      <c r="A356" s="69">
        <v>6</v>
      </c>
      <c r="B356" s="70" t="s">
        <v>542</v>
      </c>
      <c r="C356" s="71" t="s">
        <v>1590</v>
      </c>
      <c r="D356" s="70" t="s">
        <v>1591</v>
      </c>
      <c r="E356" s="70" t="s">
        <v>1632</v>
      </c>
      <c r="F356" s="100" t="s">
        <v>165</v>
      </c>
      <c r="G356" s="77" t="s">
        <v>1645</v>
      </c>
      <c r="H356" s="89"/>
      <c r="I356" s="81"/>
      <c r="J356" s="90"/>
      <c r="K356" s="39"/>
      <c r="L356" s="40"/>
      <c r="M356" s="9" t="str">
        <f>IF($J356="AC",COUNTIF($J$5:$J356,"AC"),"")</f>
        <v/>
      </c>
      <c r="N356" s="9" t="str">
        <f>IF($J356="FB",COUNTIF($J$5:$J356,"FB"),"")</f>
        <v/>
      </c>
      <c r="O356" s="9" t="str">
        <f>IF($J356="PC",COUNTIF($J$5:$J356,"PC"),"")</f>
        <v/>
      </c>
      <c r="P356" s="28" t="s">
        <v>1646</v>
      </c>
      <c r="Q356" s="28" t="s">
        <v>1647</v>
      </c>
    </row>
    <row r="357" spans="1:17" ht="27" customHeight="1" x14ac:dyDescent="0.25">
      <c r="A357" s="69">
        <v>6</v>
      </c>
      <c r="B357" s="70" t="s">
        <v>542</v>
      </c>
      <c r="C357" s="71" t="s">
        <v>1590</v>
      </c>
      <c r="D357" s="70" t="s">
        <v>1591</v>
      </c>
      <c r="E357" s="70" t="s">
        <v>1632</v>
      </c>
      <c r="F357" s="88" t="s">
        <v>69</v>
      </c>
      <c r="G357" s="77" t="s">
        <v>1648</v>
      </c>
      <c r="H357" s="89"/>
      <c r="I357" s="81"/>
      <c r="J357" s="90"/>
      <c r="K357" s="39"/>
      <c r="L357" s="40"/>
      <c r="M357" s="9" t="str">
        <f>IF($J357="AC",COUNTIF($J$5:$J357,"AC"),"")</f>
        <v/>
      </c>
      <c r="N357" s="9" t="str">
        <f>IF($J357="FB",COUNTIF($J$5:$J357,"FB"),"")</f>
        <v/>
      </c>
      <c r="O357" s="9" t="str">
        <f>IF($J357="PC",COUNTIF($J$5:$J357,"PC"),"")</f>
        <v/>
      </c>
      <c r="P357" s="28" t="s">
        <v>1649</v>
      </c>
      <c r="Q357" s="28" t="s">
        <v>1650</v>
      </c>
    </row>
    <row r="358" spans="1:17" ht="27" customHeight="1" x14ac:dyDescent="0.25">
      <c r="A358" s="69">
        <v>6</v>
      </c>
      <c r="B358" s="70" t="s">
        <v>542</v>
      </c>
      <c r="C358" s="71" t="s">
        <v>1590</v>
      </c>
      <c r="D358" s="70" t="s">
        <v>1591</v>
      </c>
      <c r="E358" s="70" t="s">
        <v>1651</v>
      </c>
      <c r="F358" s="88" t="s">
        <v>69</v>
      </c>
      <c r="G358" s="77" t="s">
        <v>1652</v>
      </c>
      <c r="H358" s="89"/>
      <c r="I358" s="81"/>
      <c r="J358" s="90"/>
      <c r="K358" s="39"/>
      <c r="L358" s="40"/>
      <c r="M358" s="9" t="str">
        <f>IF($J358="AC",COUNTIF($J$5:$J358,"AC"),"")</f>
        <v/>
      </c>
      <c r="N358" s="9" t="str">
        <f>IF($J358="FB",COUNTIF($J$5:$J358,"FB"),"")</f>
        <v/>
      </c>
      <c r="O358" s="9" t="str">
        <f>IF($J358="PC",COUNTIF($J$5:$J358,"PC"),"")</f>
        <v/>
      </c>
      <c r="P358" s="28" t="s">
        <v>1653</v>
      </c>
      <c r="Q358" s="28" t="s">
        <v>1654</v>
      </c>
    </row>
    <row r="359" spans="1:17" ht="27" customHeight="1" x14ac:dyDescent="0.25">
      <c r="A359" s="69">
        <v>6</v>
      </c>
      <c r="B359" s="70" t="s">
        <v>542</v>
      </c>
      <c r="C359" s="71" t="s">
        <v>1590</v>
      </c>
      <c r="D359" s="70" t="s">
        <v>1591</v>
      </c>
      <c r="E359" s="70" t="s">
        <v>1651</v>
      </c>
      <c r="F359" s="100" t="s">
        <v>165</v>
      </c>
      <c r="G359" s="77" t="s">
        <v>1655</v>
      </c>
      <c r="H359" s="89"/>
      <c r="I359" s="81"/>
      <c r="J359" s="90"/>
      <c r="K359" s="39"/>
      <c r="L359" s="40"/>
      <c r="M359" s="9" t="str">
        <f>IF($J359="AC",COUNTIF($J$5:$J359,"AC"),"")</f>
        <v/>
      </c>
      <c r="N359" s="9" t="str">
        <f>IF($J359="FB",COUNTIF($J$5:$J359,"FB"),"")</f>
        <v/>
      </c>
      <c r="O359" s="9" t="str">
        <f>IF($J359="PC",COUNTIF($J$5:$J359,"PC"),"")</f>
        <v/>
      </c>
      <c r="P359" s="28" t="s">
        <v>1656</v>
      </c>
      <c r="Q359" s="28" t="s">
        <v>1657</v>
      </c>
    </row>
    <row r="360" spans="1:17" ht="27" customHeight="1" x14ac:dyDescent="0.25">
      <c r="A360" s="69">
        <v>6</v>
      </c>
      <c r="B360" s="70" t="s">
        <v>542</v>
      </c>
      <c r="C360" s="71" t="s">
        <v>1590</v>
      </c>
      <c r="D360" s="70" t="s">
        <v>1591</v>
      </c>
      <c r="E360" s="70" t="s">
        <v>1651</v>
      </c>
      <c r="F360" s="100" t="s">
        <v>165</v>
      </c>
      <c r="G360" s="77" t="s">
        <v>1658</v>
      </c>
      <c r="H360" s="89"/>
      <c r="I360" s="81"/>
      <c r="J360" s="90"/>
      <c r="K360" s="39"/>
      <c r="L360" s="40"/>
      <c r="M360" s="9" t="str">
        <f>IF($J360="AC",COUNTIF($J$5:$J360,"AC"),"")</f>
        <v/>
      </c>
      <c r="N360" s="9" t="str">
        <f>IF($J360="FB",COUNTIF($J$5:$J360,"FB"),"")</f>
        <v/>
      </c>
      <c r="O360" s="9" t="str">
        <f>IF($J360="PC",COUNTIF($J$5:$J360,"PC"),"")</f>
        <v/>
      </c>
      <c r="P360" s="28" t="s">
        <v>1659</v>
      </c>
      <c r="Q360" s="28" t="s">
        <v>1660</v>
      </c>
    </row>
    <row r="361" spans="1:17" ht="27" customHeight="1" x14ac:dyDescent="0.25">
      <c r="A361" s="69">
        <v>6</v>
      </c>
      <c r="B361" s="70" t="s">
        <v>542</v>
      </c>
      <c r="C361" s="71" t="s">
        <v>1590</v>
      </c>
      <c r="D361" s="70" t="s">
        <v>1591</v>
      </c>
      <c r="E361" s="70" t="s">
        <v>1651</v>
      </c>
      <c r="F361" s="92" t="s">
        <v>92</v>
      </c>
      <c r="G361" s="77" t="s">
        <v>1661</v>
      </c>
      <c r="H361" s="89"/>
      <c r="I361" s="81"/>
      <c r="J361" s="90"/>
      <c r="K361" s="39"/>
      <c r="L361" s="40"/>
      <c r="M361" s="9" t="str">
        <f>IF($J361="AC",COUNTIF($J$5:$J361,"AC"),"")</f>
        <v/>
      </c>
      <c r="N361" s="9" t="str">
        <f>IF($J361="FB",COUNTIF($J$5:$J361,"FB"),"")</f>
        <v/>
      </c>
      <c r="O361" s="9" t="str">
        <f>IF($J361="PC",COUNTIF($J$5:$J361,"PC"),"")</f>
        <v/>
      </c>
      <c r="P361" s="28" t="s">
        <v>1662</v>
      </c>
      <c r="Q361" s="28" t="s">
        <v>1663</v>
      </c>
    </row>
    <row r="362" spans="1:17" ht="27" customHeight="1" x14ac:dyDescent="0.25">
      <c r="A362" s="69">
        <v>6</v>
      </c>
      <c r="B362" s="70" t="s">
        <v>542</v>
      </c>
      <c r="C362" s="71" t="s">
        <v>1590</v>
      </c>
      <c r="D362" s="70" t="s">
        <v>1591</v>
      </c>
      <c r="E362" s="70" t="s">
        <v>1651</v>
      </c>
      <c r="F362" s="92" t="s">
        <v>92</v>
      </c>
      <c r="G362" s="77" t="s">
        <v>1664</v>
      </c>
      <c r="H362" s="89"/>
      <c r="I362" s="81"/>
      <c r="J362" s="90"/>
      <c r="K362" s="39"/>
      <c r="L362" s="40"/>
      <c r="M362" s="9" t="str">
        <f>IF($J362="AC",COUNTIF($J$5:$J362,"AC"),"")</f>
        <v/>
      </c>
      <c r="N362" s="9" t="str">
        <f>IF($J362="FB",COUNTIF($J$5:$J362,"FB"),"")</f>
        <v/>
      </c>
      <c r="O362" s="9" t="str">
        <f>IF($J362="PC",COUNTIF($J$5:$J362,"PC"),"")</f>
        <v/>
      </c>
      <c r="P362" s="28" t="s">
        <v>1665</v>
      </c>
      <c r="Q362" s="28" t="s">
        <v>1666</v>
      </c>
    </row>
    <row r="363" spans="1:17" ht="27" customHeight="1" x14ac:dyDescent="0.25">
      <c r="A363" s="69">
        <v>6</v>
      </c>
      <c r="B363" s="70" t="s">
        <v>542</v>
      </c>
      <c r="C363" s="71" t="s">
        <v>1590</v>
      </c>
      <c r="D363" s="70" t="s">
        <v>1591</v>
      </c>
      <c r="E363" s="70" t="s">
        <v>1651</v>
      </c>
      <c r="F363" s="92" t="s">
        <v>92</v>
      </c>
      <c r="G363" s="77" t="s">
        <v>1667</v>
      </c>
      <c r="H363" s="89"/>
      <c r="I363" s="81"/>
      <c r="J363" s="90"/>
      <c r="K363" s="39"/>
      <c r="L363" s="40"/>
      <c r="M363" s="9" t="str">
        <f>IF($J363="AC",COUNTIF($J$5:$J363,"AC"),"")</f>
        <v/>
      </c>
      <c r="N363" s="9" t="str">
        <f>IF($J363="FB",COUNTIF($J$5:$J363,"FB"),"")</f>
        <v/>
      </c>
      <c r="O363" s="9" t="str">
        <f>IF($J363="PC",COUNTIF($J$5:$J363,"PC"),"")</f>
        <v/>
      </c>
      <c r="P363" s="28" t="s">
        <v>1668</v>
      </c>
      <c r="Q363" s="28" t="s">
        <v>1669</v>
      </c>
    </row>
    <row r="364" spans="1:17" ht="27" customHeight="1" x14ac:dyDescent="0.25">
      <c r="A364" s="69">
        <v>6</v>
      </c>
      <c r="B364" s="70" t="s">
        <v>542</v>
      </c>
      <c r="C364" s="71" t="s">
        <v>1590</v>
      </c>
      <c r="D364" s="70" t="s">
        <v>1591</v>
      </c>
      <c r="E364" s="70" t="s">
        <v>1670</v>
      </c>
      <c r="F364" s="82" t="s">
        <v>53</v>
      </c>
      <c r="G364" s="77" t="s">
        <v>1671</v>
      </c>
      <c r="H364" s="89"/>
      <c r="I364" s="81"/>
      <c r="J364" s="90"/>
      <c r="K364" s="39"/>
      <c r="L364" s="40"/>
      <c r="M364" s="9" t="str">
        <f>IF($J364="AC",COUNTIF($J$5:$J364,"AC"),"")</f>
        <v/>
      </c>
      <c r="N364" s="9" t="str">
        <f>IF($J364="FB",COUNTIF($J$5:$J364,"FB"),"")</f>
        <v/>
      </c>
      <c r="O364" s="9" t="str">
        <f>IF($J364="PC",COUNTIF($J$5:$J364,"PC"),"")</f>
        <v/>
      </c>
      <c r="P364" s="28" t="s">
        <v>1672</v>
      </c>
      <c r="Q364" s="28" t="s">
        <v>1673</v>
      </c>
    </row>
    <row r="365" spans="1:17" ht="27" customHeight="1" x14ac:dyDescent="0.25">
      <c r="A365" s="69">
        <v>6</v>
      </c>
      <c r="B365" s="70" t="s">
        <v>542</v>
      </c>
      <c r="C365" s="71" t="s">
        <v>1590</v>
      </c>
      <c r="D365" s="70" t="s">
        <v>1591</v>
      </c>
      <c r="E365" s="70" t="s">
        <v>1670</v>
      </c>
      <c r="F365" s="82" t="s">
        <v>53</v>
      </c>
      <c r="G365" s="77" t="s">
        <v>1674</v>
      </c>
      <c r="H365" s="89"/>
      <c r="I365" s="81"/>
      <c r="J365" s="90"/>
      <c r="K365" s="39"/>
      <c r="L365" s="40"/>
      <c r="M365" s="9" t="str">
        <f>IF($J365="AC",COUNTIF($J$5:$J365,"AC"),"")</f>
        <v/>
      </c>
      <c r="N365" s="9" t="str">
        <f>IF($J365="FB",COUNTIF($J$5:$J365,"FB"),"")</f>
        <v/>
      </c>
      <c r="O365" s="9" t="str">
        <f>IF($J365="PC",COUNTIF($J$5:$J365,"PC"),"")</f>
        <v/>
      </c>
      <c r="P365" s="28" t="s">
        <v>1675</v>
      </c>
      <c r="Q365" s="28" t="s">
        <v>1676</v>
      </c>
    </row>
    <row r="366" spans="1:17" ht="27" customHeight="1" x14ac:dyDescent="0.25">
      <c r="A366" s="69">
        <v>6</v>
      </c>
      <c r="B366" s="70" t="s">
        <v>542</v>
      </c>
      <c r="C366" s="71" t="s">
        <v>1590</v>
      </c>
      <c r="D366" s="70" t="s">
        <v>1591</v>
      </c>
      <c r="E366" s="70" t="s">
        <v>1670</v>
      </c>
      <c r="F366" s="82" t="s">
        <v>53</v>
      </c>
      <c r="G366" s="77" t="s">
        <v>1677</v>
      </c>
      <c r="H366" s="89"/>
      <c r="I366" s="81"/>
      <c r="J366" s="90"/>
      <c r="K366" s="39"/>
      <c r="L366" s="40"/>
      <c r="M366" s="9" t="str">
        <f>IF($J366="AC",COUNTIF($J$5:$J366,"AC"),"")</f>
        <v/>
      </c>
      <c r="N366" s="9" t="str">
        <f>IF($J366="FB",COUNTIF($J$5:$J366,"FB"),"")</f>
        <v/>
      </c>
      <c r="O366" s="9" t="str">
        <f>IF($J366="PC",COUNTIF($J$5:$J366,"PC"),"")</f>
        <v/>
      </c>
      <c r="P366" s="28" t="s">
        <v>1678</v>
      </c>
      <c r="Q366" s="28" t="s">
        <v>1679</v>
      </c>
    </row>
    <row r="367" spans="1:17" ht="27" customHeight="1" x14ac:dyDescent="0.25">
      <c r="A367" s="69">
        <v>6</v>
      </c>
      <c r="B367" s="70" t="s">
        <v>542</v>
      </c>
      <c r="C367" s="71" t="s">
        <v>1590</v>
      </c>
      <c r="D367" s="70" t="s">
        <v>1591</v>
      </c>
      <c r="E367" s="70" t="s">
        <v>1670</v>
      </c>
      <c r="F367" s="92" t="s">
        <v>92</v>
      </c>
      <c r="G367" s="77" t="s">
        <v>1680</v>
      </c>
      <c r="H367" s="89"/>
      <c r="I367" s="81"/>
      <c r="J367" s="90"/>
      <c r="K367" s="39"/>
      <c r="L367" s="40"/>
      <c r="M367" s="9" t="str">
        <f>IF($J367="AC",COUNTIF($J$5:$J367,"AC"),"")</f>
        <v/>
      </c>
      <c r="N367" s="9" t="str">
        <f>IF($J367="FB",COUNTIF($J$5:$J367,"FB"),"")</f>
        <v/>
      </c>
      <c r="O367" s="9" t="str">
        <f>IF($J367="PC",COUNTIF($J$5:$J367,"PC"),"")</f>
        <v/>
      </c>
      <c r="P367" s="28" t="s">
        <v>1681</v>
      </c>
      <c r="Q367" s="28" t="s">
        <v>1682</v>
      </c>
    </row>
    <row r="368" spans="1:17" ht="27" customHeight="1" x14ac:dyDescent="0.25">
      <c r="A368" s="69">
        <v>6</v>
      </c>
      <c r="B368" s="70" t="s">
        <v>542</v>
      </c>
      <c r="C368" s="71" t="s">
        <v>1590</v>
      </c>
      <c r="D368" s="70" t="s">
        <v>1591</v>
      </c>
      <c r="E368" s="70" t="s">
        <v>1670</v>
      </c>
      <c r="F368" s="82" t="s">
        <v>53</v>
      </c>
      <c r="G368" s="77" t="s">
        <v>1683</v>
      </c>
      <c r="H368" s="89"/>
      <c r="I368" s="81"/>
      <c r="J368" s="90"/>
      <c r="K368" s="39"/>
      <c r="L368" s="40"/>
      <c r="M368" s="9" t="str">
        <f>IF($J368="AC",COUNTIF($J$5:$J368,"AC"),"")</f>
        <v/>
      </c>
      <c r="N368" s="9" t="str">
        <f>IF($J368="FB",COUNTIF($J$5:$J368,"FB"),"")</f>
        <v/>
      </c>
      <c r="O368" s="9" t="str">
        <f>IF($J368="PC",COUNTIF($J$5:$J368,"PC"),"")</f>
        <v/>
      </c>
      <c r="P368" s="28" t="s">
        <v>1684</v>
      </c>
      <c r="Q368" s="28" t="s">
        <v>1685</v>
      </c>
    </row>
    <row r="369" spans="1:17" ht="27" customHeight="1" x14ac:dyDescent="0.25">
      <c r="A369" s="69">
        <v>6</v>
      </c>
      <c r="B369" s="70" t="s">
        <v>542</v>
      </c>
      <c r="C369" s="71" t="s">
        <v>1590</v>
      </c>
      <c r="D369" s="70" t="s">
        <v>1591</v>
      </c>
      <c r="E369" s="70" t="s">
        <v>1670</v>
      </c>
      <c r="F369" s="82" t="s">
        <v>53</v>
      </c>
      <c r="G369" s="77" t="s">
        <v>1686</v>
      </c>
      <c r="H369" s="89"/>
      <c r="I369" s="81"/>
      <c r="J369" s="90"/>
      <c r="K369" s="39"/>
      <c r="L369" s="40"/>
      <c r="M369" s="9" t="str">
        <f>IF($J369="AC",COUNTIF($J$5:$J369,"AC"),"")</f>
        <v/>
      </c>
      <c r="N369" s="9" t="str">
        <f>IF($J369="FB",COUNTIF($J$5:$J369,"FB"),"")</f>
        <v/>
      </c>
      <c r="O369" s="9" t="str">
        <f>IF($J369="PC",COUNTIF($J$5:$J369,"PC"),"")</f>
        <v/>
      </c>
      <c r="P369" s="28" t="s">
        <v>1687</v>
      </c>
      <c r="Q369" s="28" t="s">
        <v>1688</v>
      </c>
    </row>
    <row r="370" spans="1:17" ht="27" customHeight="1" x14ac:dyDescent="0.25">
      <c r="A370" s="69">
        <v>6</v>
      </c>
      <c r="B370" s="70" t="s">
        <v>542</v>
      </c>
      <c r="C370" s="71" t="s">
        <v>1590</v>
      </c>
      <c r="D370" s="70" t="s">
        <v>1591</v>
      </c>
      <c r="E370" s="70" t="s">
        <v>1689</v>
      </c>
      <c r="F370" s="82" t="s">
        <v>53</v>
      </c>
      <c r="G370" s="77" t="s">
        <v>1690</v>
      </c>
      <c r="H370" s="89"/>
      <c r="I370" s="81"/>
      <c r="J370" s="90"/>
      <c r="K370" s="39"/>
      <c r="L370" s="40"/>
      <c r="M370" s="9" t="str">
        <f>IF($J370="AC",COUNTIF($J$5:$J370,"AC"),"")</f>
        <v/>
      </c>
      <c r="N370" s="9" t="str">
        <f>IF($J370="FB",COUNTIF($J$5:$J370,"FB"),"")</f>
        <v/>
      </c>
      <c r="O370" s="9" t="str">
        <f>IF($J370="PC",COUNTIF($J$5:$J370,"PC"),"")</f>
        <v/>
      </c>
      <c r="P370" s="28" t="s">
        <v>1691</v>
      </c>
      <c r="Q370" s="28" t="s">
        <v>1692</v>
      </c>
    </row>
    <row r="371" spans="1:17" ht="27" customHeight="1" x14ac:dyDescent="0.25">
      <c r="A371" s="69">
        <v>6</v>
      </c>
      <c r="B371" s="70" t="s">
        <v>542</v>
      </c>
      <c r="C371" s="71" t="s">
        <v>1590</v>
      </c>
      <c r="D371" s="70" t="s">
        <v>1591</v>
      </c>
      <c r="E371" s="70" t="s">
        <v>1689</v>
      </c>
      <c r="F371" s="82" t="s">
        <v>53</v>
      </c>
      <c r="G371" s="77" t="s">
        <v>1693</v>
      </c>
      <c r="H371" s="89"/>
      <c r="I371" s="81"/>
      <c r="J371" s="90"/>
      <c r="K371" s="39"/>
      <c r="L371" s="40"/>
      <c r="M371" s="9" t="str">
        <f>IF($J371="AC",COUNTIF($J$5:$J371,"AC"),"")</f>
        <v/>
      </c>
      <c r="N371" s="9" t="str">
        <f>IF($J371="FB",COUNTIF($J$5:$J371,"FB"),"")</f>
        <v/>
      </c>
      <c r="O371" s="9" t="str">
        <f>IF($J371="PC",COUNTIF($J$5:$J371,"PC"),"")</f>
        <v/>
      </c>
      <c r="P371" s="28" t="s">
        <v>1694</v>
      </c>
      <c r="Q371" s="28" t="s">
        <v>1695</v>
      </c>
    </row>
    <row r="372" spans="1:17" ht="27" customHeight="1" x14ac:dyDescent="0.25">
      <c r="A372" s="69">
        <v>6</v>
      </c>
      <c r="B372" s="70" t="s">
        <v>542</v>
      </c>
      <c r="C372" s="71" t="s">
        <v>1590</v>
      </c>
      <c r="D372" s="70" t="s">
        <v>1591</v>
      </c>
      <c r="E372" s="70" t="s">
        <v>1689</v>
      </c>
      <c r="F372" s="82" t="s">
        <v>53</v>
      </c>
      <c r="G372" s="77" t="s">
        <v>1696</v>
      </c>
      <c r="H372" s="89"/>
      <c r="I372" s="81"/>
      <c r="J372" s="90"/>
      <c r="K372" s="39"/>
      <c r="L372" s="40"/>
      <c r="M372" s="9" t="str">
        <f>IF($J372="AC",COUNTIF($J$5:$J372,"AC"),"")</f>
        <v/>
      </c>
      <c r="N372" s="9" t="str">
        <f>IF($J372="FB",COUNTIF($J$5:$J372,"FB"),"")</f>
        <v/>
      </c>
      <c r="O372" s="9" t="str">
        <f>IF($J372="PC",COUNTIF($J$5:$J372,"PC"),"")</f>
        <v/>
      </c>
      <c r="P372" s="28" t="s">
        <v>1697</v>
      </c>
      <c r="Q372" s="28" t="s">
        <v>1698</v>
      </c>
    </row>
    <row r="373" spans="1:17" ht="27" customHeight="1" x14ac:dyDescent="0.25">
      <c r="A373" s="69">
        <v>6</v>
      </c>
      <c r="B373" s="70" t="s">
        <v>542</v>
      </c>
      <c r="C373" s="71" t="s">
        <v>1590</v>
      </c>
      <c r="D373" s="70" t="s">
        <v>1591</v>
      </c>
      <c r="E373" s="70" t="s">
        <v>1689</v>
      </c>
      <c r="F373" s="88" t="s">
        <v>69</v>
      </c>
      <c r="G373" s="77" t="s">
        <v>1699</v>
      </c>
      <c r="H373" s="89"/>
      <c r="I373" s="81"/>
      <c r="J373" s="90"/>
      <c r="K373" s="39"/>
      <c r="L373" s="40"/>
      <c r="M373" s="9" t="str">
        <f>IF($J373="AC",COUNTIF($J$5:$J373,"AC"),"")</f>
        <v/>
      </c>
      <c r="N373" s="9" t="str">
        <f>IF($J373="FB",COUNTIF($J$5:$J373,"FB"),"")</f>
        <v/>
      </c>
      <c r="O373" s="9" t="str">
        <f>IF($J373="PC",COUNTIF($J$5:$J373,"PC"),"")</f>
        <v/>
      </c>
      <c r="P373" s="28" t="s">
        <v>1700</v>
      </c>
      <c r="Q373" s="28" t="s">
        <v>1701</v>
      </c>
    </row>
    <row r="374" spans="1:17" ht="27" customHeight="1" x14ac:dyDescent="0.25">
      <c r="A374" s="69">
        <v>6</v>
      </c>
      <c r="B374" s="70" t="s">
        <v>542</v>
      </c>
      <c r="C374" s="71" t="s">
        <v>1590</v>
      </c>
      <c r="D374" s="70" t="s">
        <v>1591</v>
      </c>
      <c r="E374" s="70" t="s">
        <v>1689</v>
      </c>
      <c r="F374" s="92" t="s">
        <v>92</v>
      </c>
      <c r="G374" s="77" t="s">
        <v>1702</v>
      </c>
      <c r="H374" s="89"/>
      <c r="I374" s="81"/>
      <c r="J374" s="90"/>
      <c r="K374" s="39"/>
      <c r="L374" s="40"/>
      <c r="M374" s="9" t="str">
        <f>IF($J374="AC",COUNTIF($J$5:$J374,"AC"),"")</f>
        <v/>
      </c>
      <c r="N374" s="9" t="str">
        <f>IF($J374="FB",COUNTIF($J$5:$J374,"FB"),"")</f>
        <v/>
      </c>
      <c r="O374" s="9" t="str">
        <f>IF($J374="PC",COUNTIF($J$5:$J374,"PC"),"")</f>
        <v/>
      </c>
      <c r="P374" s="28" t="s">
        <v>1703</v>
      </c>
      <c r="Q374" s="28" t="s">
        <v>1704</v>
      </c>
    </row>
    <row r="375" spans="1:17" ht="27" customHeight="1" x14ac:dyDescent="0.25">
      <c r="A375" s="69">
        <v>6</v>
      </c>
      <c r="B375" s="70" t="s">
        <v>542</v>
      </c>
      <c r="C375" s="71" t="s">
        <v>1590</v>
      </c>
      <c r="D375" s="70" t="s">
        <v>1591</v>
      </c>
      <c r="E375" s="70" t="s">
        <v>1689</v>
      </c>
      <c r="F375" s="100" t="s">
        <v>165</v>
      </c>
      <c r="G375" s="77" t="s">
        <v>1705</v>
      </c>
      <c r="H375" s="89"/>
      <c r="I375" s="81"/>
      <c r="J375" s="90"/>
      <c r="K375" s="39"/>
      <c r="L375" s="40"/>
      <c r="M375" s="9" t="str">
        <f>IF($J375="AC",COUNTIF($J$5:$J375,"AC"),"")</f>
        <v/>
      </c>
      <c r="N375" s="9" t="str">
        <f>IF($J375="FB",COUNTIF($J$5:$J375,"FB"),"")</f>
        <v/>
      </c>
      <c r="O375" s="9" t="str">
        <f>IF($J375="PC",COUNTIF($J$5:$J375,"PC"),"")</f>
        <v/>
      </c>
      <c r="P375" s="28" t="s">
        <v>1706</v>
      </c>
      <c r="Q375" s="28" t="s">
        <v>1707</v>
      </c>
    </row>
    <row r="376" spans="1:17" ht="27" customHeight="1" x14ac:dyDescent="0.25">
      <c r="A376" s="69">
        <v>6</v>
      </c>
      <c r="B376" s="70" t="s">
        <v>542</v>
      </c>
      <c r="C376" s="71" t="s">
        <v>1590</v>
      </c>
      <c r="D376" s="70" t="s">
        <v>1591</v>
      </c>
      <c r="E376" s="70" t="s">
        <v>1708</v>
      </c>
      <c r="F376" s="92" t="s">
        <v>92</v>
      </c>
      <c r="G376" s="77" t="s">
        <v>1709</v>
      </c>
      <c r="H376" s="89"/>
      <c r="I376" s="81"/>
      <c r="J376" s="90"/>
      <c r="K376" s="39"/>
      <c r="L376" s="40"/>
      <c r="M376" s="9" t="str">
        <f>IF($J376="AC",COUNTIF($J$5:$J376,"AC"),"")</f>
        <v/>
      </c>
      <c r="N376" s="9" t="str">
        <f>IF($J376="FB",COUNTIF($J$5:$J376,"FB"),"")</f>
        <v/>
      </c>
      <c r="O376" s="9" t="str">
        <f>IF($J376="PC",COUNTIF($J$5:$J376,"PC"),"")</f>
        <v/>
      </c>
      <c r="P376" s="28" t="s">
        <v>1710</v>
      </c>
      <c r="Q376" s="28" t="s">
        <v>1711</v>
      </c>
    </row>
    <row r="377" spans="1:17" ht="27" customHeight="1" x14ac:dyDescent="0.25">
      <c r="A377" s="69">
        <v>6</v>
      </c>
      <c r="B377" s="70" t="s">
        <v>542</v>
      </c>
      <c r="C377" s="71" t="s">
        <v>1590</v>
      </c>
      <c r="D377" s="70" t="s">
        <v>1591</v>
      </c>
      <c r="E377" s="70" t="s">
        <v>1708</v>
      </c>
      <c r="F377" s="92" t="s">
        <v>92</v>
      </c>
      <c r="G377" s="77" t="s">
        <v>1712</v>
      </c>
      <c r="H377" s="89"/>
      <c r="I377" s="81"/>
      <c r="J377" s="90"/>
      <c r="K377" s="39"/>
      <c r="L377" s="40"/>
      <c r="M377" s="9" t="str">
        <f>IF($J377="AC",COUNTIF($J$5:$J377,"AC"),"")</f>
        <v/>
      </c>
      <c r="N377" s="9" t="str">
        <f>IF($J377="FB",COUNTIF($J$5:$J377,"FB"),"")</f>
        <v/>
      </c>
      <c r="O377" s="9" t="str">
        <f>IF($J377="PC",COUNTIF($J$5:$J377,"PC"),"")</f>
        <v/>
      </c>
      <c r="P377" s="28" t="s">
        <v>1713</v>
      </c>
      <c r="Q377" s="28" t="s">
        <v>1714</v>
      </c>
    </row>
    <row r="378" spans="1:17" ht="27" customHeight="1" x14ac:dyDescent="0.25">
      <c r="A378" s="69">
        <v>6</v>
      </c>
      <c r="B378" s="70" t="s">
        <v>542</v>
      </c>
      <c r="C378" s="71" t="s">
        <v>1590</v>
      </c>
      <c r="D378" s="70" t="s">
        <v>1591</v>
      </c>
      <c r="E378" s="70" t="s">
        <v>1708</v>
      </c>
      <c r="F378" s="82" t="s">
        <v>53</v>
      </c>
      <c r="G378" s="77" t="s">
        <v>1715</v>
      </c>
      <c r="H378" s="89"/>
      <c r="I378" s="81"/>
      <c r="J378" s="90"/>
      <c r="K378" s="39"/>
      <c r="L378" s="40"/>
      <c r="M378" s="9" t="str">
        <f>IF($J378="AC",COUNTIF($J$5:$J378,"AC"),"")</f>
        <v/>
      </c>
      <c r="N378" s="9" t="str">
        <f>IF($J378="FB",COUNTIF($J$5:$J378,"FB"),"")</f>
        <v/>
      </c>
      <c r="O378" s="9" t="str">
        <f>IF($J378="PC",COUNTIF($J$5:$J378,"PC"),"")</f>
        <v/>
      </c>
      <c r="P378" s="28" t="s">
        <v>1716</v>
      </c>
      <c r="Q378" s="28" t="s">
        <v>1717</v>
      </c>
    </row>
    <row r="379" spans="1:17" ht="27" customHeight="1" x14ac:dyDescent="0.25">
      <c r="A379" s="69">
        <v>6</v>
      </c>
      <c r="B379" s="70" t="s">
        <v>542</v>
      </c>
      <c r="C379" s="71" t="s">
        <v>1590</v>
      </c>
      <c r="D379" s="70" t="s">
        <v>1591</v>
      </c>
      <c r="E379" s="70" t="s">
        <v>1708</v>
      </c>
      <c r="F379" s="88" t="s">
        <v>69</v>
      </c>
      <c r="G379" s="77" t="s">
        <v>1718</v>
      </c>
      <c r="H379" s="89"/>
      <c r="I379" s="81"/>
      <c r="J379" s="90"/>
      <c r="K379" s="39"/>
      <c r="L379" s="40"/>
      <c r="M379" s="9" t="str">
        <f>IF($J379="AC",COUNTIF($J$5:$J379,"AC"),"")</f>
        <v/>
      </c>
      <c r="N379" s="9" t="str">
        <f>IF($J379="FB",COUNTIF($J$5:$J379,"FB"),"")</f>
        <v/>
      </c>
      <c r="O379" s="9" t="str">
        <f>IF($J379="PC",COUNTIF($J$5:$J379,"PC"),"")</f>
        <v/>
      </c>
      <c r="P379" s="28" t="s">
        <v>1719</v>
      </c>
      <c r="Q379" s="28" t="s">
        <v>1720</v>
      </c>
    </row>
    <row r="380" spans="1:17" ht="27" customHeight="1" x14ac:dyDescent="0.25">
      <c r="A380" s="69">
        <v>6</v>
      </c>
      <c r="B380" s="70" t="s">
        <v>542</v>
      </c>
      <c r="C380" s="71" t="s">
        <v>1590</v>
      </c>
      <c r="D380" s="70" t="s">
        <v>1591</v>
      </c>
      <c r="E380" s="70" t="s">
        <v>1708</v>
      </c>
      <c r="F380" s="92" t="s">
        <v>92</v>
      </c>
      <c r="G380" s="77" t="s">
        <v>1721</v>
      </c>
      <c r="H380" s="89"/>
      <c r="I380" s="81"/>
      <c r="J380" s="90"/>
      <c r="K380" s="39"/>
      <c r="L380" s="40"/>
      <c r="M380" s="9" t="str">
        <f>IF($J380="AC",COUNTIF($J$5:$J380,"AC"),"")</f>
        <v/>
      </c>
      <c r="N380" s="9" t="str">
        <f>IF($J380="FB",COUNTIF($J$5:$J380,"FB"),"")</f>
        <v/>
      </c>
      <c r="O380" s="9" t="str">
        <f>IF($J380="PC",COUNTIF($J$5:$J380,"PC"),"")</f>
        <v/>
      </c>
      <c r="P380" s="28" t="s">
        <v>1722</v>
      </c>
      <c r="Q380" s="28" t="s">
        <v>1723</v>
      </c>
    </row>
    <row r="381" spans="1:17" ht="27" customHeight="1" x14ac:dyDescent="0.25">
      <c r="A381" s="69">
        <v>6</v>
      </c>
      <c r="B381" s="70" t="s">
        <v>542</v>
      </c>
      <c r="C381" s="71" t="s">
        <v>1590</v>
      </c>
      <c r="D381" s="70" t="s">
        <v>1591</v>
      </c>
      <c r="E381" s="70" t="s">
        <v>1708</v>
      </c>
      <c r="F381" s="92" t="s">
        <v>92</v>
      </c>
      <c r="G381" s="77" t="s">
        <v>1724</v>
      </c>
      <c r="H381" s="89"/>
      <c r="I381" s="81"/>
      <c r="J381" s="90"/>
      <c r="K381" s="39"/>
      <c r="L381" s="40"/>
      <c r="M381" s="9" t="str">
        <f>IF($J381="AC",COUNTIF($J$5:$J381,"AC"),"")</f>
        <v/>
      </c>
      <c r="N381" s="9" t="str">
        <f>IF($J381="FB",COUNTIF($J$5:$J381,"FB"),"")</f>
        <v/>
      </c>
      <c r="O381" s="9" t="str">
        <f>IF($J381="PC",COUNTIF($J$5:$J381,"PC"),"")</f>
        <v/>
      </c>
      <c r="P381" s="28" t="s">
        <v>1725</v>
      </c>
      <c r="Q381" s="28" t="s">
        <v>1726</v>
      </c>
    </row>
    <row r="382" spans="1:17" ht="27" customHeight="1" x14ac:dyDescent="0.25">
      <c r="A382" s="69">
        <v>6</v>
      </c>
      <c r="B382" s="70" t="s">
        <v>542</v>
      </c>
      <c r="C382" s="71" t="s">
        <v>1590</v>
      </c>
      <c r="D382" s="70" t="s">
        <v>1591</v>
      </c>
      <c r="E382" s="70" t="s">
        <v>1727</v>
      </c>
      <c r="F382" s="92" t="s">
        <v>92</v>
      </c>
      <c r="G382" s="77" t="s">
        <v>1728</v>
      </c>
      <c r="H382" s="89"/>
      <c r="I382" s="81"/>
      <c r="J382" s="90"/>
      <c r="K382" s="39"/>
      <c r="L382" s="40"/>
      <c r="M382" s="9" t="str">
        <f>IF($J382="AC",COUNTIF($J$5:$J382,"AC"),"")</f>
        <v/>
      </c>
      <c r="N382" s="9" t="str">
        <f>IF($J382="FB",COUNTIF($J$5:$J382,"FB"),"")</f>
        <v/>
      </c>
      <c r="O382" s="9" t="str">
        <f>IF($J382="PC",COUNTIF($J$5:$J382,"PC"),"")</f>
        <v/>
      </c>
      <c r="P382" s="28" t="s">
        <v>1729</v>
      </c>
      <c r="Q382" s="28" t="s">
        <v>1730</v>
      </c>
    </row>
    <row r="383" spans="1:17" ht="27" customHeight="1" x14ac:dyDescent="0.25">
      <c r="A383" s="69">
        <v>6</v>
      </c>
      <c r="B383" s="70" t="s">
        <v>542</v>
      </c>
      <c r="C383" s="71" t="s">
        <v>1590</v>
      </c>
      <c r="D383" s="70" t="s">
        <v>1591</v>
      </c>
      <c r="E383" s="70" t="s">
        <v>1727</v>
      </c>
      <c r="F383" s="92" t="s">
        <v>92</v>
      </c>
      <c r="G383" s="77" t="s">
        <v>1731</v>
      </c>
      <c r="H383" s="89"/>
      <c r="I383" s="81"/>
      <c r="J383" s="90"/>
      <c r="K383" s="39"/>
      <c r="L383" s="40"/>
      <c r="M383" s="9" t="str">
        <f>IF($J383="AC",COUNTIF($J$5:$J383,"AC"),"")</f>
        <v/>
      </c>
      <c r="N383" s="9" t="str">
        <f>IF($J383="FB",COUNTIF($J$5:$J383,"FB"),"")</f>
        <v/>
      </c>
      <c r="O383" s="9" t="str">
        <f>IF($J383="PC",COUNTIF($J$5:$J383,"PC"),"")</f>
        <v/>
      </c>
      <c r="P383" s="28" t="s">
        <v>1732</v>
      </c>
      <c r="Q383" s="28" t="s">
        <v>1733</v>
      </c>
    </row>
    <row r="384" spans="1:17" ht="27" customHeight="1" x14ac:dyDescent="0.25">
      <c r="A384" s="69">
        <v>6</v>
      </c>
      <c r="B384" s="70" t="s">
        <v>542</v>
      </c>
      <c r="C384" s="71" t="s">
        <v>1590</v>
      </c>
      <c r="D384" s="70" t="s">
        <v>1591</v>
      </c>
      <c r="E384" s="70" t="s">
        <v>1727</v>
      </c>
      <c r="F384" s="92" t="s">
        <v>92</v>
      </c>
      <c r="G384" s="77" t="s">
        <v>1734</v>
      </c>
      <c r="H384" s="89"/>
      <c r="I384" s="81"/>
      <c r="J384" s="90"/>
      <c r="K384" s="39"/>
      <c r="L384" s="40"/>
      <c r="M384" s="9" t="str">
        <f>IF($J384="AC",COUNTIF($J$5:$J384,"AC"),"")</f>
        <v/>
      </c>
      <c r="N384" s="9" t="str">
        <f>IF($J384="FB",COUNTIF($J$5:$J384,"FB"),"")</f>
        <v/>
      </c>
      <c r="O384" s="9" t="str">
        <f>IF($J384="PC",COUNTIF($J$5:$J384,"PC"),"")</f>
        <v/>
      </c>
      <c r="P384" s="28" t="s">
        <v>1735</v>
      </c>
      <c r="Q384" s="28" t="s">
        <v>1736</v>
      </c>
    </row>
    <row r="385" spans="1:17" ht="27" customHeight="1" x14ac:dyDescent="0.25">
      <c r="A385" s="69">
        <v>6</v>
      </c>
      <c r="B385" s="70" t="s">
        <v>542</v>
      </c>
      <c r="C385" s="71" t="s">
        <v>1590</v>
      </c>
      <c r="D385" s="70" t="s">
        <v>1591</v>
      </c>
      <c r="E385" s="70" t="s">
        <v>1727</v>
      </c>
      <c r="F385" s="92" t="s">
        <v>92</v>
      </c>
      <c r="G385" s="77" t="s">
        <v>1737</v>
      </c>
      <c r="H385" s="89"/>
      <c r="I385" s="81"/>
      <c r="J385" s="90"/>
      <c r="K385" s="39"/>
      <c r="L385" s="40"/>
      <c r="M385" s="9" t="str">
        <f>IF($J385="AC",COUNTIF($J$5:$J385,"AC"),"")</f>
        <v/>
      </c>
      <c r="N385" s="9" t="str">
        <f>IF($J385="FB",COUNTIF($J$5:$J385,"FB"),"")</f>
        <v/>
      </c>
      <c r="O385" s="9" t="str">
        <f>IF($J385="PC",COUNTIF($J$5:$J385,"PC"),"")</f>
        <v/>
      </c>
      <c r="P385" s="28" t="s">
        <v>1738</v>
      </c>
      <c r="Q385" s="28" t="s">
        <v>1739</v>
      </c>
    </row>
    <row r="386" spans="1:17" ht="27" customHeight="1" x14ac:dyDescent="0.25">
      <c r="A386" s="69">
        <v>6</v>
      </c>
      <c r="B386" s="70" t="s">
        <v>542</v>
      </c>
      <c r="C386" s="71" t="s">
        <v>1590</v>
      </c>
      <c r="D386" s="70" t="s">
        <v>1591</v>
      </c>
      <c r="E386" s="70" t="s">
        <v>1727</v>
      </c>
      <c r="F386" s="92" t="s">
        <v>92</v>
      </c>
      <c r="G386" s="77" t="s">
        <v>1740</v>
      </c>
      <c r="H386" s="89"/>
      <c r="I386" s="81"/>
      <c r="J386" s="90"/>
      <c r="K386" s="39"/>
      <c r="L386" s="40"/>
      <c r="M386" s="9" t="str">
        <f>IF($J386="AC",COUNTIF($J$5:$J386,"AC"),"")</f>
        <v/>
      </c>
      <c r="N386" s="9" t="str">
        <f>IF($J386="FB",COUNTIF($J$5:$J386,"FB"),"")</f>
        <v/>
      </c>
      <c r="O386" s="9" t="str">
        <f>IF($J386="PC",COUNTIF($J$5:$J386,"PC"),"")</f>
        <v/>
      </c>
      <c r="P386" s="28" t="s">
        <v>1741</v>
      </c>
      <c r="Q386" s="28" t="s">
        <v>1742</v>
      </c>
    </row>
    <row r="387" spans="1:17" ht="27" customHeight="1" x14ac:dyDescent="0.25">
      <c r="A387" s="69">
        <v>6</v>
      </c>
      <c r="B387" s="70" t="s">
        <v>542</v>
      </c>
      <c r="C387" s="71" t="s">
        <v>1590</v>
      </c>
      <c r="D387" s="70" t="s">
        <v>1591</v>
      </c>
      <c r="E387" s="70" t="s">
        <v>1727</v>
      </c>
      <c r="F387" s="92" t="s">
        <v>92</v>
      </c>
      <c r="G387" s="77" t="s">
        <v>1743</v>
      </c>
      <c r="H387" s="89"/>
      <c r="I387" s="81"/>
      <c r="J387" s="90"/>
      <c r="K387" s="39"/>
      <c r="L387" s="40"/>
      <c r="M387" s="9" t="str">
        <f>IF($J387="AC",COUNTIF($J$5:$J387,"AC"),"")</f>
        <v/>
      </c>
      <c r="N387" s="9" t="str">
        <f>IF($J387="FB",COUNTIF($J$5:$J387,"FB"),"")</f>
        <v/>
      </c>
      <c r="O387" s="9" t="str">
        <f>IF($J387="PC",COUNTIF($J$5:$J387,"PC"),"")</f>
        <v/>
      </c>
      <c r="P387" s="28" t="s">
        <v>1744</v>
      </c>
      <c r="Q387" s="28" t="s">
        <v>1745</v>
      </c>
    </row>
    <row r="388" spans="1:17" ht="27" customHeight="1" x14ac:dyDescent="0.25">
      <c r="A388" s="69">
        <v>6</v>
      </c>
      <c r="B388" s="70" t="s">
        <v>542</v>
      </c>
      <c r="C388" s="71" t="s">
        <v>1590</v>
      </c>
      <c r="D388" s="70" t="s">
        <v>1591</v>
      </c>
      <c r="E388" s="70" t="s">
        <v>1746</v>
      </c>
      <c r="F388" s="82" t="s">
        <v>53</v>
      </c>
      <c r="G388" s="77" t="s">
        <v>1747</v>
      </c>
      <c r="H388" s="89"/>
      <c r="I388" s="81"/>
      <c r="J388" s="90"/>
      <c r="K388" s="39"/>
      <c r="L388" s="40"/>
      <c r="M388" s="9" t="str">
        <f>IF($J388="AC",COUNTIF($J$5:$J388,"AC"),"")</f>
        <v/>
      </c>
      <c r="N388" s="9" t="str">
        <f>IF($J388="FB",COUNTIF($J$5:$J388,"FB"),"")</f>
        <v/>
      </c>
      <c r="O388" s="9" t="str">
        <f>IF($J388="PC",COUNTIF($J$5:$J388,"PC"),"")</f>
        <v/>
      </c>
      <c r="P388" s="28" t="s">
        <v>1748</v>
      </c>
      <c r="Q388" s="28" t="s">
        <v>1749</v>
      </c>
    </row>
    <row r="389" spans="1:17" ht="27" customHeight="1" x14ac:dyDescent="0.25">
      <c r="A389" s="69">
        <v>6</v>
      </c>
      <c r="B389" s="70" t="s">
        <v>542</v>
      </c>
      <c r="C389" s="71" t="s">
        <v>1590</v>
      </c>
      <c r="D389" s="70" t="s">
        <v>1591</v>
      </c>
      <c r="E389" s="70" t="s">
        <v>1746</v>
      </c>
      <c r="F389" s="82" t="s">
        <v>53</v>
      </c>
      <c r="G389" s="77" t="s">
        <v>1750</v>
      </c>
      <c r="H389" s="89"/>
      <c r="I389" s="81"/>
      <c r="J389" s="90"/>
      <c r="K389" s="39"/>
      <c r="L389" s="40"/>
      <c r="M389" s="9" t="str">
        <f>IF($J389="AC",COUNTIF($J$5:$J389,"AC"),"")</f>
        <v/>
      </c>
      <c r="N389" s="9" t="str">
        <f>IF($J389="FB",COUNTIF($J$5:$J389,"FB"),"")</f>
        <v/>
      </c>
      <c r="O389" s="9" t="str">
        <f>IF($J389="PC",COUNTIF($J$5:$J389,"PC"),"")</f>
        <v/>
      </c>
      <c r="P389" s="28" t="s">
        <v>1751</v>
      </c>
      <c r="Q389" s="28" t="s">
        <v>1752</v>
      </c>
    </row>
    <row r="390" spans="1:17" ht="27" customHeight="1" x14ac:dyDescent="0.25">
      <c r="A390" s="69">
        <v>6</v>
      </c>
      <c r="B390" s="70" t="s">
        <v>542</v>
      </c>
      <c r="C390" s="71" t="s">
        <v>1590</v>
      </c>
      <c r="D390" s="70" t="s">
        <v>1591</v>
      </c>
      <c r="E390" s="70" t="s">
        <v>1746</v>
      </c>
      <c r="F390" s="82" t="s">
        <v>53</v>
      </c>
      <c r="G390" s="77" t="s">
        <v>1753</v>
      </c>
      <c r="H390" s="89"/>
      <c r="I390" s="81"/>
      <c r="J390" s="90"/>
      <c r="K390" s="39"/>
      <c r="L390" s="40"/>
      <c r="M390" s="9" t="str">
        <f>IF($J390="AC",COUNTIF($J$5:$J390,"AC"),"")</f>
        <v/>
      </c>
      <c r="N390" s="9" t="str">
        <f>IF($J390="FB",COUNTIF($J$5:$J390,"FB"),"")</f>
        <v/>
      </c>
      <c r="O390" s="9" t="str">
        <f>IF($J390="PC",COUNTIF($J$5:$J390,"PC"),"")</f>
        <v/>
      </c>
      <c r="P390" s="28" t="s">
        <v>1754</v>
      </c>
      <c r="Q390" s="28" t="s">
        <v>1755</v>
      </c>
    </row>
    <row r="391" spans="1:17" ht="27" customHeight="1" x14ac:dyDescent="0.25">
      <c r="A391" s="69">
        <v>6</v>
      </c>
      <c r="B391" s="70" t="s">
        <v>542</v>
      </c>
      <c r="C391" s="71" t="s">
        <v>1590</v>
      </c>
      <c r="D391" s="70" t="s">
        <v>1591</v>
      </c>
      <c r="E391" s="70" t="s">
        <v>1746</v>
      </c>
      <c r="F391" s="82" t="s">
        <v>53</v>
      </c>
      <c r="G391" s="77" t="s">
        <v>1756</v>
      </c>
      <c r="H391" s="89"/>
      <c r="I391" s="81"/>
      <c r="J391" s="90"/>
      <c r="K391" s="39"/>
      <c r="L391" s="40"/>
      <c r="M391" s="9" t="str">
        <f>IF($J391="AC",COUNTIF($J$5:$J391,"AC"),"")</f>
        <v/>
      </c>
      <c r="N391" s="9" t="str">
        <f>IF($J391="FB",COUNTIF($J$5:$J391,"FB"),"")</f>
        <v/>
      </c>
      <c r="O391" s="9" t="str">
        <f>IF($J391="PC",COUNTIF($J$5:$J391,"PC"),"")</f>
        <v/>
      </c>
      <c r="P391" s="28" t="s">
        <v>1757</v>
      </c>
      <c r="Q391" s="28" t="s">
        <v>1758</v>
      </c>
    </row>
    <row r="392" spans="1:17" ht="27" customHeight="1" x14ac:dyDescent="0.25">
      <c r="A392" s="69">
        <v>6</v>
      </c>
      <c r="B392" s="70" t="s">
        <v>542</v>
      </c>
      <c r="C392" s="71" t="s">
        <v>1590</v>
      </c>
      <c r="D392" s="70" t="s">
        <v>1591</v>
      </c>
      <c r="E392" s="70" t="s">
        <v>1746</v>
      </c>
      <c r="F392" s="82" t="s">
        <v>53</v>
      </c>
      <c r="G392" s="77" t="s">
        <v>1759</v>
      </c>
      <c r="H392" s="89"/>
      <c r="I392" s="81"/>
      <c r="J392" s="90"/>
      <c r="K392" s="39"/>
      <c r="L392" s="40"/>
      <c r="M392" s="9" t="str">
        <f>IF($J392="AC",COUNTIF($J$5:$J392,"AC"),"")</f>
        <v/>
      </c>
      <c r="N392" s="9" t="str">
        <f>IF($J392="FB",COUNTIF($J$5:$J392,"FB"),"")</f>
        <v/>
      </c>
      <c r="O392" s="9" t="str">
        <f>IF($J392="PC",COUNTIF($J$5:$J392,"PC"),"")</f>
        <v/>
      </c>
      <c r="P392" s="28" t="s">
        <v>1760</v>
      </c>
      <c r="Q392" s="28" t="s">
        <v>1761</v>
      </c>
    </row>
    <row r="393" spans="1:17" ht="27" customHeight="1" x14ac:dyDescent="0.25">
      <c r="A393" s="69">
        <v>6</v>
      </c>
      <c r="B393" s="70" t="s">
        <v>542</v>
      </c>
      <c r="C393" s="71" t="s">
        <v>1590</v>
      </c>
      <c r="D393" s="70" t="s">
        <v>1591</v>
      </c>
      <c r="E393" s="70" t="s">
        <v>1746</v>
      </c>
      <c r="F393" s="88" t="s">
        <v>69</v>
      </c>
      <c r="G393" s="77" t="s">
        <v>1762</v>
      </c>
      <c r="H393" s="89"/>
      <c r="I393" s="81"/>
      <c r="J393" s="90"/>
      <c r="K393" s="39"/>
      <c r="L393" s="40"/>
      <c r="M393" s="9" t="str">
        <f>IF($J393="AC",COUNTIF($J$5:$J393,"AC"),"")</f>
        <v/>
      </c>
      <c r="N393" s="9" t="str">
        <f>IF($J393="FB",COUNTIF($J$5:$J393,"FB"),"")</f>
        <v/>
      </c>
      <c r="O393" s="9" t="str">
        <f>IF($J393="PC",COUNTIF($J$5:$J393,"PC"),"")</f>
        <v/>
      </c>
      <c r="P393" s="28" t="s">
        <v>1763</v>
      </c>
      <c r="Q393" s="28" t="s">
        <v>1764</v>
      </c>
    </row>
    <row r="394" spans="1:17" ht="27" customHeight="1" x14ac:dyDescent="0.25">
      <c r="A394" s="69">
        <v>6</v>
      </c>
      <c r="B394" s="70" t="s">
        <v>542</v>
      </c>
      <c r="C394" s="71" t="s">
        <v>1590</v>
      </c>
      <c r="D394" s="70" t="s">
        <v>1591</v>
      </c>
      <c r="E394" s="70" t="s">
        <v>1765</v>
      </c>
      <c r="F394" s="82" t="s">
        <v>53</v>
      </c>
      <c r="G394" s="77" t="s">
        <v>1766</v>
      </c>
      <c r="H394" s="89"/>
      <c r="I394" s="81"/>
      <c r="J394" s="90"/>
      <c r="K394" s="39"/>
      <c r="L394" s="40"/>
      <c r="M394" s="9" t="str">
        <f>IF($J394="AC",COUNTIF($J$5:$J394,"AC"),"")</f>
        <v/>
      </c>
      <c r="N394" s="9" t="str">
        <f>IF($J394="FB",COUNTIF($J$5:$J394,"FB"),"")</f>
        <v/>
      </c>
      <c r="O394" s="9" t="str">
        <f>IF($J394="PC",COUNTIF($J$5:$J394,"PC"),"")</f>
        <v/>
      </c>
      <c r="P394" s="28" t="s">
        <v>1767</v>
      </c>
      <c r="Q394" s="28" t="s">
        <v>1768</v>
      </c>
    </row>
    <row r="395" spans="1:17" ht="27" customHeight="1" x14ac:dyDescent="0.25">
      <c r="A395" s="69">
        <v>6</v>
      </c>
      <c r="B395" s="70" t="s">
        <v>542</v>
      </c>
      <c r="C395" s="71" t="s">
        <v>1590</v>
      </c>
      <c r="D395" s="70" t="s">
        <v>1591</v>
      </c>
      <c r="E395" s="70" t="s">
        <v>1765</v>
      </c>
      <c r="F395" s="82" t="s">
        <v>53</v>
      </c>
      <c r="G395" s="77" t="s">
        <v>1769</v>
      </c>
      <c r="H395" s="89"/>
      <c r="I395" s="81"/>
      <c r="J395" s="90"/>
      <c r="K395" s="39"/>
      <c r="L395" s="40"/>
      <c r="M395" s="9" t="str">
        <f>IF($J395="AC",COUNTIF($J$5:$J395,"AC"),"")</f>
        <v/>
      </c>
      <c r="N395" s="9" t="str">
        <f>IF($J395="FB",COUNTIF($J$5:$J395,"FB"),"")</f>
        <v/>
      </c>
      <c r="O395" s="9" t="str">
        <f>IF($J395="PC",COUNTIF($J$5:$J395,"PC"),"")</f>
        <v/>
      </c>
      <c r="P395" s="28" t="s">
        <v>1770</v>
      </c>
      <c r="Q395" s="28" t="s">
        <v>1771</v>
      </c>
    </row>
    <row r="396" spans="1:17" ht="27" customHeight="1" x14ac:dyDescent="0.25">
      <c r="A396" s="69">
        <v>6</v>
      </c>
      <c r="B396" s="70" t="s">
        <v>542</v>
      </c>
      <c r="C396" s="71" t="s">
        <v>1590</v>
      </c>
      <c r="D396" s="70" t="s">
        <v>1591</v>
      </c>
      <c r="E396" s="70" t="s">
        <v>1765</v>
      </c>
      <c r="F396" s="82" t="s">
        <v>53</v>
      </c>
      <c r="G396" s="77" t="s">
        <v>1772</v>
      </c>
      <c r="H396" s="89"/>
      <c r="I396" s="81"/>
      <c r="J396" s="90"/>
      <c r="K396" s="39"/>
      <c r="L396" s="40"/>
      <c r="M396" s="9" t="str">
        <f>IF($J396="AC",COUNTIF($J$5:$J396,"AC"),"")</f>
        <v/>
      </c>
      <c r="N396" s="9" t="str">
        <f>IF($J396="FB",COUNTIF($J$5:$J396,"FB"),"")</f>
        <v/>
      </c>
      <c r="O396" s="9" t="str">
        <f>IF($J396="PC",COUNTIF($J$5:$J396,"PC"),"")</f>
        <v/>
      </c>
      <c r="P396" s="28" t="s">
        <v>1773</v>
      </c>
      <c r="Q396" s="28" t="s">
        <v>1774</v>
      </c>
    </row>
    <row r="397" spans="1:17" ht="27" customHeight="1" x14ac:dyDescent="0.25">
      <c r="A397" s="69">
        <v>6</v>
      </c>
      <c r="B397" s="70" t="s">
        <v>542</v>
      </c>
      <c r="C397" s="71" t="s">
        <v>1590</v>
      </c>
      <c r="D397" s="70" t="s">
        <v>1591</v>
      </c>
      <c r="E397" s="70" t="s">
        <v>1765</v>
      </c>
      <c r="F397" s="88" t="s">
        <v>69</v>
      </c>
      <c r="G397" s="77" t="s">
        <v>1775</v>
      </c>
      <c r="H397" s="89"/>
      <c r="I397" s="81"/>
      <c r="J397" s="90"/>
      <c r="K397" s="39"/>
      <c r="L397" s="40"/>
      <c r="M397" s="9" t="str">
        <f>IF($J397="AC",COUNTIF($J$5:$J397,"AC"),"")</f>
        <v/>
      </c>
      <c r="N397" s="9" t="str">
        <f>IF($J397="FB",COUNTIF($J$5:$J397,"FB"),"")</f>
        <v/>
      </c>
      <c r="O397" s="9" t="str">
        <f>IF($J397="PC",COUNTIF($J$5:$J397,"PC"),"")</f>
        <v/>
      </c>
      <c r="P397" s="28" t="s">
        <v>1776</v>
      </c>
      <c r="Q397" s="28" t="s">
        <v>1777</v>
      </c>
    </row>
    <row r="398" spans="1:17" ht="27" customHeight="1" x14ac:dyDescent="0.25">
      <c r="A398" s="69">
        <v>6</v>
      </c>
      <c r="B398" s="70" t="s">
        <v>542</v>
      </c>
      <c r="C398" s="71" t="s">
        <v>1590</v>
      </c>
      <c r="D398" s="70" t="s">
        <v>1591</v>
      </c>
      <c r="E398" s="70" t="s">
        <v>1765</v>
      </c>
      <c r="F398" s="92" t="s">
        <v>92</v>
      </c>
      <c r="G398" s="77" t="s">
        <v>1778</v>
      </c>
      <c r="H398" s="89"/>
      <c r="I398" s="81"/>
      <c r="J398" s="90"/>
      <c r="K398" s="39"/>
      <c r="L398" s="40"/>
      <c r="M398" s="9" t="str">
        <f>IF($J398="AC",COUNTIF($J$5:$J398,"AC"),"")</f>
        <v/>
      </c>
      <c r="N398" s="9" t="str">
        <f>IF($J398="FB",COUNTIF($J$5:$J398,"FB"),"")</f>
        <v/>
      </c>
      <c r="O398" s="9" t="str">
        <f>IF($J398="PC",COUNTIF($J$5:$J398,"PC"),"")</f>
        <v/>
      </c>
      <c r="P398" s="28" t="s">
        <v>1779</v>
      </c>
      <c r="Q398" s="28" t="s">
        <v>1780</v>
      </c>
    </row>
    <row r="399" spans="1:17" ht="27" customHeight="1" x14ac:dyDescent="0.25">
      <c r="A399" s="69">
        <v>6</v>
      </c>
      <c r="B399" s="70" t="s">
        <v>542</v>
      </c>
      <c r="C399" s="71" t="s">
        <v>1590</v>
      </c>
      <c r="D399" s="70" t="s">
        <v>1591</v>
      </c>
      <c r="E399" s="70" t="s">
        <v>1765</v>
      </c>
      <c r="F399" s="88" t="s">
        <v>69</v>
      </c>
      <c r="G399" s="77" t="s">
        <v>1781</v>
      </c>
      <c r="H399" s="89"/>
      <c r="I399" s="81"/>
      <c r="J399" s="90"/>
      <c r="K399" s="39"/>
      <c r="L399" s="40"/>
      <c r="M399" s="9" t="str">
        <f>IF($J399="AC",COUNTIF($J$5:$J399,"AC"),"")</f>
        <v/>
      </c>
      <c r="N399" s="9" t="str">
        <f>IF($J399="FB",COUNTIF($J$5:$J399,"FB"),"")</f>
        <v/>
      </c>
      <c r="O399" s="9" t="str">
        <f>IF($J399="PC",COUNTIF($J$5:$J399,"PC"),"")</f>
        <v/>
      </c>
      <c r="P399" s="28" t="s">
        <v>1782</v>
      </c>
      <c r="Q399" s="28" t="s">
        <v>1783</v>
      </c>
    </row>
    <row r="400" spans="1:17" ht="27" customHeight="1" x14ac:dyDescent="0.25">
      <c r="A400" s="69">
        <v>6</v>
      </c>
      <c r="B400" s="70" t="s">
        <v>542</v>
      </c>
      <c r="C400" s="71" t="s">
        <v>1590</v>
      </c>
      <c r="D400" s="70" t="s">
        <v>1591</v>
      </c>
      <c r="E400" s="70" t="s">
        <v>1784</v>
      </c>
      <c r="F400" s="92" t="s">
        <v>92</v>
      </c>
      <c r="G400" s="77" t="s">
        <v>1785</v>
      </c>
      <c r="H400" s="89"/>
      <c r="I400" s="81"/>
      <c r="J400" s="90"/>
      <c r="K400" s="39"/>
      <c r="L400" s="40"/>
      <c r="M400" s="9" t="str">
        <f>IF($J400="AC",COUNTIF($J$5:$J400,"AC"),"")</f>
        <v/>
      </c>
      <c r="N400" s="9" t="str">
        <f>IF($J400="FB",COUNTIF($J$5:$J400,"FB"),"")</f>
        <v/>
      </c>
      <c r="O400" s="9" t="str">
        <f>IF($J400="PC",COUNTIF($J$5:$J400,"PC"),"")</f>
        <v/>
      </c>
      <c r="P400" s="28" t="s">
        <v>1786</v>
      </c>
      <c r="Q400" s="28" t="s">
        <v>1787</v>
      </c>
    </row>
    <row r="401" spans="1:17" ht="27" customHeight="1" x14ac:dyDescent="0.25">
      <c r="A401" s="69">
        <v>6</v>
      </c>
      <c r="B401" s="70" t="s">
        <v>542</v>
      </c>
      <c r="C401" s="71" t="s">
        <v>1590</v>
      </c>
      <c r="D401" s="70" t="s">
        <v>1591</v>
      </c>
      <c r="E401" s="70" t="s">
        <v>1784</v>
      </c>
      <c r="F401" s="92" t="s">
        <v>92</v>
      </c>
      <c r="G401" s="77" t="s">
        <v>1788</v>
      </c>
      <c r="H401" s="89"/>
      <c r="I401" s="81"/>
      <c r="J401" s="90"/>
      <c r="K401" s="39"/>
      <c r="L401" s="40"/>
      <c r="M401" s="9" t="str">
        <f>IF($J401="AC",COUNTIF($J$5:$J401,"AC"),"")</f>
        <v/>
      </c>
      <c r="N401" s="9" t="str">
        <f>IF($J401="FB",COUNTIF($J$5:$J401,"FB"),"")</f>
        <v/>
      </c>
      <c r="O401" s="9" t="str">
        <f>IF($J401="PC",COUNTIF($J$5:$J401,"PC"),"")</f>
        <v/>
      </c>
      <c r="P401" s="28" t="s">
        <v>1789</v>
      </c>
      <c r="Q401" s="28" t="s">
        <v>1790</v>
      </c>
    </row>
    <row r="402" spans="1:17" ht="27" customHeight="1" x14ac:dyDescent="0.25">
      <c r="A402" s="69">
        <v>6</v>
      </c>
      <c r="B402" s="70" t="s">
        <v>542</v>
      </c>
      <c r="C402" s="71" t="s">
        <v>1590</v>
      </c>
      <c r="D402" s="70" t="s">
        <v>1591</v>
      </c>
      <c r="E402" s="70" t="s">
        <v>1784</v>
      </c>
      <c r="F402" s="92" t="s">
        <v>92</v>
      </c>
      <c r="G402" s="77" t="s">
        <v>1791</v>
      </c>
      <c r="H402" s="89"/>
      <c r="I402" s="81"/>
      <c r="J402" s="90"/>
      <c r="K402" s="39"/>
      <c r="L402" s="40"/>
      <c r="M402" s="9" t="str">
        <f>IF($J402="AC",COUNTIF($J$5:$J402,"AC"),"")</f>
        <v/>
      </c>
      <c r="N402" s="9" t="str">
        <f>IF($J402="FB",COUNTIF($J$5:$J402,"FB"),"")</f>
        <v/>
      </c>
      <c r="O402" s="9" t="str">
        <f>IF($J402="PC",COUNTIF($J$5:$J402,"PC"),"")</f>
        <v/>
      </c>
      <c r="P402" s="28" t="s">
        <v>1792</v>
      </c>
      <c r="Q402" s="28" t="s">
        <v>1793</v>
      </c>
    </row>
    <row r="403" spans="1:17" ht="27" customHeight="1" x14ac:dyDescent="0.25">
      <c r="A403" s="69">
        <v>6</v>
      </c>
      <c r="B403" s="70" t="s">
        <v>542</v>
      </c>
      <c r="C403" s="71" t="s">
        <v>1590</v>
      </c>
      <c r="D403" s="70" t="s">
        <v>1591</v>
      </c>
      <c r="E403" s="70" t="s">
        <v>1784</v>
      </c>
      <c r="F403" s="92" t="s">
        <v>92</v>
      </c>
      <c r="G403" s="77" t="s">
        <v>1794</v>
      </c>
      <c r="H403" s="89"/>
      <c r="I403" s="81"/>
      <c r="J403" s="90"/>
      <c r="K403" s="39"/>
      <c r="L403" s="40"/>
      <c r="M403" s="9" t="str">
        <f>IF($J403="AC",COUNTIF($J$5:$J403,"AC"),"")</f>
        <v/>
      </c>
      <c r="N403" s="9" t="str">
        <f>IF($J403="FB",COUNTIF($J$5:$J403,"FB"),"")</f>
        <v/>
      </c>
      <c r="O403" s="9" t="str">
        <f>IF($J403="PC",COUNTIF($J$5:$J403,"PC"),"")</f>
        <v/>
      </c>
      <c r="P403" s="28" t="s">
        <v>1795</v>
      </c>
      <c r="Q403" s="28" t="s">
        <v>1796</v>
      </c>
    </row>
    <row r="404" spans="1:17" ht="27" customHeight="1" x14ac:dyDescent="0.25">
      <c r="A404" s="69">
        <v>6</v>
      </c>
      <c r="B404" s="70" t="s">
        <v>542</v>
      </c>
      <c r="C404" s="71" t="s">
        <v>1590</v>
      </c>
      <c r="D404" s="70" t="s">
        <v>1591</v>
      </c>
      <c r="E404" s="70" t="s">
        <v>1784</v>
      </c>
      <c r="F404" s="92" t="s">
        <v>92</v>
      </c>
      <c r="G404" s="77" t="s">
        <v>1797</v>
      </c>
      <c r="H404" s="89"/>
      <c r="I404" s="81"/>
      <c r="J404" s="90"/>
      <c r="K404" s="39"/>
      <c r="L404" s="40"/>
      <c r="M404" s="9" t="str">
        <f>IF($J404="AC",COUNTIF($J$5:$J404,"AC"),"")</f>
        <v/>
      </c>
      <c r="N404" s="9" t="str">
        <f>IF($J404="FB",COUNTIF($J$5:$J404,"FB"),"")</f>
        <v/>
      </c>
      <c r="O404" s="9" t="str">
        <f>IF($J404="PC",COUNTIF($J$5:$J404,"PC"),"")</f>
        <v/>
      </c>
      <c r="P404" s="28" t="s">
        <v>1798</v>
      </c>
      <c r="Q404" s="28" t="s">
        <v>1799</v>
      </c>
    </row>
    <row r="405" spans="1:17" ht="27" customHeight="1" x14ac:dyDescent="0.25">
      <c r="A405" s="69">
        <v>6</v>
      </c>
      <c r="B405" s="70" t="s">
        <v>542</v>
      </c>
      <c r="C405" s="71" t="s">
        <v>1590</v>
      </c>
      <c r="D405" s="70" t="s">
        <v>1591</v>
      </c>
      <c r="E405" s="70" t="s">
        <v>1784</v>
      </c>
      <c r="F405" s="88" t="s">
        <v>69</v>
      </c>
      <c r="G405" s="77" t="s">
        <v>1800</v>
      </c>
      <c r="H405" s="89"/>
      <c r="I405" s="81"/>
      <c r="J405" s="90"/>
      <c r="K405" s="39"/>
      <c r="L405" s="40"/>
      <c r="M405" s="9" t="str">
        <f>IF($J405="AC",COUNTIF($J$5:$J405,"AC"),"")</f>
        <v/>
      </c>
      <c r="N405" s="9" t="str">
        <f>IF($J405="FB",COUNTIF($J$5:$J405,"FB"),"")</f>
        <v/>
      </c>
      <c r="O405" s="9" t="str">
        <f>IF($J405="PC",COUNTIF($J$5:$J405,"PC"),"")</f>
        <v/>
      </c>
      <c r="P405" s="28" t="s">
        <v>1801</v>
      </c>
      <c r="Q405" s="28" t="s">
        <v>1802</v>
      </c>
    </row>
    <row r="406" spans="1:17" ht="27" customHeight="1" x14ac:dyDescent="0.25">
      <c r="A406" s="69">
        <v>6</v>
      </c>
      <c r="B406" s="70" t="s">
        <v>542</v>
      </c>
      <c r="C406" s="71" t="s">
        <v>1590</v>
      </c>
      <c r="D406" s="70" t="s">
        <v>1591</v>
      </c>
      <c r="E406" s="70" t="s">
        <v>1803</v>
      </c>
      <c r="F406" s="82" t="s">
        <v>53</v>
      </c>
      <c r="G406" s="77" t="s">
        <v>1804</v>
      </c>
      <c r="H406" s="89"/>
      <c r="I406" s="81"/>
      <c r="J406" s="90"/>
      <c r="K406" s="39"/>
      <c r="L406" s="40"/>
      <c r="M406" s="9" t="str">
        <f>IF($J406="AC",COUNTIF($J$5:$J406,"AC"),"")</f>
        <v/>
      </c>
      <c r="N406" s="9" t="str">
        <f>IF($J406="FB",COUNTIF($J$5:$J406,"FB"),"")</f>
        <v/>
      </c>
      <c r="O406" s="9" t="str">
        <f>IF($J406="PC",COUNTIF($J$5:$J406,"PC"),"")</f>
        <v/>
      </c>
      <c r="P406" s="28" t="s">
        <v>1805</v>
      </c>
      <c r="Q406" s="28" t="s">
        <v>1806</v>
      </c>
    </row>
    <row r="407" spans="1:17" ht="27" customHeight="1" x14ac:dyDescent="0.25">
      <c r="A407" s="69">
        <v>6</v>
      </c>
      <c r="B407" s="70" t="s">
        <v>542</v>
      </c>
      <c r="C407" s="71" t="s">
        <v>1590</v>
      </c>
      <c r="D407" s="70" t="s">
        <v>1591</v>
      </c>
      <c r="E407" s="70" t="s">
        <v>1803</v>
      </c>
      <c r="F407" s="88" t="s">
        <v>69</v>
      </c>
      <c r="G407" s="77" t="s">
        <v>1807</v>
      </c>
      <c r="H407" s="89"/>
      <c r="I407" s="81"/>
      <c r="J407" s="90"/>
      <c r="K407" s="39"/>
      <c r="L407" s="40"/>
      <c r="M407" s="9" t="str">
        <f>IF($J407="AC",COUNTIF($J$5:$J407,"AC"),"")</f>
        <v/>
      </c>
      <c r="N407" s="9" t="str">
        <f>IF($J407="FB",COUNTIF($J$5:$J407,"FB"),"")</f>
        <v/>
      </c>
      <c r="O407" s="9" t="str">
        <f>IF($J407="PC",COUNTIF($J$5:$J407,"PC"),"")</f>
        <v/>
      </c>
      <c r="P407" s="28" t="s">
        <v>1808</v>
      </c>
      <c r="Q407" s="28" t="s">
        <v>1809</v>
      </c>
    </row>
    <row r="408" spans="1:17" ht="27" customHeight="1" x14ac:dyDescent="0.25">
      <c r="A408" s="69">
        <v>6</v>
      </c>
      <c r="B408" s="70" t="s">
        <v>542</v>
      </c>
      <c r="C408" s="71" t="s">
        <v>1590</v>
      </c>
      <c r="D408" s="70" t="s">
        <v>1591</v>
      </c>
      <c r="E408" s="70" t="s">
        <v>1803</v>
      </c>
      <c r="F408" s="88" t="s">
        <v>69</v>
      </c>
      <c r="G408" s="77" t="s">
        <v>1810</v>
      </c>
      <c r="H408" s="89"/>
      <c r="I408" s="81"/>
      <c r="J408" s="90"/>
      <c r="K408" s="39"/>
      <c r="L408" s="40"/>
      <c r="M408" s="9" t="str">
        <f>IF($J408="AC",COUNTIF($J$5:$J408,"AC"),"")</f>
        <v/>
      </c>
      <c r="N408" s="9" t="str">
        <f>IF($J408="FB",COUNTIF($J$5:$J408,"FB"),"")</f>
        <v/>
      </c>
      <c r="O408" s="9" t="str">
        <f>IF($J408="PC",COUNTIF($J$5:$J408,"PC"),"")</f>
        <v/>
      </c>
      <c r="P408" s="28" t="s">
        <v>1811</v>
      </c>
      <c r="Q408" s="28" t="s">
        <v>1812</v>
      </c>
    </row>
    <row r="409" spans="1:17" ht="27" customHeight="1" x14ac:dyDescent="0.25">
      <c r="A409" s="69">
        <v>6</v>
      </c>
      <c r="B409" s="70" t="s">
        <v>542</v>
      </c>
      <c r="C409" s="71" t="s">
        <v>1590</v>
      </c>
      <c r="D409" s="70" t="s">
        <v>1591</v>
      </c>
      <c r="E409" s="70" t="s">
        <v>1803</v>
      </c>
      <c r="F409" s="88" t="s">
        <v>69</v>
      </c>
      <c r="G409" s="77" t="s">
        <v>1813</v>
      </c>
      <c r="H409" s="89"/>
      <c r="I409" s="81"/>
      <c r="J409" s="90"/>
      <c r="K409" s="39"/>
      <c r="L409" s="40"/>
      <c r="M409" s="9" t="str">
        <f>IF($J409="AC",COUNTIF($J$5:$J409,"AC"),"")</f>
        <v/>
      </c>
      <c r="N409" s="9" t="str">
        <f>IF($J409="FB",COUNTIF($J$5:$J409,"FB"),"")</f>
        <v/>
      </c>
      <c r="O409" s="9" t="str">
        <f>IF($J409="PC",COUNTIF($J$5:$J409,"PC"),"")</f>
        <v/>
      </c>
      <c r="P409" s="28" t="s">
        <v>1814</v>
      </c>
      <c r="Q409" s="28" t="s">
        <v>1815</v>
      </c>
    </row>
    <row r="410" spans="1:17" ht="27" customHeight="1" x14ac:dyDescent="0.25">
      <c r="A410" s="69">
        <v>6</v>
      </c>
      <c r="B410" s="70" t="s">
        <v>542</v>
      </c>
      <c r="C410" s="71" t="s">
        <v>1590</v>
      </c>
      <c r="D410" s="70" t="s">
        <v>1591</v>
      </c>
      <c r="E410" s="70" t="s">
        <v>1803</v>
      </c>
      <c r="F410" s="66" t="s">
        <v>53</v>
      </c>
      <c r="G410" s="77" t="s">
        <v>1816</v>
      </c>
      <c r="H410" s="89"/>
      <c r="I410" s="81"/>
      <c r="J410" s="90"/>
      <c r="K410" s="39"/>
      <c r="L410" s="40"/>
      <c r="M410" s="9" t="str">
        <f>IF($J410="AC",COUNTIF($J$5:$J410,"AC"),"")</f>
        <v/>
      </c>
      <c r="N410" s="9" t="str">
        <f>IF($J410="FB",COUNTIF($J$5:$J410,"FB"),"")</f>
        <v/>
      </c>
      <c r="O410" s="9" t="str">
        <f>IF($J410="PC",COUNTIF($J$5:$J410,"PC"),"")</f>
        <v/>
      </c>
      <c r="P410" s="28" t="s">
        <v>1817</v>
      </c>
      <c r="Q410" s="28" t="s">
        <v>1818</v>
      </c>
    </row>
    <row r="411" spans="1:17" ht="27" customHeight="1" x14ac:dyDescent="0.25">
      <c r="A411" s="69">
        <v>6</v>
      </c>
      <c r="B411" s="70" t="s">
        <v>542</v>
      </c>
      <c r="C411" s="71" t="s">
        <v>1590</v>
      </c>
      <c r="D411" s="70" t="s">
        <v>1591</v>
      </c>
      <c r="E411" s="70" t="s">
        <v>1803</v>
      </c>
      <c r="F411" s="66" t="s">
        <v>53</v>
      </c>
      <c r="G411" s="77" t="s">
        <v>1819</v>
      </c>
      <c r="H411" s="89"/>
      <c r="I411" s="81"/>
      <c r="J411" s="90"/>
      <c r="K411" s="39"/>
      <c r="L411" s="40"/>
      <c r="M411" s="9" t="str">
        <f>IF($J411="AC",COUNTIF($J$5:$J411,"AC"),"")</f>
        <v/>
      </c>
      <c r="N411" s="9" t="str">
        <f>IF($J411="FB",COUNTIF($J$5:$J411,"FB"),"")</f>
        <v/>
      </c>
      <c r="O411" s="9" t="str">
        <f>IF($J411="PC",COUNTIF($J$5:$J411,"PC"),"")</f>
        <v/>
      </c>
      <c r="P411" s="28" t="s">
        <v>1820</v>
      </c>
      <c r="Q411" s="28" t="s">
        <v>1821</v>
      </c>
    </row>
    <row r="412" spans="1:17" ht="27" customHeight="1" x14ac:dyDescent="0.25">
      <c r="A412" s="69">
        <v>6</v>
      </c>
      <c r="B412" s="70" t="s">
        <v>542</v>
      </c>
      <c r="C412" s="71" t="s">
        <v>1590</v>
      </c>
      <c r="D412" s="70" t="s">
        <v>1591</v>
      </c>
      <c r="E412" s="70" t="s">
        <v>1822</v>
      </c>
      <c r="F412" s="92" t="s">
        <v>92</v>
      </c>
      <c r="G412" s="77" t="s">
        <v>1823</v>
      </c>
      <c r="H412" s="89"/>
      <c r="I412" s="81"/>
      <c r="J412" s="90"/>
      <c r="K412" s="39"/>
      <c r="L412" s="40"/>
      <c r="M412" s="9" t="str">
        <f>IF($J412="AC",COUNTIF($J$5:$J412,"AC"),"")</f>
        <v/>
      </c>
      <c r="N412" s="9" t="str">
        <f>IF($J412="FB",COUNTIF($J$5:$J412,"FB"),"")</f>
        <v/>
      </c>
      <c r="O412" s="9" t="str">
        <f>IF($J412="PC",COUNTIF($J$5:$J412,"PC"),"")</f>
        <v/>
      </c>
      <c r="P412" s="28" t="s">
        <v>1824</v>
      </c>
      <c r="Q412" s="28" t="s">
        <v>1825</v>
      </c>
    </row>
    <row r="413" spans="1:17" ht="27" customHeight="1" x14ac:dyDescent="0.25">
      <c r="A413" s="69">
        <v>6</v>
      </c>
      <c r="B413" s="70" t="s">
        <v>542</v>
      </c>
      <c r="C413" s="71" t="s">
        <v>1590</v>
      </c>
      <c r="D413" s="70" t="s">
        <v>1591</v>
      </c>
      <c r="E413" s="70" t="s">
        <v>1822</v>
      </c>
      <c r="F413" s="92" t="s">
        <v>92</v>
      </c>
      <c r="G413" s="77" t="s">
        <v>1826</v>
      </c>
      <c r="H413" s="89"/>
      <c r="I413" s="81"/>
      <c r="J413" s="90"/>
      <c r="K413" s="39"/>
      <c r="L413" s="40"/>
      <c r="M413" s="9" t="str">
        <f>IF($J413="AC",COUNTIF($J$5:$J413,"AC"),"")</f>
        <v/>
      </c>
      <c r="N413" s="9" t="str">
        <f>IF($J413="FB",COUNTIF($J$5:$J413,"FB"),"")</f>
        <v/>
      </c>
      <c r="O413" s="9" t="str">
        <f>IF($J413="PC",COUNTIF($J$5:$J413,"PC"),"")</f>
        <v/>
      </c>
      <c r="P413" s="28" t="s">
        <v>1827</v>
      </c>
      <c r="Q413" s="28" t="s">
        <v>1828</v>
      </c>
    </row>
    <row r="414" spans="1:17" ht="27" customHeight="1" x14ac:dyDescent="0.25">
      <c r="A414" s="69">
        <v>6</v>
      </c>
      <c r="B414" s="70" t="s">
        <v>542</v>
      </c>
      <c r="C414" s="71" t="s">
        <v>1590</v>
      </c>
      <c r="D414" s="70" t="s">
        <v>1591</v>
      </c>
      <c r="E414" s="70" t="s">
        <v>1829</v>
      </c>
      <c r="F414" s="92" t="s">
        <v>92</v>
      </c>
      <c r="G414" s="77" t="s">
        <v>1830</v>
      </c>
      <c r="H414" s="89"/>
      <c r="I414" s="81"/>
      <c r="J414" s="90"/>
      <c r="K414" s="39"/>
      <c r="L414" s="40"/>
      <c r="M414" s="9" t="str">
        <f>IF($J414="AC",COUNTIF($J$5:$J414,"AC"),"")</f>
        <v/>
      </c>
      <c r="N414" s="9" t="str">
        <f>IF($J414="FB",COUNTIF($J$5:$J414,"FB"),"")</f>
        <v/>
      </c>
      <c r="O414" s="9" t="str">
        <f>IF($J414="PC",COUNTIF($J$5:$J414,"PC"),"")</f>
        <v/>
      </c>
      <c r="P414" s="28" t="s">
        <v>1831</v>
      </c>
      <c r="Q414" s="28" t="s">
        <v>1832</v>
      </c>
    </row>
    <row r="415" spans="1:17" ht="27" customHeight="1" x14ac:dyDescent="0.25">
      <c r="A415" s="69">
        <v>6</v>
      </c>
      <c r="B415" s="70" t="s">
        <v>542</v>
      </c>
      <c r="C415" s="71" t="s">
        <v>1590</v>
      </c>
      <c r="D415" s="70" t="s">
        <v>1591</v>
      </c>
      <c r="E415" s="70" t="s">
        <v>1829</v>
      </c>
      <c r="F415" s="92" t="s">
        <v>92</v>
      </c>
      <c r="G415" s="77" t="s">
        <v>1833</v>
      </c>
      <c r="H415" s="89"/>
      <c r="I415" s="81"/>
      <c r="J415" s="90"/>
      <c r="K415" s="39"/>
      <c r="L415" s="40"/>
      <c r="M415" s="9" t="str">
        <f>IF($J415="AC",COUNTIF($J$5:$J415,"AC"),"")</f>
        <v/>
      </c>
      <c r="N415" s="9" t="str">
        <f>IF($J415="FB",COUNTIF($J$5:$J415,"FB"),"")</f>
        <v/>
      </c>
      <c r="O415" s="9" t="str">
        <f>IF($J415="PC",COUNTIF($J$5:$J415,"PC"),"")</f>
        <v/>
      </c>
      <c r="P415" s="28" t="s">
        <v>1834</v>
      </c>
      <c r="Q415" s="28" t="s">
        <v>1835</v>
      </c>
    </row>
    <row r="416" spans="1:17" ht="27" customHeight="1" x14ac:dyDescent="0.25">
      <c r="A416" s="69">
        <v>6</v>
      </c>
      <c r="B416" s="70" t="s">
        <v>542</v>
      </c>
      <c r="C416" s="71" t="s">
        <v>1590</v>
      </c>
      <c r="D416" s="70" t="s">
        <v>1591</v>
      </c>
      <c r="E416" s="70" t="s">
        <v>1829</v>
      </c>
      <c r="F416" s="92" t="s">
        <v>92</v>
      </c>
      <c r="G416" s="77" t="s">
        <v>1836</v>
      </c>
      <c r="H416" s="89"/>
      <c r="I416" s="81"/>
      <c r="J416" s="90"/>
      <c r="K416" s="39"/>
      <c r="L416" s="40"/>
      <c r="M416" s="9" t="str">
        <f>IF($J416="AC",COUNTIF($J$5:$J416,"AC"),"")</f>
        <v/>
      </c>
      <c r="N416" s="9" t="str">
        <f>IF($J416="FB",COUNTIF($J$5:$J416,"FB"),"")</f>
        <v/>
      </c>
      <c r="O416" s="9" t="str">
        <f>IF($J416="PC",COUNTIF($J$5:$J416,"PC"),"")</f>
        <v/>
      </c>
      <c r="P416" s="28" t="s">
        <v>1837</v>
      </c>
      <c r="Q416" s="28" t="s">
        <v>1838</v>
      </c>
    </row>
    <row r="417" spans="1:17" ht="251.25" customHeight="1" x14ac:dyDescent="0.25">
      <c r="A417" s="69">
        <v>6</v>
      </c>
      <c r="B417" s="70" t="s">
        <v>542</v>
      </c>
      <c r="C417" s="71" t="s">
        <v>1839</v>
      </c>
      <c r="D417" s="70" t="s">
        <v>1840</v>
      </c>
      <c r="E417" s="70" t="s">
        <v>1841</v>
      </c>
      <c r="F417" s="78" t="s">
        <v>69</v>
      </c>
      <c r="G417" s="77" t="s">
        <v>1842</v>
      </c>
      <c r="H417" s="101"/>
      <c r="I417" s="79" t="s">
        <v>1843</v>
      </c>
      <c r="J417" s="39"/>
      <c r="K417" s="39"/>
      <c r="L417" s="40"/>
      <c r="M417" s="9" t="str">
        <f>IF($J417="AC",COUNTIF($J$5:$J417,"AC"),"")</f>
        <v/>
      </c>
      <c r="N417" s="9" t="str">
        <f>IF($J417="FB",COUNTIF($J$5:$J417,"FB"),"")</f>
        <v/>
      </c>
      <c r="O417" s="9" t="str">
        <f>IF($J417="PC",COUNTIF($J$5:$J417,"PC"),"")</f>
        <v/>
      </c>
      <c r="P417" s="28" t="s">
        <v>1844</v>
      </c>
      <c r="Q417" s="28" t="s">
        <v>1845</v>
      </c>
    </row>
    <row r="418" spans="1:17" ht="150.75" customHeight="1" x14ac:dyDescent="0.25">
      <c r="A418" s="69">
        <v>6</v>
      </c>
      <c r="B418" s="70" t="s">
        <v>542</v>
      </c>
      <c r="C418" s="71" t="s">
        <v>1839</v>
      </c>
      <c r="D418" s="70" t="s">
        <v>1840</v>
      </c>
      <c r="E418" s="70" t="s">
        <v>1846</v>
      </c>
      <c r="F418" s="78" t="s">
        <v>69</v>
      </c>
      <c r="G418" s="77" t="s">
        <v>1847</v>
      </c>
      <c r="H418" s="101"/>
      <c r="I418" s="79" t="s">
        <v>1843</v>
      </c>
      <c r="J418" s="39"/>
      <c r="K418" s="39"/>
      <c r="L418" s="80"/>
      <c r="M418" s="9" t="str">
        <f>IF($J418="AC",COUNTIF($J$5:$J418,"AC"),"")</f>
        <v/>
      </c>
      <c r="N418" s="9" t="str">
        <f>IF($J418="FB",COUNTIF($J$5:$J418,"FB"),"")</f>
        <v/>
      </c>
      <c r="O418" s="9" t="str">
        <f>IF($J418="PC",COUNTIF($J$5:$J418,"PC"),"")</f>
        <v/>
      </c>
      <c r="P418" s="28" t="s">
        <v>1848</v>
      </c>
      <c r="Q418" s="28" t="s">
        <v>1849</v>
      </c>
    </row>
    <row r="419" spans="1:17" ht="75.75" customHeight="1" x14ac:dyDescent="0.25">
      <c r="A419" s="69">
        <v>6</v>
      </c>
      <c r="B419" s="70" t="s">
        <v>542</v>
      </c>
      <c r="C419" s="71" t="s">
        <v>1839</v>
      </c>
      <c r="D419" s="70" t="s">
        <v>1840</v>
      </c>
      <c r="E419" s="70" t="s">
        <v>1850</v>
      </c>
      <c r="F419" s="78" t="s">
        <v>69</v>
      </c>
      <c r="G419" s="77" t="s">
        <v>1851</v>
      </c>
      <c r="H419" s="101"/>
      <c r="I419" s="79" t="s">
        <v>1843</v>
      </c>
      <c r="J419" s="39"/>
      <c r="K419" s="39"/>
      <c r="L419" s="80"/>
      <c r="M419" s="9" t="str">
        <f>IF($J419="AC",COUNTIF($J$5:$J419,"AC"),"")</f>
        <v/>
      </c>
      <c r="N419" s="9" t="str">
        <f>IF($J419="FB",COUNTIF($J$5:$J419,"FB"),"")</f>
        <v/>
      </c>
      <c r="O419" s="9" t="str">
        <f>IF($J419="PC",COUNTIF($J$5:$J419,"PC"),"")</f>
        <v/>
      </c>
      <c r="P419" s="28" t="s">
        <v>1852</v>
      </c>
      <c r="Q419" s="28" t="s">
        <v>1853</v>
      </c>
    </row>
    <row r="420" spans="1:17" ht="376.5" customHeight="1" x14ac:dyDescent="0.25">
      <c r="A420" s="69">
        <v>6</v>
      </c>
      <c r="B420" s="70" t="s">
        <v>542</v>
      </c>
      <c r="C420" s="71" t="s">
        <v>1839</v>
      </c>
      <c r="D420" s="70" t="s">
        <v>1840</v>
      </c>
      <c r="E420" s="70" t="s">
        <v>1854</v>
      </c>
      <c r="F420" s="78" t="s">
        <v>69</v>
      </c>
      <c r="G420" s="77" t="s">
        <v>1855</v>
      </c>
      <c r="H420" s="101"/>
      <c r="I420" s="79" t="s">
        <v>1843</v>
      </c>
      <c r="J420" s="39"/>
      <c r="K420" s="39"/>
      <c r="L420" s="40"/>
      <c r="M420" s="9" t="str">
        <f>IF($J420="AC",COUNTIF($J$5:$J420,"AC"),"")</f>
        <v/>
      </c>
      <c r="N420" s="9" t="str">
        <f>IF($J420="FB",COUNTIF($J$5:$J420,"FB"),"")</f>
        <v/>
      </c>
      <c r="O420" s="9" t="str">
        <f>IF($J420="PC",COUNTIF($J$5:$J420,"PC"),"")</f>
        <v/>
      </c>
      <c r="P420" s="28" t="s">
        <v>1856</v>
      </c>
      <c r="Q420" s="28" t="s">
        <v>1857</v>
      </c>
    </row>
    <row r="421" spans="1:17" ht="125.25" customHeight="1" x14ac:dyDescent="0.25">
      <c r="A421" s="69">
        <v>6</v>
      </c>
      <c r="B421" s="70" t="s">
        <v>542</v>
      </c>
      <c r="C421" s="71" t="s">
        <v>1839</v>
      </c>
      <c r="D421" s="70" t="s">
        <v>1840</v>
      </c>
      <c r="E421" s="70" t="s">
        <v>1858</v>
      </c>
      <c r="F421" s="78" t="s">
        <v>69</v>
      </c>
      <c r="G421" s="77" t="s">
        <v>1859</v>
      </c>
      <c r="H421" s="101"/>
      <c r="I421" s="79" t="s">
        <v>1843</v>
      </c>
      <c r="J421" s="39"/>
      <c r="K421" s="39"/>
      <c r="L421" s="40"/>
      <c r="M421" s="9" t="str">
        <f>IF($J421="AC",COUNTIF($J$5:$J421,"AC"),"")</f>
        <v/>
      </c>
      <c r="N421" s="9" t="str">
        <f>IF($J421="FB",COUNTIF($J$5:$J421,"FB"),"")</f>
        <v/>
      </c>
      <c r="O421" s="9" t="str">
        <f>IF($J421="PC",COUNTIF($J$5:$J421,"PC"),"")</f>
        <v/>
      </c>
      <c r="P421" s="28" t="s">
        <v>1860</v>
      </c>
      <c r="Q421" s="28" t="s">
        <v>1861</v>
      </c>
    </row>
    <row r="422" spans="1:17" ht="200.25" customHeight="1" x14ac:dyDescent="0.25">
      <c r="A422" s="69">
        <v>6</v>
      </c>
      <c r="B422" s="70" t="s">
        <v>542</v>
      </c>
      <c r="C422" s="71" t="s">
        <v>1839</v>
      </c>
      <c r="D422" s="70" t="s">
        <v>1840</v>
      </c>
      <c r="E422" s="70" t="s">
        <v>1862</v>
      </c>
      <c r="F422" s="78" t="s">
        <v>69</v>
      </c>
      <c r="G422" s="77" t="s">
        <v>1863</v>
      </c>
      <c r="H422" s="101"/>
      <c r="I422" s="79" t="s">
        <v>1843</v>
      </c>
      <c r="J422" s="39"/>
      <c r="K422" s="39"/>
      <c r="L422" s="40"/>
      <c r="M422" s="9" t="str">
        <f>IF($J422="AC",COUNTIF($J$5:$J422,"AC"),"")</f>
        <v/>
      </c>
      <c r="N422" s="9" t="str">
        <f>IF($J422="FB",COUNTIF($J$5:$J422,"FB"),"")</f>
        <v/>
      </c>
      <c r="O422" s="9" t="str">
        <f>IF($J422="PC",COUNTIF($J$5:$J422,"PC"),"")</f>
        <v/>
      </c>
      <c r="P422" s="28" t="s">
        <v>1864</v>
      </c>
      <c r="Q422" s="28" t="s">
        <v>1865</v>
      </c>
    </row>
    <row r="423" spans="1:17" ht="40.5" customHeight="1" x14ac:dyDescent="0.25">
      <c r="A423" s="69">
        <v>6</v>
      </c>
      <c r="B423" s="70" t="s">
        <v>542</v>
      </c>
      <c r="C423" s="71" t="s">
        <v>1839</v>
      </c>
      <c r="D423" s="70" t="s">
        <v>1840</v>
      </c>
      <c r="E423" s="70" t="s">
        <v>1866</v>
      </c>
      <c r="F423" s="78" t="s">
        <v>69</v>
      </c>
      <c r="G423" s="77" t="s">
        <v>1867</v>
      </c>
      <c r="H423" s="37"/>
      <c r="I423" s="79" t="s">
        <v>1843</v>
      </c>
      <c r="J423" s="39"/>
      <c r="K423" s="39"/>
      <c r="L423" s="40"/>
      <c r="M423" s="9" t="str">
        <f>IF($J423="AC",COUNTIF($J$5:$J423,"AC"),"")</f>
        <v/>
      </c>
      <c r="N423" s="9" t="str">
        <f>IF($J423="FB",COUNTIF($J$5:$J423,"FB"),"")</f>
        <v/>
      </c>
      <c r="O423" s="9" t="str">
        <f>IF($J423="PC",COUNTIF($J$5:$J423,"PC"),"")</f>
        <v/>
      </c>
      <c r="P423" s="28" t="s">
        <v>1868</v>
      </c>
      <c r="Q423" s="28" t="s">
        <v>1869</v>
      </c>
    </row>
    <row r="424" spans="1:17" ht="226.5" customHeight="1" x14ac:dyDescent="0.25">
      <c r="A424" s="69">
        <v>6</v>
      </c>
      <c r="B424" s="70" t="s">
        <v>542</v>
      </c>
      <c r="C424" s="71" t="s">
        <v>1839</v>
      </c>
      <c r="D424" s="70" t="s">
        <v>1840</v>
      </c>
      <c r="E424" s="70" t="s">
        <v>1870</v>
      </c>
      <c r="F424" s="78" t="s">
        <v>69</v>
      </c>
      <c r="G424" s="77" t="s">
        <v>1871</v>
      </c>
      <c r="H424" s="101"/>
      <c r="I424" s="79" t="s">
        <v>1843</v>
      </c>
      <c r="J424" s="39"/>
      <c r="K424" s="39"/>
      <c r="L424" s="80"/>
      <c r="M424" s="9" t="str">
        <f>IF($J424="AC",COUNTIF($J$5:$J424,"AC"),"")</f>
        <v/>
      </c>
      <c r="N424" s="9" t="str">
        <f>IF($J424="FB",COUNTIF($J$5:$J424,"FB"),"")</f>
        <v/>
      </c>
      <c r="O424" s="9" t="str">
        <f>IF($J424="PC",COUNTIF($J$5:$J424,"PC"),"")</f>
        <v/>
      </c>
      <c r="P424" s="28" t="s">
        <v>1872</v>
      </c>
      <c r="Q424" s="28" t="s">
        <v>1873</v>
      </c>
    </row>
    <row r="425" spans="1:17" ht="138" customHeight="1" x14ac:dyDescent="0.25">
      <c r="A425" s="69">
        <v>6</v>
      </c>
      <c r="B425" s="70" t="s">
        <v>542</v>
      </c>
      <c r="C425" s="71" t="s">
        <v>1839</v>
      </c>
      <c r="D425" s="70" t="s">
        <v>1840</v>
      </c>
      <c r="E425" s="70" t="s">
        <v>1874</v>
      </c>
      <c r="F425" s="78" t="s">
        <v>69</v>
      </c>
      <c r="G425" s="77" t="s">
        <v>1875</v>
      </c>
      <c r="H425" s="101"/>
      <c r="I425" s="81" t="s">
        <v>696</v>
      </c>
      <c r="J425" s="39"/>
      <c r="K425" s="39"/>
      <c r="L425" s="80"/>
      <c r="M425" s="9" t="str">
        <f>IF($J425="AC",COUNTIF($J$5:$J425,"AC"),"")</f>
        <v/>
      </c>
      <c r="N425" s="9" t="str">
        <f>IF($J425="FB",COUNTIF($J$5:$J425,"FB"),"")</f>
        <v/>
      </c>
      <c r="O425" s="9" t="str">
        <f>IF($J425="PC",COUNTIF($J$5:$J425,"PC"),"")</f>
        <v/>
      </c>
      <c r="P425" s="28" t="s">
        <v>1876</v>
      </c>
      <c r="Q425" s="28" t="s">
        <v>1877</v>
      </c>
    </row>
    <row r="426" spans="1:17" ht="40.5" customHeight="1" x14ac:dyDescent="0.25">
      <c r="A426" s="69">
        <v>6</v>
      </c>
      <c r="B426" s="70" t="s">
        <v>542</v>
      </c>
      <c r="C426" s="71" t="s">
        <v>1878</v>
      </c>
      <c r="D426" s="70" t="s">
        <v>1879</v>
      </c>
      <c r="E426" s="70" t="s">
        <v>1880</v>
      </c>
      <c r="F426" s="78" t="s">
        <v>69</v>
      </c>
      <c r="G426" s="77" t="s">
        <v>1881</v>
      </c>
      <c r="H426" s="37"/>
      <c r="I426" s="79" t="s">
        <v>1882</v>
      </c>
      <c r="J426" s="39"/>
      <c r="K426" s="39"/>
      <c r="L426" s="80"/>
      <c r="M426" s="9" t="str">
        <f>IF($J426="AC",COUNTIF($J$5:$J426,"AC"),"")</f>
        <v/>
      </c>
      <c r="N426" s="9" t="str">
        <f>IF($J426="FB",COUNTIF($J$5:$J426,"FB"),"")</f>
        <v/>
      </c>
      <c r="O426" s="9" t="str">
        <f>IF($J426="PC",COUNTIF($J$5:$J426,"PC"),"")</f>
        <v/>
      </c>
      <c r="P426" s="28" t="s">
        <v>1883</v>
      </c>
      <c r="Q426" s="28" t="s">
        <v>1884</v>
      </c>
    </row>
    <row r="427" spans="1:17" ht="40.5" customHeight="1" x14ac:dyDescent="0.25">
      <c r="A427" s="69">
        <v>6</v>
      </c>
      <c r="B427" s="70" t="s">
        <v>542</v>
      </c>
      <c r="C427" s="71" t="s">
        <v>1878</v>
      </c>
      <c r="D427" s="70" t="s">
        <v>1879</v>
      </c>
      <c r="E427" s="70" t="s">
        <v>1885</v>
      </c>
      <c r="F427" s="78" t="s">
        <v>69</v>
      </c>
      <c r="G427" s="77" t="s">
        <v>1886</v>
      </c>
      <c r="H427" s="37"/>
      <c r="I427" s="79" t="s">
        <v>1887</v>
      </c>
      <c r="J427" s="39"/>
      <c r="K427" s="39"/>
      <c r="L427" s="80"/>
      <c r="M427" s="9" t="str">
        <f>IF($J427="AC",COUNTIF($J$5:$J427,"AC"),"")</f>
        <v/>
      </c>
      <c r="N427" s="9" t="str">
        <f>IF($J427="FB",COUNTIF($J$5:$J427,"FB"),"")</f>
        <v/>
      </c>
      <c r="O427" s="9" t="str">
        <f>IF($J427="PC",COUNTIF($J$5:$J427,"PC"),"")</f>
        <v/>
      </c>
      <c r="P427" s="28" t="s">
        <v>1888</v>
      </c>
      <c r="Q427" s="28" t="s">
        <v>1889</v>
      </c>
    </row>
    <row r="428" spans="1:17" ht="40.5" customHeight="1" x14ac:dyDescent="0.25">
      <c r="A428" s="69">
        <v>6</v>
      </c>
      <c r="B428" s="70" t="s">
        <v>542</v>
      </c>
      <c r="C428" s="71" t="s">
        <v>1878</v>
      </c>
      <c r="D428" s="70" t="s">
        <v>1879</v>
      </c>
      <c r="E428" s="70" t="s">
        <v>1890</v>
      </c>
      <c r="F428" s="68" t="s">
        <v>92</v>
      </c>
      <c r="G428" s="77" t="s">
        <v>1891</v>
      </c>
      <c r="H428" s="37"/>
      <c r="I428" s="79" t="s">
        <v>1892</v>
      </c>
      <c r="J428" s="39"/>
      <c r="K428" s="39"/>
      <c r="L428" s="80"/>
      <c r="M428" s="9" t="str">
        <f>IF($J428="AC",COUNTIF($J$5:$J428,"AC"),"")</f>
        <v/>
      </c>
      <c r="N428" s="9" t="str">
        <f>IF($J428="FB",COUNTIF($J$5:$J428,"FB"),"")</f>
        <v/>
      </c>
      <c r="O428" s="9" t="str">
        <f>IF($J428="PC",COUNTIF($J$5:$J428,"PC"),"")</f>
        <v/>
      </c>
      <c r="P428" s="28" t="s">
        <v>1893</v>
      </c>
      <c r="Q428" s="28" t="s">
        <v>1894</v>
      </c>
    </row>
    <row r="429" spans="1:17" ht="40.5" customHeight="1" x14ac:dyDescent="0.25">
      <c r="A429" s="69">
        <v>6</v>
      </c>
      <c r="B429" s="70" t="s">
        <v>542</v>
      </c>
      <c r="C429" s="71" t="s">
        <v>1878</v>
      </c>
      <c r="D429" s="70" t="s">
        <v>1879</v>
      </c>
      <c r="E429" s="70" t="s">
        <v>1895</v>
      </c>
      <c r="F429" s="78" t="s">
        <v>69</v>
      </c>
      <c r="G429" s="77" t="s">
        <v>1896</v>
      </c>
      <c r="H429" s="37"/>
      <c r="I429" s="79" t="s">
        <v>1897</v>
      </c>
      <c r="J429" s="39"/>
      <c r="K429" s="39"/>
      <c r="L429" s="80"/>
      <c r="M429" s="9" t="str">
        <f>IF($J429="AC",COUNTIF($J$5:$J429,"AC"),"")</f>
        <v/>
      </c>
      <c r="N429" s="9" t="str">
        <f>IF($J429="FB",COUNTIF($J$5:$J429,"FB"),"")</f>
        <v/>
      </c>
      <c r="O429" s="9" t="str">
        <f>IF($J429="PC",COUNTIF($J$5:$J429,"PC"),"")</f>
        <v/>
      </c>
      <c r="P429" s="28" t="s">
        <v>1898</v>
      </c>
      <c r="Q429" s="28" t="s">
        <v>1899</v>
      </c>
    </row>
    <row r="430" spans="1:17" ht="40.5" customHeight="1" x14ac:dyDescent="0.25">
      <c r="A430" s="69">
        <v>6</v>
      </c>
      <c r="B430" s="70" t="s">
        <v>542</v>
      </c>
      <c r="C430" s="71" t="s">
        <v>1878</v>
      </c>
      <c r="D430" s="70" t="s">
        <v>1879</v>
      </c>
      <c r="E430" s="70" t="s">
        <v>1900</v>
      </c>
      <c r="F430" s="66" t="s">
        <v>53</v>
      </c>
      <c r="G430" s="77" t="s">
        <v>1901</v>
      </c>
      <c r="H430" s="37"/>
      <c r="I430" s="79"/>
      <c r="J430" s="39"/>
      <c r="K430" s="39"/>
      <c r="L430" s="80"/>
      <c r="M430" s="9" t="str">
        <f>IF($J430="AC",COUNTIF($J$5:$J430,"AC"),"")</f>
        <v/>
      </c>
      <c r="N430" s="9" t="str">
        <f>IF($J430="FB",COUNTIF($J$5:$J430,"FB"),"")</f>
        <v/>
      </c>
      <c r="O430" s="9" t="str">
        <f>IF($J430="PC",COUNTIF($J$5:$J430,"PC"),"")</f>
        <v/>
      </c>
      <c r="P430" s="28" t="s">
        <v>1902</v>
      </c>
      <c r="Q430" s="28" t="s">
        <v>1903</v>
      </c>
    </row>
    <row r="431" spans="1:17" ht="40.5" customHeight="1" x14ac:dyDescent="0.25">
      <c r="A431" s="69">
        <v>6</v>
      </c>
      <c r="B431" s="70" t="s">
        <v>542</v>
      </c>
      <c r="C431" s="71" t="s">
        <v>1878</v>
      </c>
      <c r="D431" s="70" t="s">
        <v>1879</v>
      </c>
      <c r="E431" s="70" t="s">
        <v>1900</v>
      </c>
      <c r="F431" s="66" t="s">
        <v>53</v>
      </c>
      <c r="G431" s="77" t="s">
        <v>1904</v>
      </c>
      <c r="H431" s="37"/>
      <c r="I431" s="79"/>
      <c r="J431" s="39"/>
      <c r="K431" s="39"/>
      <c r="L431" s="80"/>
      <c r="M431" s="9" t="str">
        <f>IF($J431="AC",COUNTIF($J$5:$J431,"AC"),"")</f>
        <v/>
      </c>
      <c r="N431" s="9" t="str">
        <f>IF($J431="FB",COUNTIF($J$5:$J431,"FB"),"")</f>
        <v/>
      </c>
      <c r="O431" s="9" t="str">
        <f>IF($J431="PC",COUNTIF($J$5:$J431,"PC"),"")</f>
        <v/>
      </c>
      <c r="P431" s="28" t="s">
        <v>1905</v>
      </c>
      <c r="Q431" s="28" t="s">
        <v>1906</v>
      </c>
    </row>
    <row r="432" spans="1:17" ht="40.5" customHeight="1" x14ac:dyDescent="0.25">
      <c r="A432" s="69">
        <v>6</v>
      </c>
      <c r="B432" s="70" t="s">
        <v>542</v>
      </c>
      <c r="C432" s="71" t="s">
        <v>1878</v>
      </c>
      <c r="D432" s="70" t="s">
        <v>1879</v>
      </c>
      <c r="E432" s="70" t="s">
        <v>1900</v>
      </c>
      <c r="F432" s="66" t="s">
        <v>53</v>
      </c>
      <c r="G432" s="77" t="s">
        <v>1907</v>
      </c>
      <c r="H432" s="37"/>
      <c r="I432" s="79"/>
      <c r="J432" s="39"/>
      <c r="K432" s="39"/>
      <c r="L432" s="80"/>
      <c r="M432" s="9" t="str">
        <f>IF($J432="AC",COUNTIF($J$5:$J432,"AC"),"")</f>
        <v/>
      </c>
      <c r="N432" s="9" t="str">
        <f>IF($J432="FB",COUNTIF($J$5:$J432,"FB"),"")</f>
        <v/>
      </c>
      <c r="O432" s="9" t="str">
        <f>IF($J432="PC",COUNTIF($J$5:$J432,"PC"),"")</f>
        <v/>
      </c>
      <c r="P432" s="28" t="s">
        <v>1908</v>
      </c>
      <c r="Q432" s="28" t="s">
        <v>1909</v>
      </c>
    </row>
    <row r="433" spans="1:17" ht="40.5" customHeight="1" x14ac:dyDescent="0.25">
      <c r="A433" s="69">
        <v>6</v>
      </c>
      <c r="B433" s="70" t="s">
        <v>542</v>
      </c>
      <c r="C433" s="71" t="s">
        <v>1878</v>
      </c>
      <c r="D433" s="70" t="s">
        <v>1879</v>
      </c>
      <c r="E433" s="70" t="s">
        <v>1900</v>
      </c>
      <c r="F433" s="78" t="s">
        <v>69</v>
      </c>
      <c r="G433" s="77" t="s">
        <v>1910</v>
      </c>
      <c r="H433" s="37"/>
      <c r="I433" s="79"/>
      <c r="J433" s="39"/>
      <c r="K433" s="39"/>
      <c r="L433" s="80"/>
      <c r="M433" s="9" t="str">
        <f>IF($J433="AC",COUNTIF($J$5:$J433,"AC"),"")</f>
        <v/>
      </c>
      <c r="N433" s="9" t="str">
        <f>IF($J433="FB",COUNTIF($J$5:$J433,"FB"),"")</f>
        <v/>
      </c>
      <c r="O433" s="9" t="str">
        <f>IF($J433="PC",COUNTIF($J$5:$J433,"PC"),"")</f>
        <v/>
      </c>
      <c r="P433" s="28" t="s">
        <v>1911</v>
      </c>
      <c r="Q433" s="28" t="s">
        <v>1912</v>
      </c>
    </row>
    <row r="434" spans="1:17" ht="40.5" customHeight="1" x14ac:dyDescent="0.25">
      <c r="A434" s="69">
        <v>6</v>
      </c>
      <c r="B434" s="70" t="s">
        <v>542</v>
      </c>
      <c r="C434" s="71" t="s">
        <v>1878</v>
      </c>
      <c r="D434" s="70" t="s">
        <v>1879</v>
      </c>
      <c r="E434" s="70" t="s">
        <v>1900</v>
      </c>
      <c r="F434" s="78" t="s">
        <v>69</v>
      </c>
      <c r="G434" s="77" t="s">
        <v>1913</v>
      </c>
      <c r="H434" s="37"/>
      <c r="I434" s="79"/>
      <c r="J434" s="39"/>
      <c r="K434" s="39"/>
      <c r="L434" s="80"/>
      <c r="M434" s="9" t="str">
        <f>IF($J434="AC",COUNTIF($J$5:$J434,"AC"),"")</f>
        <v/>
      </c>
      <c r="N434" s="9" t="str">
        <f>IF($J434="FB",COUNTIF($J$5:$J434,"FB"),"")</f>
        <v/>
      </c>
      <c r="O434" s="9" t="str">
        <f>IF($J434="PC",COUNTIF($J$5:$J434,"PC"),"")</f>
        <v/>
      </c>
      <c r="P434" s="28" t="s">
        <v>1914</v>
      </c>
      <c r="Q434" s="28" t="s">
        <v>1915</v>
      </c>
    </row>
    <row r="435" spans="1:17" ht="40.5" customHeight="1" x14ac:dyDescent="0.25">
      <c r="A435" s="69">
        <v>6</v>
      </c>
      <c r="B435" s="70" t="s">
        <v>542</v>
      </c>
      <c r="C435" s="71" t="s">
        <v>1878</v>
      </c>
      <c r="D435" s="70" t="s">
        <v>1879</v>
      </c>
      <c r="E435" s="70" t="s">
        <v>1916</v>
      </c>
      <c r="F435" s="68" t="s">
        <v>92</v>
      </c>
      <c r="G435" s="77" t="s">
        <v>1917</v>
      </c>
      <c r="H435" s="37"/>
      <c r="I435" s="79"/>
      <c r="J435" s="39"/>
      <c r="K435" s="39"/>
      <c r="L435" s="80"/>
      <c r="M435" s="9" t="str">
        <f>IF($J435="AC",COUNTIF($J$5:$J435,"AC"),"")</f>
        <v/>
      </c>
      <c r="N435" s="9" t="str">
        <f>IF($J435="FB",COUNTIF($J$5:$J435,"FB"),"")</f>
        <v/>
      </c>
      <c r="O435" s="9" t="str">
        <f>IF($J435="PC",COUNTIF($J$5:$J435,"PC"),"")</f>
        <v/>
      </c>
      <c r="P435" s="28" t="s">
        <v>1918</v>
      </c>
      <c r="Q435" s="28" t="s">
        <v>1919</v>
      </c>
    </row>
    <row r="436" spans="1:17" ht="40.5" customHeight="1" x14ac:dyDescent="0.25">
      <c r="A436" s="69">
        <v>6</v>
      </c>
      <c r="B436" s="70" t="s">
        <v>542</v>
      </c>
      <c r="C436" s="71" t="s">
        <v>1878</v>
      </c>
      <c r="D436" s="70" t="s">
        <v>1879</v>
      </c>
      <c r="E436" s="70" t="s">
        <v>1916</v>
      </c>
      <c r="F436" s="68" t="s">
        <v>92</v>
      </c>
      <c r="G436" s="77" t="s">
        <v>1920</v>
      </c>
      <c r="H436" s="37"/>
      <c r="I436" s="79"/>
      <c r="J436" s="39"/>
      <c r="K436" s="39"/>
      <c r="L436" s="80"/>
      <c r="M436" s="9" t="str">
        <f>IF($J436="AC",COUNTIF($J$5:$J436,"AC"),"")</f>
        <v/>
      </c>
      <c r="N436" s="9" t="str">
        <f>IF($J436="FB",COUNTIF($J$5:$J436,"FB"),"")</f>
        <v/>
      </c>
      <c r="O436" s="9" t="str">
        <f>IF($J436="PC",COUNTIF($J$5:$J436,"PC"),"")</f>
        <v/>
      </c>
      <c r="P436" s="28" t="s">
        <v>1921</v>
      </c>
      <c r="Q436" s="28" t="s">
        <v>1922</v>
      </c>
    </row>
    <row r="437" spans="1:17" ht="40.5" customHeight="1" x14ac:dyDescent="0.25">
      <c r="A437" s="69">
        <v>6</v>
      </c>
      <c r="B437" s="70" t="s">
        <v>542</v>
      </c>
      <c r="C437" s="71" t="s">
        <v>1878</v>
      </c>
      <c r="D437" s="70" t="s">
        <v>1879</v>
      </c>
      <c r="E437" s="70" t="s">
        <v>1916</v>
      </c>
      <c r="F437" s="68" t="s">
        <v>92</v>
      </c>
      <c r="G437" s="77" t="s">
        <v>1923</v>
      </c>
      <c r="H437" s="37"/>
      <c r="I437" s="79"/>
      <c r="J437" s="39"/>
      <c r="K437" s="39"/>
      <c r="L437" s="80"/>
      <c r="M437" s="9" t="str">
        <f>IF($J437="AC",COUNTIF($J$5:$J437,"AC"),"")</f>
        <v/>
      </c>
      <c r="N437" s="9" t="str">
        <f>IF($J437="FB",COUNTIF($J$5:$J437,"FB"),"")</f>
        <v/>
      </c>
      <c r="O437" s="9" t="str">
        <f>IF($J437="PC",COUNTIF($J$5:$J437,"PC"),"")</f>
        <v/>
      </c>
      <c r="P437" s="28" t="s">
        <v>1924</v>
      </c>
      <c r="Q437" s="28" t="s">
        <v>1925</v>
      </c>
    </row>
    <row r="438" spans="1:17" ht="40.5" customHeight="1" x14ac:dyDescent="0.25">
      <c r="A438" s="69">
        <v>6</v>
      </c>
      <c r="B438" s="70" t="s">
        <v>542</v>
      </c>
      <c r="C438" s="71" t="s">
        <v>1878</v>
      </c>
      <c r="D438" s="70" t="s">
        <v>1879</v>
      </c>
      <c r="E438" s="70" t="s">
        <v>1916</v>
      </c>
      <c r="F438" s="68" t="s">
        <v>92</v>
      </c>
      <c r="G438" s="77" t="s">
        <v>1926</v>
      </c>
      <c r="H438" s="37"/>
      <c r="I438" s="79"/>
      <c r="J438" s="39"/>
      <c r="K438" s="39"/>
      <c r="L438" s="80"/>
      <c r="M438" s="9" t="str">
        <f>IF($J438="AC",COUNTIF($J$5:$J438,"AC"),"")</f>
        <v/>
      </c>
      <c r="N438" s="9" t="str">
        <f>IF($J438="FB",COUNTIF($J$5:$J438,"FB"),"")</f>
        <v/>
      </c>
      <c r="O438" s="9" t="str">
        <f>IF($J438="PC",COUNTIF($J$5:$J438,"PC"),"")</f>
        <v/>
      </c>
      <c r="P438" s="28" t="s">
        <v>1927</v>
      </c>
      <c r="Q438" s="28" t="s">
        <v>1928</v>
      </c>
    </row>
    <row r="439" spans="1:17" ht="40.5" customHeight="1" x14ac:dyDescent="0.25">
      <c r="A439" s="69">
        <v>6</v>
      </c>
      <c r="B439" s="70" t="s">
        <v>542</v>
      </c>
      <c r="C439" s="71" t="s">
        <v>1878</v>
      </c>
      <c r="D439" s="70" t="s">
        <v>1879</v>
      </c>
      <c r="E439" s="70" t="s">
        <v>1916</v>
      </c>
      <c r="F439" s="68" t="s">
        <v>92</v>
      </c>
      <c r="G439" s="77" t="s">
        <v>1929</v>
      </c>
      <c r="H439" s="37"/>
      <c r="I439" s="79"/>
      <c r="J439" s="39"/>
      <c r="K439" s="39"/>
      <c r="L439" s="80"/>
      <c r="M439" s="9" t="str">
        <f>IF($J439="AC",COUNTIF($J$5:$J439,"AC"),"")</f>
        <v/>
      </c>
      <c r="N439" s="9" t="str">
        <f>IF($J439="FB",COUNTIF($J$5:$J439,"FB"),"")</f>
        <v/>
      </c>
      <c r="O439" s="9" t="str">
        <f>IF($J439="PC",COUNTIF($J$5:$J439,"PC"),"")</f>
        <v/>
      </c>
      <c r="P439" s="28" t="s">
        <v>1930</v>
      </c>
      <c r="Q439" s="28" t="s">
        <v>1931</v>
      </c>
    </row>
    <row r="440" spans="1:17" ht="40.5" customHeight="1" x14ac:dyDescent="0.25">
      <c r="A440" s="69">
        <v>6</v>
      </c>
      <c r="B440" s="70" t="s">
        <v>542</v>
      </c>
      <c r="C440" s="71" t="s">
        <v>1878</v>
      </c>
      <c r="D440" s="70" t="s">
        <v>1879</v>
      </c>
      <c r="E440" s="70" t="s">
        <v>1932</v>
      </c>
      <c r="F440" s="78" t="s">
        <v>69</v>
      </c>
      <c r="G440" s="77" t="s">
        <v>1933</v>
      </c>
      <c r="H440" s="37"/>
      <c r="I440" s="79"/>
      <c r="J440" s="39"/>
      <c r="K440" s="39"/>
      <c r="L440" s="80"/>
      <c r="M440" s="9" t="str">
        <f>IF($J440="AC",COUNTIF($J$5:$J440,"AC"),"")</f>
        <v/>
      </c>
      <c r="N440" s="9" t="str">
        <f>IF($J440="FB",COUNTIF($J$5:$J440,"FB"),"")</f>
        <v/>
      </c>
      <c r="O440" s="9" t="str">
        <f>IF($J440="PC",COUNTIF($J$5:$J440,"PC"),"")</f>
        <v/>
      </c>
      <c r="P440" s="28" t="s">
        <v>1934</v>
      </c>
      <c r="Q440" s="28" t="s">
        <v>1935</v>
      </c>
    </row>
    <row r="441" spans="1:17" ht="40.5" customHeight="1" x14ac:dyDescent="0.25">
      <c r="A441" s="69">
        <v>6</v>
      </c>
      <c r="B441" s="70" t="s">
        <v>542</v>
      </c>
      <c r="C441" s="71" t="s">
        <v>1878</v>
      </c>
      <c r="D441" s="70" t="s">
        <v>1879</v>
      </c>
      <c r="E441" s="70" t="s">
        <v>1932</v>
      </c>
      <c r="F441" s="78" t="s">
        <v>69</v>
      </c>
      <c r="G441" s="77" t="s">
        <v>1936</v>
      </c>
      <c r="H441" s="37"/>
      <c r="I441" s="79"/>
      <c r="J441" s="39"/>
      <c r="K441" s="39"/>
      <c r="L441" s="80"/>
      <c r="M441" s="9" t="str">
        <f>IF($J441="AC",COUNTIF($J$5:$J441,"AC"),"")</f>
        <v/>
      </c>
      <c r="N441" s="9" t="str">
        <f>IF($J441="FB",COUNTIF($J$5:$J441,"FB"),"")</f>
        <v/>
      </c>
      <c r="O441" s="9" t="str">
        <f>IF($J441="PC",COUNTIF($J$5:$J441,"PC"),"")</f>
        <v/>
      </c>
      <c r="P441" s="28" t="s">
        <v>1937</v>
      </c>
      <c r="Q441" s="28" t="s">
        <v>1938</v>
      </c>
    </row>
    <row r="442" spans="1:17" ht="40.5" customHeight="1" x14ac:dyDescent="0.25">
      <c r="A442" s="69">
        <v>6</v>
      </c>
      <c r="B442" s="70" t="s">
        <v>542</v>
      </c>
      <c r="C442" s="71" t="s">
        <v>1878</v>
      </c>
      <c r="D442" s="70" t="s">
        <v>1879</v>
      </c>
      <c r="E442" s="70" t="s">
        <v>1932</v>
      </c>
      <c r="F442" s="78" t="s">
        <v>69</v>
      </c>
      <c r="G442" s="77" t="s">
        <v>1939</v>
      </c>
      <c r="H442" s="37"/>
      <c r="I442" s="79"/>
      <c r="J442" s="39"/>
      <c r="K442" s="39"/>
      <c r="L442" s="80"/>
      <c r="M442" s="9" t="str">
        <f>IF($J442="AC",COUNTIF($J$5:$J442,"AC"),"")</f>
        <v/>
      </c>
      <c r="N442" s="9" t="str">
        <f>IF($J442="FB",COUNTIF($J$5:$J442,"FB"),"")</f>
        <v/>
      </c>
      <c r="O442" s="9" t="str">
        <f>IF($J442="PC",COUNTIF($J$5:$J442,"PC"),"")</f>
        <v/>
      </c>
      <c r="P442" s="28" t="s">
        <v>1940</v>
      </c>
      <c r="Q442" s="28" t="s">
        <v>1941</v>
      </c>
    </row>
    <row r="443" spans="1:17" ht="40.5" customHeight="1" x14ac:dyDescent="0.25">
      <c r="A443" s="69">
        <v>6</v>
      </c>
      <c r="B443" s="70" t="s">
        <v>542</v>
      </c>
      <c r="C443" s="71" t="s">
        <v>1878</v>
      </c>
      <c r="D443" s="70" t="s">
        <v>1879</v>
      </c>
      <c r="E443" s="70" t="s">
        <v>1932</v>
      </c>
      <c r="F443" s="78" t="s">
        <v>69</v>
      </c>
      <c r="G443" s="77" t="s">
        <v>1942</v>
      </c>
      <c r="H443" s="37"/>
      <c r="I443" s="79"/>
      <c r="J443" s="39"/>
      <c r="K443" s="39"/>
      <c r="L443" s="80"/>
      <c r="M443" s="9" t="str">
        <f>IF($J443="AC",COUNTIF($J$5:$J443,"AC"),"")</f>
        <v/>
      </c>
      <c r="N443" s="9" t="str">
        <f>IF($J443="FB",COUNTIF($J$5:$J443,"FB"),"")</f>
        <v/>
      </c>
      <c r="O443" s="9" t="str">
        <f>IF($J443="PC",COUNTIF($J$5:$J443,"PC"),"")</f>
        <v/>
      </c>
      <c r="P443" s="28" t="s">
        <v>1943</v>
      </c>
      <c r="Q443" s="28" t="s">
        <v>1944</v>
      </c>
    </row>
    <row r="444" spans="1:17" ht="40.5" customHeight="1" x14ac:dyDescent="0.25">
      <c r="A444" s="69">
        <v>6</v>
      </c>
      <c r="B444" s="70" t="s">
        <v>542</v>
      </c>
      <c r="C444" s="71" t="s">
        <v>1878</v>
      </c>
      <c r="D444" s="70" t="s">
        <v>1879</v>
      </c>
      <c r="E444" s="70" t="s">
        <v>1932</v>
      </c>
      <c r="F444" s="78" t="s">
        <v>69</v>
      </c>
      <c r="G444" s="77" t="s">
        <v>1945</v>
      </c>
      <c r="H444" s="37"/>
      <c r="I444" s="79"/>
      <c r="J444" s="39"/>
      <c r="K444" s="39"/>
      <c r="L444" s="80"/>
      <c r="M444" s="9" t="str">
        <f>IF($J444="AC",COUNTIF($J$5:$J444,"AC"),"")</f>
        <v/>
      </c>
      <c r="N444" s="9" t="str">
        <f>IF($J444="FB",COUNTIF($J$5:$J444,"FB"),"")</f>
        <v/>
      </c>
      <c r="O444" s="9" t="str">
        <f>IF($J444="PC",COUNTIF($J$5:$J444,"PC"),"")</f>
        <v/>
      </c>
      <c r="P444" s="28" t="s">
        <v>1946</v>
      </c>
      <c r="Q444" s="28" t="s">
        <v>1947</v>
      </c>
    </row>
    <row r="445" spans="1:17" ht="40.5" customHeight="1" x14ac:dyDescent="0.25">
      <c r="A445" s="69">
        <v>6</v>
      </c>
      <c r="B445" s="70" t="s">
        <v>542</v>
      </c>
      <c r="C445" s="71" t="s">
        <v>1878</v>
      </c>
      <c r="D445" s="70" t="s">
        <v>1879</v>
      </c>
      <c r="E445" s="70" t="s">
        <v>1948</v>
      </c>
      <c r="F445" s="68" t="s">
        <v>92</v>
      </c>
      <c r="G445" s="77" t="s">
        <v>1949</v>
      </c>
      <c r="H445" s="37"/>
      <c r="I445" s="79"/>
      <c r="J445" s="39"/>
      <c r="K445" s="39"/>
      <c r="L445" s="80"/>
      <c r="M445" s="9" t="str">
        <f>IF($J445="AC",COUNTIF($J$5:$J445,"AC"),"")</f>
        <v/>
      </c>
      <c r="N445" s="9" t="str">
        <f>IF($J445="FB",COUNTIF($J$5:$J445,"FB"),"")</f>
        <v/>
      </c>
      <c r="O445" s="9" t="str">
        <f>IF($J445="PC",COUNTIF($J$5:$J445,"PC"),"")</f>
        <v/>
      </c>
      <c r="P445" s="28" t="s">
        <v>1950</v>
      </c>
      <c r="Q445" s="28" t="s">
        <v>1951</v>
      </c>
    </row>
    <row r="446" spans="1:17" ht="40.5" customHeight="1" x14ac:dyDescent="0.25">
      <c r="A446" s="69">
        <v>6</v>
      </c>
      <c r="B446" s="70" t="s">
        <v>542</v>
      </c>
      <c r="C446" s="71" t="s">
        <v>1878</v>
      </c>
      <c r="D446" s="70" t="s">
        <v>1879</v>
      </c>
      <c r="E446" s="70" t="s">
        <v>1948</v>
      </c>
      <c r="F446" s="68" t="s">
        <v>92</v>
      </c>
      <c r="G446" s="77" t="s">
        <v>1952</v>
      </c>
      <c r="H446" s="37"/>
      <c r="I446" s="79"/>
      <c r="J446" s="39"/>
      <c r="K446" s="39"/>
      <c r="L446" s="80"/>
      <c r="M446" s="9" t="str">
        <f>IF($J446="AC",COUNTIF($J$5:$J446,"AC"),"")</f>
        <v/>
      </c>
      <c r="N446" s="9" t="str">
        <f>IF($J446="FB",COUNTIF($J$5:$J446,"FB"),"")</f>
        <v/>
      </c>
      <c r="O446" s="9" t="str">
        <f>IF($J446="PC",COUNTIF($J$5:$J446,"PC"),"")</f>
        <v/>
      </c>
      <c r="P446" s="28" t="s">
        <v>1953</v>
      </c>
      <c r="Q446" s="28" t="s">
        <v>1954</v>
      </c>
    </row>
    <row r="447" spans="1:17" ht="40.5" customHeight="1" x14ac:dyDescent="0.25">
      <c r="A447" s="69">
        <v>6</v>
      </c>
      <c r="B447" s="70" t="s">
        <v>542</v>
      </c>
      <c r="C447" s="71" t="s">
        <v>1878</v>
      </c>
      <c r="D447" s="70" t="s">
        <v>1879</v>
      </c>
      <c r="E447" s="70" t="s">
        <v>1948</v>
      </c>
      <c r="F447" s="68" t="s">
        <v>92</v>
      </c>
      <c r="G447" s="77" t="s">
        <v>1955</v>
      </c>
      <c r="H447" s="37"/>
      <c r="I447" s="79"/>
      <c r="J447" s="39"/>
      <c r="K447" s="39"/>
      <c r="L447" s="80"/>
      <c r="M447" s="9" t="str">
        <f>IF($J447="AC",COUNTIF($J$5:$J447,"AC"),"")</f>
        <v/>
      </c>
      <c r="N447" s="9" t="str">
        <f>IF($J447="FB",COUNTIF($J$5:$J447,"FB"),"")</f>
        <v/>
      </c>
      <c r="O447" s="9" t="str">
        <f>IF($J447="PC",COUNTIF($J$5:$J447,"PC"),"")</f>
        <v/>
      </c>
      <c r="P447" s="28" t="s">
        <v>1956</v>
      </c>
      <c r="Q447" s="28" t="s">
        <v>1957</v>
      </c>
    </row>
    <row r="448" spans="1:17" ht="40.5" customHeight="1" x14ac:dyDescent="0.25">
      <c r="A448" s="69">
        <v>6</v>
      </c>
      <c r="B448" s="70" t="s">
        <v>542</v>
      </c>
      <c r="C448" s="71" t="s">
        <v>1878</v>
      </c>
      <c r="D448" s="70" t="s">
        <v>1879</v>
      </c>
      <c r="E448" s="70" t="s">
        <v>1948</v>
      </c>
      <c r="F448" s="68" t="s">
        <v>92</v>
      </c>
      <c r="G448" s="77" t="s">
        <v>1958</v>
      </c>
      <c r="H448" s="37"/>
      <c r="I448" s="79"/>
      <c r="J448" s="39"/>
      <c r="K448" s="39"/>
      <c r="L448" s="80"/>
      <c r="M448" s="9" t="str">
        <f>IF($J448="AC",COUNTIF($J$5:$J448,"AC"),"")</f>
        <v/>
      </c>
      <c r="N448" s="9" t="str">
        <f>IF($J448="FB",COUNTIF($J$5:$J448,"FB"),"")</f>
        <v/>
      </c>
      <c r="O448" s="9" t="str">
        <f>IF($J448="PC",COUNTIF($J$5:$J448,"PC"),"")</f>
        <v/>
      </c>
      <c r="P448" s="28" t="s">
        <v>1959</v>
      </c>
      <c r="Q448" s="28" t="s">
        <v>1960</v>
      </c>
    </row>
    <row r="449" spans="1:17" ht="40.5" customHeight="1" x14ac:dyDescent="0.25">
      <c r="A449" s="69">
        <v>6</v>
      </c>
      <c r="B449" s="70" t="s">
        <v>542</v>
      </c>
      <c r="C449" s="71" t="s">
        <v>1878</v>
      </c>
      <c r="D449" s="70" t="s">
        <v>1879</v>
      </c>
      <c r="E449" s="70" t="s">
        <v>1948</v>
      </c>
      <c r="F449" s="68" t="s">
        <v>92</v>
      </c>
      <c r="G449" s="77" t="s">
        <v>1961</v>
      </c>
      <c r="H449" s="37"/>
      <c r="I449" s="79"/>
      <c r="J449" s="39"/>
      <c r="K449" s="39"/>
      <c r="L449" s="80"/>
      <c r="M449" s="9" t="str">
        <f>IF($J449="AC",COUNTIF($J$5:$J449,"AC"),"")</f>
        <v/>
      </c>
      <c r="N449" s="9" t="str">
        <f>IF($J449="FB",COUNTIF($J$5:$J449,"FB"),"")</f>
        <v/>
      </c>
      <c r="O449" s="9" t="str">
        <f>IF($J449="PC",COUNTIF($J$5:$J449,"PC"),"")</f>
        <v/>
      </c>
      <c r="P449" s="28" t="s">
        <v>1962</v>
      </c>
      <c r="Q449" s="28" t="s">
        <v>1963</v>
      </c>
    </row>
    <row r="450" spans="1:17" ht="40.5" customHeight="1" x14ac:dyDescent="0.25">
      <c r="A450" s="69">
        <v>6</v>
      </c>
      <c r="B450" s="70" t="s">
        <v>542</v>
      </c>
      <c r="C450" s="71" t="s">
        <v>1878</v>
      </c>
      <c r="D450" s="70" t="s">
        <v>1879</v>
      </c>
      <c r="E450" s="70" t="s">
        <v>1964</v>
      </c>
      <c r="F450" s="100" t="s">
        <v>165</v>
      </c>
      <c r="G450" s="77" t="s">
        <v>1965</v>
      </c>
      <c r="H450" s="37"/>
      <c r="I450" s="79"/>
      <c r="J450" s="39"/>
      <c r="K450" s="39"/>
      <c r="L450" s="80"/>
      <c r="M450" s="9" t="str">
        <f>IF($J450="AC",COUNTIF($J$5:$J450,"AC"),"")</f>
        <v/>
      </c>
      <c r="N450" s="9" t="str">
        <f>IF($J450="FB",COUNTIF($J$5:$J450,"FB"),"")</f>
        <v/>
      </c>
      <c r="O450" s="9" t="str">
        <f>IF($J450="PC",COUNTIF($J$5:$J450,"PC"),"")</f>
        <v/>
      </c>
      <c r="P450" s="28" t="s">
        <v>1966</v>
      </c>
      <c r="Q450" s="28" t="s">
        <v>1967</v>
      </c>
    </row>
    <row r="451" spans="1:17" ht="40.5" customHeight="1" x14ac:dyDescent="0.25">
      <c r="A451" s="69">
        <v>6</v>
      </c>
      <c r="B451" s="70" t="s">
        <v>542</v>
      </c>
      <c r="C451" s="71" t="s">
        <v>1878</v>
      </c>
      <c r="D451" s="70" t="s">
        <v>1879</v>
      </c>
      <c r="E451" s="70" t="s">
        <v>1964</v>
      </c>
      <c r="F451" s="100" t="s">
        <v>165</v>
      </c>
      <c r="G451" s="77" t="s">
        <v>1968</v>
      </c>
      <c r="H451" s="37"/>
      <c r="I451" s="79"/>
      <c r="J451" s="39"/>
      <c r="K451" s="39"/>
      <c r="L451" s="80"/>
      <c r="M451" s="9" t="str">
        <f>IF($J451="AC",COUNTIF($J$5:$J451,"AC"),"")</f>
        <v/>
      </c>
      <c r="N451" s="9" t="str">
        <f>IF($J451="FB",COUNTIF($J$5:$J451,"FB"),"")</f>
        <v/>
      </c>
      <c r="O451" s="9" t="str">
        <f>IF($J451="PC",COUNTIF($J$5:$J451,"PC"),"")</f>
        <v/>
      </c>
      <c r="P451" s="28" t="s">
        <v>1969</v>
      </c>
      <c r="Q451" s="28" t="s">
        <v>1970</v>
      </c>
    </row>
    <row r="452" spans="1:17" ht="40.5" customHeight="1" x14ac:dyDescent="0.25">
      <c r="A452" s="69">
        <v>6</v>
      </c>
      <c r="B452" s="70" t="s">
        <v>542</v>
      </c>
      <c r="C452" s="71" t="s">
        <v>1878</v>
      </c>
      <c r="D452" s="70" t="s">
        <v>1879</v>
      </c>
      <c r="E452" s="70" t="s">
        <v>1964</v>
      </c>
      <c r="F452" s="100" t="s">
        <v>165</v>
      </c>
      <c r="G452" s="77" t="s">
        <v>1971</v>
      </c>
      <c r="H452" s="37"/>
      <c r="I452" s="79"/>
      <c r="J452" s="39"/>
      <c r="K452" s="39"/>
      <c r="L452" s="80"/>
      <c r="M452" s="9" t="str">
        <f>IF($J452="AC",COUNTIF($J$5:$J452,"AC"),"")</f>
        <v/>
      </c>
      <c r="N452" s="9" t="str">
        <f>IF($J452="FB",COUNTIF($J$5:$J452,"FB"),"")</f>
        <v/>
      </c>
      <c r="O452" s="9" t="str">
        <f>IF($J452="PC",COUNTIF($J$5:$J452,"PC"),"")</f>
        <v/>
      </c>
      <c r="P452" s="28" t="s">
        <v>1972</v>
      </c>
      <c r="Q452" s="28" t="s">
        <v>1973</v>
      </c>
    </row>
    <row r="453" spans="1:17" ht="40.5" customHeight="1" x14ac:dyDescent="0.25">
      <c r="A453" s="69">
        <v>6</v>
      </c>
      <c r="B453" s="70" t="s">
        <v>542</v>
      </c>
      <c r="C453" s="71" t="s">
        <v>1878</v>
      </c>
      <c r="D453" s="70" t="s">
        <v>1879</v>
      </c>
      <c r="E453" s="70" t="s">
        <v>1964</v>
      </c>
      <c r="F453" s="100" t="s">
        <v>165</v>
      </c>
      <c r="G453" s="77" t="s">
        <v>1974</v>
      </c>
      <c r="H453" s="37"/>
      <c r="I453" s="79"/>
      <c r="J453" s="39"/>
      <c r="K453" s="39"/>
      <c r="L453" s="80"/>
      <c r="M453" s="9" t="str">
        <f>IF($J453="AC",COUNTIF($J$5:$J453,"AC"),"")</f>
        <v/>
      </c>
      <c r="N453" s="9" t="str">
        <f>IF($J453="FB",COUNTIF($J$5:$J453,"FB"),"")</f>
        <v/>
      </c>
      <c r="O453" s="9" t="str">
        <f>IF($J453="PC",COUNTIF($J$5:$J453,"PC"),"")</f>
        <v/>
      </c>
      <c r="P453" s="28" t="s">
        <v>1975</v>
      </c>
      <c r="Q453" s="28" t="s">
        <v>1976</v>
      </c>
    </row>
    <row r="454" spans="1:17" ht="40.5" customHeight="1" x14ac:dyDescent="0.25">
      <c r="A454" s="69">
        <v>6</v>
      </c>
      <c r="B454" s="70" t="s">
        <v>542</v>
      </c>
      <c r="C454" s="71" t="s">
        <v>1878</v>
      </c>
      <c r="D454" s="70" t="s">
        <v>1879</v>
      </c>
      <c r="E454" s="70" t="s">
        <v>1977</v>
      </c>
      <c r="F454" s="68" t="s">
        <v>92</v>
      </c>
      <c r="G454" s="77" t="s">
        <v>1978</v>
      </c>
      <c r="H454" s="37"/>
      <c r="I454" s="79"/>
      <c r="J454" s="39"/>
      <c r="K454" s="39"/>
      <c r="L454" s="80"/>
      <c r="M454" s="9" t="str">
        <f>IF($J454="AC",COUNTIF($J$5:$J454,"AC"),"")</f>
        <v/>
      </c>
      <c r="N454" s="9" t="str">
        <f>IF($J454="FB",COUNTIF($J$5:$J454,"FB"),"")</f>
        <v/>
      </c>
      <c r="O454" s="9" t="str">
        <f>IF($J454="PC",COUNTIF($J$5:$J454,"PC"),"")</f>
        <v/>
      </c>
      <c r="P454" s="28" t="s">
        <v>1979</v>
      </c>
      <c r="Q454" s="28" t="s">
        <v>1980</v>
      </c>
    </row>
    <row r="455" spans="1:17" ht="40.5" customHeight="1" x14ac:dyDescent="0.25">
      <c r="A455" s="69">
        <v>6</v>
      </c>
      <c r="B455" s="70" t="s">
        <v>542</v>
      </c>
      <c r="C455" s="71" t="s">
        <v>1878</v>
      </c>
      <c r="D455" s="70" t="s">
        <v>1879</v>
      </c>
      <c r="E455" s="70" t="s">
        <v>1977</v>
      </c>
      <c r="F455" s="68" t="s">
        <v>92</v>
      </c>
      <c r="G455" s="77" t="s">
        <v>1981</v>
      </c>
      <c r="H455" s="37"/>
      <c r="I455" s="79"/>
      <c r="J455" s="39"/>
      <c r="K455" s="39"/>
      <c r="L455" s="80"/>
      <c r="M455" s="9" t="str">
        <f>IF($J455="AC",COUNTIF($J$5:$J455,"AC"),"")</f>
        <v/>
      </c>
      <c r="N455" s="9" t="str">
        <f>IF($J455="FB",COUNTIF($J$5:$J455,"FB"),"")</f>
        <v/>
      </c>
      <c r="O455" s="9" t="str">
        <f>IF($J455="PC",COUNTIF($J$5:$J455,"PC"),"")</f>
        <v/>
      </c>
      <c r="P455" s="28" t="s">
        <v>1982</v>
      </c>
      <c r="Q455" s="28" t="s">
        <v>1983</v>
      </c>
    </row>
    <row r="456" spans="1:17" ht="40.5" customHeight="1" x14ac:dyDescent="0.25">
      <c r="A456" s="69">
        <v>6</v>
      </c>
      <c r="B456" s="70" t="s">
        <v>542</v>
      </c>
      <c r="C456" s="71" t="s">
        <v>1878</v>
      </c>
      <c r="D456" s="70" t="s">
        <v>1879</v>
      </c>
      <c r="E456" s="70" t="s">
        <v>1977</v>
      </c>
      <c r="F456" s="68" t="s">
        <v>92</v>
      </c>
      <c r="G456" s="77" t="s">
        <v>1984</v>
      </c>
      <c r="H456" s="37"/>
      <c r="I456" s="79"/>
      <c r="J456" s="39"/>
      <c r="K456" s="39"/>
      <c r="L456" s="80"/>
      <c r="M456" s="9" t="str">
        <f>IF($J456="AC",COUNTIF($J$5:$J456,"AC"),"")</f>
        <v/>
      </c>
      <c r="N456" s="9" t="str">
        <f>IF($J456="FB",COUNTIF($J$5:$J456,"FB"),"")</f>
        <v/>
      </c>
      <c r="O456" s="9" t="str">
        <f>IF($J456="PC",COUNTIF($J$5:$J456,"PC"),"")</f>
        <v/>
      </c>
      <c r="P456" s="28" t="s">
        <v>1985</v>
      </c>
      <c r="Q456" s="28" t="s">
        <v>1986</v>
      </c>
    </row>
    <row r="457" spans="1:17" ht="40.5" customHeight="1" x14ac:dyDescent="0.25">
      <c r="A457" s="69">
        <v>6</v>
      </c>
      <c r="B457" s="70" t="s">
        <v>542</v>
      </c>
      <c r="C457" s="71" t="s">
        <v>1878</v>
      </c>
      <c r="D457" s="70" t="s">
        <v>1879</v>
      </c>
      <c r="E457" s="70" t="s">
        <v>1977</v>
      </c>
      <c r="F457" s="68" t="s">
        <v>92</v>
      </c>
      <c r="G457" s="77" t="s">
        <v>1987</v>
      </c>
      <c r="H457" s="37"/>
      <c r="I457" s="79"/>
      <c r="J457" s="39"/>
      <c r="K457" s="39"/>
      <c r="L457" s="80"/>
      <c r="M457" s="9" t="str">
        <f>IF($J457="AC",COUNTIF($J$5:$J457,"AC"),"")</f>
        <v/>
      </c>
      <c r="N457" s="9" t="str">
        <f>IF($J457="FB",COUNTIF($J$5:$J457,"FB"),"")</f>
        <v/>
      </c>
      <c r="O457" s="9" t="str">
        <f>IF($J457="PC",COUNTIF($J$5:$J457,"PC"),"")</f>
        <v/>
      </c>
      <c r="P457" s="28" t="s">
        <v>1988</v>
      </c>
      <c r="Q457" s="28" t="s">
        <v>1989</v>
      </c>
    </row>
    <row r="458" spans="1:17" ht="40.5" customHeight="1" x14ac:dyDescent="0.25">
      <c r="A458" s="69">
        <v>6</v>
      </c>
      <c r="B458" s="70" t="s">
        <v>542</v>
      </c>
      <c r="C458" s="71" t="s">
        <v>1878</v>
      </c>
      <c r="D458" s="70" t="s">
        <v>1879</v>
      </c>
      <c r="E458" s="70" t="s">
        <v>1990</v>
      </c>
      <c r="F458" s="68" t="s">
        <v>92</v>
      </c>
      <c r="G458" s="77" t="s">
        <v>1991</v>
      </c>
      <c r="H458" s="37"/>
      <c r="I458" s="79"/>
      <c r="J458" s="39"/>
      <c r="K458" s="39"/>
      <c r="L458" s="80"/>
      <c r="M458" s="9" t="str">
        <f>IF($J458="AC",COUNTIF($J$5:$J458,"AC"),"")</f>
        <v/>
      </c>
      <c r="N458" s="9" t="str">
        <f>IF($J458="FB",COUNTIF($J$5:$J458,"FB"),"")</f>
        <v/>
      </c>
      <c r="O458" s="9" t="str">
        <f>IF($J458="PC",COUNTIF($J$5:$J458,"PC"),"")</f>
        <v/>
      </c>
      <c r="P458" s="28" t="s">
        <v>1992</v>
      </c>
      <c r="Q458" s="28" t="s">
        <v>1993</v>
      </c>
    </row>
    <row r="459" spans="1:17" ht="40.5" customHeight="1" x14ac:dyDescent="0.25">
      <c r="A459" s="69">
        <v>6</v>
      </c>
      <c r="B459" s="70" t="s">
        <v>542</v>
      </c>
      <c r="C459" s="71" t="s">
        <v>1878</v>
      </c>
      <c r="D459" s="70" t="s">
        <v>1879</v>
      </c>
      <c r="E459" s="70" t="s">
        <v>1990</v>
      </c>
      <c r="F459" s="68" t="s">
        <v>92</v>
      </c>
      <c r="G459" s="77" t="s">
        <v>1994</v>
      </c>
      <c r="H459" s="37"/>
      <c r="I459" s="79"/>
      <c r="J459" s="39"/>
      <c r="K459" s="39"/>
      <c r="L459" s="80"/>
      <c r="M459" s="9" t="str">
        <f>IF($J459="AC",COUNTIF($J$5:$J459,"AC"),"")</f>
        <v/>
      </c>
      <c r="N459" s="9" t="str">
        <f>IF($J459="FB",COUNTIF($J$5:$J459,"FB"),"")</f>
        <v/>
      </c>
      <c r="O459" s="9" t="str">
        <f>IF($J459="PC",COUNTIF($J$5:$J459,"PC"),"")</f>
        <v/>
      </c>
      <c r="P459" s="28" t="s">
        <v>1995</v>
      </c>
      <c r="Q459" s="28" t="s">
        <v>1996</v>
      </c>
    </row>
    <row r="460" spans="1:17" ht="40.5" customHeight="1" x14ac:dyDescent="0.25">
      <c r="A460" s="69">
        <v>6</v>
      </c>
      <c r="B460" s="70" t="s">
        <v>542</v>
      </c>
      <c r="C460" s="71" t="s">
        <v>1878</v>
      </c>
      <c r="D460" s="70" t="s">
        <v>1879</v>
      </c>
      <c r="E460" s="70" t="s">
        <v>1990</v>
      </c>
      <c r="F460" s="68" t="s">
        <v>92</v>
      </c>
      <c r="G460" s="77" t="s">
        <v>1997</v>
      </c>
      <c r="H460" s="37"/>
      <c r="I460" s="79"/>
      <c r="J460" s="39"/>
      <c r="K460" s="39"/>
      <c r="L460" s="80"/>
      <c r="M460" s="9" t="str">
        <f>IF($J460="AC",COUNTIF($J$5:$J460,"AC"),"")</f>
        <v/>
      </c>
      <c r="N460" s="9" t="str">
        <f>IF($J460="FB",COUNTIF($J$5:$J460,"FB"),"")</f>
        <v/>
      </c>
      <c r="O460" s="9" t="str">
        <f>IF($J460="PC",COUNTIF($J$5:$J460,"PC"),"")</f>
        <v/>
      </c>
      <c r="P460" s="28" t="s">
        <v>1998</v>
      </c>
      <c r="Q460" s="28" t="s">
        <v>1999</v>
      </c>
    </row>
    <row r="461" spans="1:17" ht="40.5" customHeight="1" x14ac:dyDescent="0.25">
      <c r="A461" s="69">
        <v>6</v>
      </c>
      <c r="B461" s="70" t="s">
        <v>542</v>
      </c>
      <c r="C461" s="71" t="s">
        <v>1878</v>
      </c>
      <c r="D461" s="70" t="s">
        <v>1879</v>
      </c>
      <c r="E461" s="70" t="s">
        <v>2000</v>
      </c>
      <c r="F461" s="68" t="s">
        <v>92</v>
      </c>
      <c r="G461" s="77" t="s">
        <v>2001</v>
      </c>
      <c r="H461" s="37"/>
      <c r="I461" s="79"/>
      <c r="J461" s="39"/>
      <c r="K461" s="39"/>
      <c r="L461" s="80"/>
      <c r="M461" s="9" t="str">
        <f>IF($J461="AC",COUNTIF($J$5:$J461,"AC"),"")</f>
        <v/>
      </c>
      <c r="N461" s="9" t="str">
        <f>IF($J461="FB",COUNTIF($J$5:$J461,"FB"),"")</f>
        <v/>
      </c>
      <c r="O461" s="9" t="str">
        <f>IF($J461="PC",COUNTIF($J$5:$J461,"PC"),"")</f>
        <v/>
      </c>
      <c r="P461" s="28" t="s">
        <v>2002</v>
      </c>
      <c r="Q461" s="28" t="s">
        <v>2003</v>
      </c>
    </row>
    <row r="462" spans="1:17" ht="40.5" customHeight="1" x14ac:dyDescent="0.25">
      <c r="A462" s="69">
        <v>6</v>
      </c>
      <c r="B462" s="70" t="s">
        <v>542</v>
      </c>
      <c r="C462" s="71" t="s">
        <v>1878</v>
      </c>
      <c r="D462" s="70" t="s">
        <v>1879</v>
      </c>
      <c r="E462" s="70" t="s">
        <v>2000</v>
      </c>
      <c r="F462" s="68" t="s">
        <v>92</v>
      </c>
      <c r="G462" s="77" t="s">
        <v>2004</v>
      </c>
      <c r="H462" s="37"/>
      <c r="I462" s="79"/>
      <c r="J462" s="39"/>
      <c r="K462" s="39"/>
      <c r="L462" s="80"/>
      <c r="M462" s="9" t="str">
        <f>IF($J462="AC",COUNTIF($J$5:$J462,"AC"),"")</f>
        <v/>
      </c>
      <c r="N462" s="9" t="str">
        <f>IF($J462="FB",COUNTIF($J$5:$J462,"FB"),"")</f>
        <v/>
      </c>
      <c r="O462" s="9" t="str">
        <f>IF($J462="PC",COUNTIF($J$5:$J462,"PC"),"")</f>
        <v/>
      </c>
      <c r="P462" s="28" t="s">
        <v>2005</v>
      </c>
      <c r="Q462" s="28" t="s">
        <v>2006</v>
      </c>
    </row>
    <row r="463" spans="1:17" ht="40.5" customHeight="1" x14ac:dyDescent="0.25">
      <c r="A463" s="69">
        <v>6</v>
      </c>
      <c r="B463" s="70" t="s">
        <v>542</v>
      </c>
      <c r="C463" s="71" t="s">
        <v>1878</v>
      </c>
      <c r="D463" s="70" t="s">
        <v>1879</v>
      </c>
      <c r="E463" s="70" t="s">
        <v>2000</v>
      </c>
      <c r="F463" s="68" t="s">
        <v>92</v>
      </c>
      <c r="G463" s="77" t="s">
        <v>2007</v>
      </c>
      <c r="H463" s="37"/>
      <c r="I463" s="79"/>
      <c r="J463" s="39"/>
      <c r="K463" s="39"/>
      <c r="L463" s="80"/>
      <c r="M463" s="9" t="str">
        <f>IF($J463="AC",COUNTIF($J$5:$J463,"AC"),"")</f>
        <v/>
      </c>
      <c r="N463" s="9" t="str">
        <f>IF($J463="FB",COUNTIF($J$5:$J463,"FB"),"")</f>
        <v/>
      </c>
      <c r="O463" s="9" t="str">
        <f>IF($J463="PC",COUNTIF($J$5:$J463,"PC"),"")</f>
        <v/>
      </c>
      <c r="P463" s="28" t="s">
        <v>2008</v>
      </c>
      <c r="Q463" s="28" t="s">
        <v>2009</v>
      </c>
    </row>
    <row r="464" spans="1:17" ht="40.5" customHeight="1" x14ac:dyDescent="0.25">
      <c r="A464" s="69">
        <v>6</v>
      </c>
      <c r="B464" s="70" t="s">
        <v>542</v>
      </c>
      <c r="C464" s="71" t="s">
        <v>1878</v>
      </c>
      <c r="D464" s="70" t="s">
        <v>1879</v>
      </c>
      <c r="E464" s="70" t="s">
        <v>2010</v>
      </c>
      <c r="F464" s="78" t="s">
        <v>69</v>
      </c>
      <c r="G464" s="77" t="s">
        <v>2011</v>
      </c>
      <c r="H464" s="37"/>
      <c r="I464" s="79"/>
      <c r="J464" s="39"/>
      <c r="K464" s="39"/>
      <c r="L464" s="80"/>
      <c r="M464" s="9" t="str">
        <f>IF($J464="AC",COUNTIF($J$5:$J464,"AC"),"")</f>
        <v/>
      </c>
      <c r="N464" s="9" t="str">
        <f>IF($J464="FB",COUNTIF($J$5:$J464,"FB"),"")</f>
        <v/>
      </c>
      <c r="O464" s="9" t="str">
        <f>IF($J464="PC",COUNTIF($J$5:$J464,"PC"),"")</f>
        <v/>
      </c>
      <c r="P464" s="28" t="s">
        <v>2012</v>
      </c>
      <c r="Q464" s="28" t="s">
        <v>2013</v>
      </c>
    </row>
    <row r="465" spans="1:17" ht="40.5" customHeight="1" x14ac:dyDescent="0.25">
      <c r="A465" s="69">
        <v>6</v>
      </c>
      <c r="B465" s="70" t="s">
        <v>542</v>
      </c>
      <c r="C465" s="71" t="s">
        <v>1878</v>
      </c>
      <c r="D465" s="70" t="s">
        <v>1879</v>
      </c>
      <c r="E465" s="70" t="s">
        <v>2010</v>
      </c>
      <c r="F465" s="78" t="s">
        <v>69</v>
      </c>
      <c r="G465" s="77" t="s">
        <v>2014</v>
      </c>
      <c r="H465" s="37"/>
      <c r="I465" s="79"/>
      <c r="J465" s="39"/>
      <c r="K465" s="39"/>
      <c r="L465" s="80"/>
      <c r="M465" s="9" t="str">
        <f>IF($J465="AC",COUNTIF($J$5:$J465,"AC"),"")</f>
        <v/>
      </c>
      <c r="N465" s="9" t="str">
        <f>IF($J465="FB",COUNTIF($J$5:$J465,"FB"),"")</f>
        <v/>
      </c>
      <c r="O465" s="9" t="str">
        <f>IF($J465="PC",COUNTIF($J$5:$J465,"PC"),"")</f>
        <v/>
      </c>
      <c r="P465" s="28" t="s">
        <v>2015</v>
      </c>
      <c r="Q465" s="28" t="s">
        <v>2016</v>
      </c>
    </row>
    <row r="466" spans="1:17" ht="40.5" customHeight="1" x14ac:dyDescent="0.25">
      <c r="A466" s="69">
        <v>6</v>
      </c>
      <c r="B466" s="70" t="s">
        <v>542</v>
      </c>
      <c r="C466" s="71" t="s">
        <v>1878</v>
      </c>
      <c r="D466" s="70" t="s">
        <v>1879</v>
      </c>
      <c r="E466" s="70" t="s">
        <v>2010</v>
      </c>
      <c r="F466" s="78" t="s">
        <v>69</v>
      </c>
      <c r="G466" s="77" t="s">
        <v>2017</v>
      </c>
      <c r="H466" s="37"/>
      <c r="I466" s="79"/>
      <c r="J466" s="39"/>
      <c r="K466" s="39"/>
      <c r="L466" s="80"/>
      <c r="M466" s="9" t="str">
        <f>IF($J466="AC",COUNTIF($J$5:$J466,"AC"),"")</f>
        <v/>
      </c>
      <c r="N466" s="9" t="str">
        <f>IF($J466="FB",COUNTIF($J$5:$J466,"FB"),"")</f>
        <v/>
      </c>
      <c r="O466" s="9" t="str">
        <f>IF($J466="PC",COUNTIF($J$5:$J466,"PC"),"")</f>
        <v/>
      </c>
      <c r="P466" s="28" t="s">
        <v>2018</v>
      </c>
      <c r="Q466" s="28" t="s">
        <v>2019</v>
      </c>
    </row>
    <row r="467" spans="1:17" ht="40.5" customHeight="1" x14ac:dyDescent="0.25">
      <c r="A467" s="69">
        <v>6</v>
      </c>
      <c r="B467" s="70" t="s">
        <v>542</v>
      </c>
      <c r="C467" s="71" t="s">
        <v>1878</v>
      </c>
      <c r="D467" s="70" t="s">
        <v>1879</v>
      </c>
      <c r="E467" s="70" t="s">
        <v>2010</v>
      </c>
      <c r="F467" s="78" t="s">
        <v>69</v>
      </c>
      <c r="G467" s="77" t="s">
        <v>2020</v>
      </c>
      <c r="H467" s="37"/>
      <c r="I467" s="79"/>
      <c r="J467" s="39"/>
      <c r="K467" s="39"/>
      <c r="L467" s="80"/>
      <c r="M467" s="9" t="str">
        <f>IF($J467="AC",COUNTIF($J$5:$J467,"AC"),"")</f>
        <v/>
      </c>
      <c r="N467" s="9" t="str">
        <f>IF($J467="FB",COUNTIF($J$5:$J467,"FB"),"")</f>
        <v/>
      </c>
      <c r="O467" s="9" t="str">
        <f>IF($J467="PC",COUNTIF($J$5:$J467,"PC"),"")</f>
        <v/>
      </c>
      <c r="P467" s="28" t="s">
        <v>2021</v>
      </c>
      <c r="Q467" s="28" t="s">
        <v>2022</v>
      </c>
    </row>
    <row r="468" spans="1:17" ht="40.5" customHeight="1" x14ac:dyDescent="0.25">
      <c r="A468" s="69">
        <v>6</v>
      </c>
      <c r="B468" s="70" t="s">
        <v>542</v>
      </c>
      <c r="C468" s="71" t="s">
        <v>2023</v>
      </c>
      <c r="D468" s="70" t="s">
        <v>2024</v>
      </c>
      <c r="E468" s="70" t="s">
        <v>2025</v>
      </c>
      <c r="F468" s="78" t="s">
        <v>69</v>
      </c>
      <c r="G468" s="77" t="s">
        <v>2026</v>
      </c>
      <c r="H468" s="37"/>
      <c r="I468" s="79" t="s">
        <v>696</v>
      </c>
      <c r="J468" s="39"/>
      <c r="K468" s="39"/>
      <c r="L468" s="80"/>
      <c r="M468" s="9" t="str">
        <f>IF($J468="AC",COUNTIF($J$5:$J468,"AC"),"")</f>
        <v/>
      </c>
      <c r="N468" s="9" t="str">
        <f>IF($J468="FB",COUNTIF($J$5:$J468,"FB"),"")</f>
        <v/>
      </c>
      <c r="O468" s="9" t="str">
        <f>IF($J468="PC",COUNTIF($J$5:$J468,"PC"),"")</f>
        <v/>
      </c>
      <c r="P468" s="28" t="s">
        <v>2027</v>
      </c>
      <c r="Q468" s="28" t="s">
        <v>2028</v>
      </c>
    </row>
    <row r="469" spans="1:17" ht="40.5" customHeight="1" x14ac:dyDescent="0.25">
      <c r="A469" s="69">
        <v>6</v>
      </c>
      <c r="B469" s="70" t="s">
        <v>542</v>
      </c>
      <c r="C469" s="71" t="s">
        <v>2023</v>
      </c>
      <c r="D469" s="70" t="s">
        <v>2024</v>
      </c>
      <c r="E469" s="70" t="s">
        <v>2029</v>
      </c>
      <c r="F469" s="78" t="s">
        <v>69</v>
      </c>
      <c r="G469" s="77" t="s">
        <v>2030</v>
      </c>
      <c r="H469" s="37"/>
      <c r="I469" s="79" t="s">
        <v>696</v>
      </c>
      <c r="J469" s="39"/>
      <c r="K469" s="39"/>
      <c r="L469" s="80"/>
      <c r="M469" s="9" t="str">
        <f>IF($J469="AC",COUNTIF($J$5:$J469,"AC"),"")</f>
        <v/>
      </c>
      <c r="N469" s="9" t="str">
        <f>IF($J469="FB",COUNTIF($J$5:$J469,"FB"),"")</f>
        <v/>
      </c>
      <c r="O469" s="9" t="str">
        <f>IF($J469="PC",COUNTIF($J$5:$J469,"PC"),"")</f>
        <v/>
      </c>
      <c r="P469" s="28" t="s">
        <v>2031</v>
      </c>
      <c r="Q469" s="28" t="s">
        <v>2032</v>
      </c>
    </row>
    <row r="470" spans="1:17" ht="40.5" customHeight="1" x14ac:dyDescent="0.25">
      <c r="A470" s="69">
        <v>6</v>
      </c>
      <c r="B470" s="70" t="s">
        <v>542</v>
      </c>
      <c r="C470" s="71" t="s">
        <v>2023</v>
      </c>
      <c r="D470" s="70" t="s">
        <v>2024</v>
      </c>
      <c r="E470" s="70" t="s">
        <v>2033</v>
      </c>
      <c r="F470" s="68" t="s">
        <v>92</v>
      </c>
      <c r="G470" s="77" t="s">
        <v>2034</v>
      </c>
      <c r="H470" s="37"/>
      <c r="I470" s="79" t="s">
        <v>696</v>
      </c>
      <c r="J470" s="39"/>
      <c r="K470" s="39"/>
      <c r="L470" s="80"/>
      <c r="M470" s="9" t="str">
        <f>IF($J470="AC",COUNTIF($J$5:$J470,"AC"),"")</f>
        <v/>
      </c>
      <c r="N470" s="9" t="str">
        <f>IF($J470="FB",COUNTIF($J$5:$J470,"FB"),"")</f>
        <v/>
      </c>
      <c r="O470" s="9" t="str">
        <f>IF($J470="PC",COUNTIF($J$5:$J470,"PC"),"")</f>
        <v/>
      </c>
      <c r="P470" s="28" t="s">
        <v>2035</v>
      </c>
      <c r="Q470" s="28" t="s">
        <v>2036</v>
      </c>
    </row>
    <row r="471" spans="1:17" ht="40.5" customHeight="1" x14ac:dyDescent="0.25">
      <c r="A471" s="69">
        <v>6</v>
      </c>
      <c r="B471" s="70" t="s">
        <v>542</v>
      </c>
      <c r="C471" s="71" t="s">
        <v>2023</v>
      </c>
      <c r="D471" s="70" t="s">
        <v>2024</v>
      </c>
      <c r="E471" s="70" t="s">
        <v>2037</v>
      </c>
      <c r="F471" s="68" t="s">
        <v>92</v>
      </c>
      <c r="G471" s="77" t="s">
        <v>2038</v>
      </c>
      <c r="H471" s="37"/>
      <c r="I471" s="79" t="s">
        <v>696</v>
      </c>
      <c r="J471" s="39"/>
      <c r="K471" s="39"/>
      <c r="L471" s="80"/>
      <c r="M471" s="9" t="str">
        <f>IF($J471="AC",COUNTIF($J$5:$J471,"AC"),"")</f>
        <v/>
      </c>
      <c r="N471" s="9" t="str">
        <f>IF($J471="FB",COUNTIF($J$5:$J471,"FB"),"")</f>
        <v/>
      </c>
      <c r="O471" s="9" t="str">
        <f>IF($J471="PC",COUNTIF($J$5:$J471,"PC"),"")</f>
        <v/>
      </c>
      <c r="P471" s="28" t="s">
        <v>2039</v>
      </c>
      <c r="Q471" s="28" t="s">
        <v>2040</v>
      </c>
    </row>
    <row r="472" spans="1:17" s="27" customFormat="1" ht="94.5" customHeight="1" x14ac:dyDescent="0.2">
      <c r="A472" s="69">
        <v>6</v>
      </c>
      <c r="B472" s="70" t="s">
        <v>542</v>
      </c>
      <c r="C472" s="71" t="s">
        <v>2041</v>
      </c>
      <c r="D472" s="70" t="s">
        <v>2042</v>
      </c>
      <c r="E472" s="70" t="s">
        <v>2043</v>
      </c>
      <c r="F472" s="66" t="s">
        <v>53</v>
      </c>
      <c r="G472" s="72" t="s">
        <v>2044</v>
      </c>
      <c r="H472" s="73"/>
      <c r="I472" s="24" t="s">
        <v>2045</v>
      </c>
      <c r="J472" s="25"/>
      <c r="K472" s="25"/>
      <c r="L472" s="26"/>
      <c r="M472" s="27" t="str">
        <f>IF($J472="AC",COUNTIF($J$5:$J472,"AC"),"")</f>
        <v/>
      </c>
      <c r="N472" s="27" t="str">
        <f>IF($J472="FB",COUNTIF($J$5:$J472,"FB"),"")</f>
        <v/>
      </c>
      <c r="O472" s="27" t="str">
        <f>IF($J472="PC",COUNTIF($J$5:$J472,"PC"),"")</f>
        <v/>
      </c>
      <c r="P472" s="28" t="s">
        <v>2046</v>
      </c>
      <c r="Q472" s="28" t="s">
        <v>2047</v>
      </c>
    </row>
    <row r="473" spans="1:17" s="27" customFormat="1" ht="94.5" customHeight="1" x14ac:dyDescent="0.2">
      <c r="A473" s="69">
        <v>6</v>
      </c>
      <c r="B473" s="70" t="s">
        <v>542</v>
      </c>
      <c r="C473" s="71" t="s">
        <v>2041</v>
      </c>
      <c r="D473" s="70" t="s">
        <v>2042</v>
      </c>
      <c r="E473" s="70" t="s">
        <v>2048</v>
      </c>
      <c r="F473" s="66" t="s">
        <v>53</v>
      </c>
      <c r="G473" s="72" t="s">
        <v>2049</v>
      </c>
      <c r="H473" s="73"/>
      <c r="I473" s="24" t="s">
        <v>2050</v>
      </c>
      <c r="J473" s="25"/>
      <c r="K473" s="25"/>
      <c r="L473" s="26"/>
      <c r="M473" s="27" t="str">
        <f>IF($J473="AC",COUNTIF($J$5:$J473,"AC"),"")</f>
        <v/>
      </c>
      <c r="N473" s="27" t="str">
        <f>IF($J473="FB",COUNTIF($J$5:$J473,"FB"),"")</f>
        <v/>
      </c>
      <c r="O473" s="27" t="str">
        <f>IF($J473="PC",COUNTIF($J$5:$J473,"PC"),"")</f>
        <v/>
      </c>
      <c r="P473" s="28" t="s">
        <v>2051</v>
      </c>
      <c r="Q473" s="28" t="s">
        <v>2052</v>
      </c>
    </row>
    <row r="474" spans="1:17" ht="40.5" customHeight="1" x14ac:dyDescent="0.25">
      <c r="A474" s="69">
        <v>6</v>
      </c>
      <c r="B474" s="70" t="s">
        <v>542</v>
      </c>
      <c r="C474" s="71" t="s">
        <v>2041</v>
      </c>
      <c r="D474" s="70" t="s">
        <v>2042</v>
      </c>
      <c r="E474" s="70" t="s">
        <v>2053</v>
      </c>
      <c r="F474" s="78" t="s">
        <v>69</v>
      </c>
      <c r="G474" s="77" t="s">
        <v>2054</v>
      </c>
      <c r="H474" s="37"/>
      <c r="I474" s="79" t="s">
        <v>696</v>
      </c>
      <c r="J474" s="39"/>
      <c r="K474" s="39"/>
      <c r="L474" s="80"/>
      <c r="M474" s="9" t="str">
        <f>IF($J474="AC",COUNTIF($J$5:$J474,"AC"),"")</f>
        <v/>
      </c>
      <c r="N474" s="9" t="str">
        <f>IF($J474="FB",COUNTIF($J$5:$J474,"FB"),"")</f>
        <v/>
      </c>
      <c r="O474" s="9" t="str">
        <f>IF($J474="PC",COUNTIF($J$5:$J474,"PC"),"")</f>
        <v/>
      </c>
      <c r="P474" s="28" t="s">
        <v>2055</v>
      </c>
      <c r="Q474" s="28" t="s">
        <v>2056</v>
      </c>
    </row>
    <row r="475" spans="1:17" ht="40.5" customHeight="1" x14ac:dyDescent="0.25">
      <c r="A475" s="69">
        <v>6</v>
      </c>
      <c r="B475" s="70" t="s">
        <v>542</v>
      </c>
      <c r="C475" s="71" t="s">
        <v>2041</v>
      </c>
      <c r="D475" s="70" t="s">
        <v>2042</v>
      </c>
      <c r="E475" s="70" t="s">
        <v>2057</v>
      </c>
      <c r="F475" s="68" t="s">
        <v>92</v>
      </c>
      <c r="G475" s="77" t="s">
        <v>2058</v>
      </c>
      <c r="H475" s="37"/>
      <c r="I475" s="79" t="s">
        <v>696</v>
      </c>
      <c r="J475" s="39"/>
      <c r="K475" s="39"/>
      <c r="L475" s="80"/>
      <c r="M475" s="9" t="str">
        <f>IF($J475="AC",COUNTIF($J$5:$J475,"AC"),"")</f>
        <v/>
      </c>
      <c r="N475" s="9" t="str">
        <f>IF($J475="FB",COUNTIF($J$5:$J475,"FB"),"")</f>
        <v/>
      </c>
      <c r="O475" s="9" t="str">
        <f>IF($J475="PC",COUNTIF($J$5:$J475,"PC"),"")</f>
        <v/>
      </c>
      <c r="P475" s="28" t="s">
        <v>2059</v>
      </c>
      <c r="Q475" s="28" t="s">
        <v>2060</v>
      </c>
    </row>
    <row r="476" spans="1:17" ht="40.5" customHeight="1" x14ac:dyDescent="0.25">
      <c r="A476" s="69">
        <v>6</v>
      </c>
      <c r="B476" s="70" t="s">
        <v>542</v>
      </c>
      <c r="C476" s="71" t="s">
        <v>2041</v>
      </c>
      <c r="D476" s="70" t="s">
        <v>2042</v>
      </c>
      <c r="E476" s="70" t="s">
        <v>2061</v>
      </c>
      <c r="F476" s="66" t="s">
        <v>53</v>
      </c>
      <c r="G476" s="77" t="s">
        <v>2062</v>
      </c>
      <c r="H476" s="37"/>
      <c r="I476" s="79"/>
      <c r="J476" s="39"/>
      <c r="K476" s="39"/>
      <c r="L476" s="80"/>
      <c r="M476" s="9" t="str">
        <f>IF($J476="AC",COUNTIF($J$5:$J476,"AC"),"")</f>
        <v/>
      </c>
      <c r="N476" s="9" t="str">
        <f>IF($J476="FB",COUNTIF($J$5:$J476,"FB"),"")</f>
        <v/>
      </c>
      <c r="O476" s="9" t="str">
        <f>IF($J476="PC",COUNTIF($J$5:$J476,"PC"),"")</f>
        <v/>
      </c>
      <c r="P476" s="28" t="s">
        <v>2063</v>
      </c>
      <c r="Q476" s="28" t="s">
        <v>2064</v>
      </c>
    </row>
    <row r="477" spans="1:17" ht="40.5" customHeight="1" x14ac:dyDescent="0.25">
      <c r="A477" s="69">
        <v>6</v>
      </c>
      <c r="B477" s="70" t="s">
        <v>542</v>
      </c>
      <c r="C477" s="71" t="s">
        <v>2041</v>
      </c>
      <c r="D477" s="70" t="s">
        <v>2042</v>
      </c>
      <c r="E477" s="70" t="s">
        <v>2061</v>
      </c>
      <c r="F477" s="66" t="s">
        <v>53</v>
      </c>
      <c r="G477" s="77" t="s">
        <v>2065</v>
      </c>
      <c r="H477" s="37"/>
      <c r="I477" s="79"/>
      <c r="J477" s="39"/>
      <c r="K477" s="39"/>
      <c r="L477" s="80"/>
      <c r="M477" s="9" t="str">
        <f>IF($J477="AC",COUNTIF($J$5:$J477,"AC"),"")</f>
        <v/>
      </c>
      <c r="N477" s="9" t="str">
        <f>IF($J477="FB",COUNTIF($J$5:$J477,"FB"),"")</f>
        <v/>
      </c>
      <c r="O477" s="9" t="str">
        <f>IF($J477="PC",COUNTIF($J$5:$J477,"PC"),"")</f>
        <v/>
      </c>
      <c r="P477" s="28" t="s">
        <v>2066</v>
      </c>
      <c r="Q477" s="28" t="s">
        <v>2067</v>
      </c>
    </row>
    <row r="478" spans="1:17" ht="40.5" customHeight="1" x14ac:dyDescent="0.25">
      <c r="A478" s="69">
        <v>6</v>
      </c>
      <c r="B478" s="70" t="s">
        <v>542</v>
      </c>
      <c r="C478" s="71" t="s">
        <v>2041</v>
      </c>
      <c r="D478" s="70" t="s">
        <v>2042</v>
      </c>
      <c r="E478" s="70" t="s">
        <v>2061</v>
      </c>
      <c r="F478" s="66" t="s">
        <v>53</v>
      </c>
      <c r="G478" s="77" t="s">
        <v>2068</v>
      </c>
      <c r="H478" s="37"/>
      <c r="I478" s="79"/>
      <c r="J478" s="39"/>
      <c r="K478" s="39"/>
      <c r="L478" s="80"/>
      <c r="M478" s="9" t="str">
        <f>IF($J478="AC",COUNTIF($J$5:$J478,"AC"),"")</f>
        <v/>
      </c>
      <c r="N478" s="9" t="str">
        <f>IF($J478="FB",COUNTIF($J$5:$J478,"FB"),"")</f>
        <v/>
      </c>
      <c r="O478" s="9" t="str">
        <f>IF($J478="PC",COUNTIF($J$5:$J478,"PC"),"")</f>
        <v/>
      </c>
      <c r="P478" s="28" t="s">
        <v>2069</v>
      </c>
      <c r="Q478" s="28" t="s">
        <v>2070</v>
      </c>
    </row>
    <row r="479" spans="1:17" ht="40.5" customHeight="1" x14ac:dyDescent="0.25">
      <c r="A479" s="69">
        <v>6</v>
      </c>
      <c r="B479" s="70" t="s">
        <v>542</v>
      </c>
      <c r="C479" s="71" t="s">
        <v>2041</v>
      </c>
      <c r="D479" s="70" t="s">
        <v>2042</v>
      </c>
      <c r="E479" s="70" t="s">
        <v>2061</v>
      </c>
      <c r="F479" s="66" t="s">
        <v>53</v>
      </c>
      <c r="G479" s="77" t="s">
        <v>2071</v>
      </c>
      <c r="H479" s="37"/>
      <c r="I479" s="79"/>
      <c r="J479" s="39"/>
      <c r="K479" s="39"/>
      <c r="L479" s="80"/>
      <c r="M479" s="9" t="str">
        <f>IF($J479="AC",COUNTIF($J$5:$J479,"AC"),"")</f>
        <v/>
      </c>
      <c r="N479" s="9" t="str">
        <f>IF($J479="FB",COUNTIF($J$5:$J479,"FB"),"")</f>
        <v/>
      </c>
      <c r="O479" s="9" t="str">
        <f>IF($J479="PC",COUNTIF($J$5:$J479,"PC"),"")</f>
        <v/>
      </c>
      <c r="P479" s="28" t="s">
        <v>2072</v>
      </c>
      <c r="Q479" s="28" t="s">
        <v>2073</v>
      </c>
    </row>
    <row r="480" spans="1:17" ht="40.5" customHeight="1" x14ac:dyDescent="0.25">
      <c r="A480" s="69">
        <v>6</v>
      </c>
      <c r="B480" s="70" t="s">
        <v>542</v>
      </c>
      <c r="C480" s="71" t="s">
        <v>2041</v>
      </c>
      <c r="D480" s="70" t="s">
        <v>2042</v>
      </c>
      <c r="E480" s="70" t="s">
        <v>2061</v>
      </c>
      <c r="F480" s="66" t="s">
        <v>53</v>
      </c>
      <c r="G480" s="77" t="s">
        <v>2074</v>
      </c>
      <c r="H480" s="37"/>
      <c r="I480" s="79"/>
      <c r="J480" s="39"/>
      <c r="K480" s="39"/>
      <c r="L480" s="80"/>
      <c r="M480" s="9" t="str">
        <f>IF($J480="AC",COUNTIF($J$5:$J480,"AC"),"")</f>
        <v/>
      </c>
      <c r="N480" s="9" t="str">
        <f>IF($J480="FB",COUNTIF($J$5:$J480,"FB"),"")</f>
        <v/>
      </c>
      <c r="O480" s="9" t="str">
        <f>IF($J480="PC",COUNTIF($J$5:$J480,"PC"),"")</f>
        <v/>
      </c>
      <c r="P480" s="28" t="s">
        <v>2075</v>
      </c>
      <c r="Q480" s="28" t="s">
        <v>2076</v>
      </c>
    </row>
    <row r="481" spans="1:17" ht="40.5" customHeight="1" x14ac:dyDescent="0.25">
      <c r="A481" s="69">
        <v>6</v>
      </c>
      <c r="B481" s="70" t="s">
        <v>542</v>
      </c>
      <c r="C481" s="71" t="s">
        <v>2041</v>
      </c>
      <c r="D481" s="70" t="s">
        <v>2042</v>
      </c>
      <c r="E481" s="70" t="s">
        <v>2077</v>
      </c>
      <c r="F481" s="78" t="s">
        <v>69</v>
      </c>
      <c r="G481" s="77" t="s">
        <v>2078</v>
      </c>
      <c r="H481" s="37"/>
      <c r="I481" s="79"/>
      <c r="J481" s="39"/>
      <c r="K481" s="39"/>
      <c r="L481" s="80"/>
      <c r="M481" s="9" t="str">
        <f>IF($J481="AC",COUNTIF($J$5:$J481,"AC"),"")</f>
        <v/>
      </c>
      <c r="N481" s="9" t="str">
        <f>IF($J481="FB",COUNTIF($J$5:$J481,"FB"),"")</f>
        <v/>
      </c>
      <c r="O481" s="9" t="str">
        <f>IF($J481="PC",COUNTIF($J$5:$J481,"PC"),"")</f>
        <v/>
      </c>
      <c r="P481" s="28" t="s">
        <v>2079</v>
      </c>
      <c r="Q481" s="28" t="s">
        <v>2080</v>
      </c>
    </row>
    <row r="482" spans="1:17" ht="40.5" customHeight="1" x14ac:dyDescent="0.25">
      <c r="A482" s="69">
        <v>6</v>
      </c>
      <c r="B482" s="70" t="s">
        <v>542</v>
      </c>
      <c r="C482" s="71" t="s">
        <v>2041</v>
      </c>
      <c r="D482" s="70" t="s">
        <v>2042</v>
      </c>
      <c r="E482" s="70" t="s">
        <v>2077</v>
      </c>
      <c r="F482" s="68" t="s">
        <v>92</v>
      </c>
      <c r="G482" s="77" t="s">
        <v>2081</v>
      </c>
      <c r="H482" s="37"/>
      <c r="I482" s="79"/>
      <c r="J482" s="39"/>
      <c r="K482" s="39"/>
      <c r="L482" s="80"/>
      <c r="M482" s="9" t="str">
        <f>IF($J482="AC",COUNTIF($J$5:$J482,"AC"),"")</f>
        <v/>
      </c>
      <c r="N482" s="9" t="str">
        <f>IF($J482="FB",COUNTIF($J$5:$J482,"FB"),"")</f>
        <v/>
      </c>
      <c r="O482" s="9" t="str">
        <f>IF($J482="PC",COUNTIF($J$5:$J482,"PC"),"")</f>
        <v/>
      </c>
      <c r="P482" s="28" t="s">
        <v>2082</v>
      </c>
      <c r="Q482" s="28" t="s">
        <v>2083</v>
      </c>
    </row>
    <row r="483" spans="1:17" ht="40.5" customHeight="1" x14ac:dyDescent="0.25">
      <c r="A483" s="69">
        <v>6</v>
      </c>
      <c r="B483" s="70" t="s">
        <v>542</v>
      </c>
      <c r="C483" s="71" t="s">
        <v>2041</v>
      </c>
      <c r="D483" s="70" t="s">
        <v>2042</v>
      </c>
      <c r="E483" s="70" t="s">
        <v>2077</v>
      </c>
      <c r="F483" s="68" t="s">
        <v>92</v>
      </c>
      <c r="G483" s="77" t="s">
        <v>2084</v>
      </c>
      <c r="H483" s="37"/>
      <c r="I483" s="79"/>
      <c r="J483" s="39"/>
      <c r="K483" s="39"/>
      <c r="L483" s="80"/>
      <c r="M483" s="9" t="str">
        <f>IF($J483="AC",COUNTIF($J$5:$J483,"AC"),"")</f>
        <v/>
      </c>
      <c r="N483" s="9" t="str">
        <f>IF($J483="FB",COUNTIF($J$5:$J483,"FB"),"")</f>
        <v/>
      </c>
      <c r="O483" s="9" t="str">
        <f>IF($J483="PC",COUNTIF($J$5:$J483,"PC"),"")</f>
        <v/>
      </c>
      <c r="P483" s="28" t="s">
        <v>2085</v>
      </c>
      <c r="Q483" s="28" t="s">
        <v>2086</v>
      </c>
    </row>
    <row r="484" spans="1:17" ht="40.5" customHeight="1" x14ac:dyDescent="0.25">
      <c r="A484" s="69">
        <v>6</v>
      </c>
      <c r="B484" s="70" t="s">
        <v>542</v>
      </c>
      <c r="C484" s="71" t="s">
        <v>2041</v>
      </c>
      <c r="D484" s="70" t="s">
        <v>2042</v>
      </c>
      <c r="E484" s="70" t="s">
        <v>2077</v>
      </c>
      <c r="F484" s="68" t="s">
        <v>92</v>
      </c>
      <c r="G484" s="77" t="s">
        <v>2087</v>
      </c>
      <c r="H484" s="37"/>
      <c r="I484" s="79"/>
      <c r="J484" s="39"/>
      <c r="K484" s="39"/>
      <c r="L484" s="80"/>
      <c r="M484" s="9" t="str">
        <f>IF($J484="AC",COUNTIF($J$5:$J484,"AC"),"")</f>
        <v/>
      </c>
      <c r="N484" s="9" t="str">
        <f>IF($J484="FB",COUNTIF($J$5:$J484,"FB"),"")</f>
        <v/>
      </c>
      <c r="O484" s="9" t="str">
        <f>IF($J484="PC",COUNTIF($J$5:$J484,"PC"),"")</f>
        <v/>
      </c>
      <c r="P484" s="28" t="s">
        <v>2088</v>
      </c>
      <c r="Q484" s="28" t="s">
        <v>2089</v>
      </c>
    </row>
    <row r="485" spans="1:17" ht="40.5" customHeight="1" x14ac:dyDescent="0.25">
      <c r="A485" s="69">
        <v>6</v>
      </c>
      <c r="B485" s="70" t="s">
        <v>542</v>
      </c>
      <c r="C485" s="71" t="s">
        <v>2041</v>
      </c>
      <c r="D485" s="70" t="s">
        <v>2042</v>
      </c>
      <c r="E485" s="70" t="s">
        <v>2077</v>
      </c>
      <c r="F485" s="68" t="s">
        <v>92</v>
      </c>
      <c r="G485" s="77" t="s">
        <v>2090</v>
      </c>
      <c r="H485" s="37"/>
      <c r="I485" s="79"/>
      <c r="J485" s="39"/>
      <c r="K485" s="39"/>
      <c r="L485" s="80"/>
      <c r="M485" s="9" t="str">
        <f>IF($J485="AC",COUNTIF($J$5:$J485,"AC"),"")</f>
        <v/>
      </c>
      <c r="N485" s="9" t="str">
        <f>IF($J485="FB",COUNTIF($J$5:$J485,"FB"),"")</f>
        <v/>
      </c>
      <c r="O485" s="9" t="str">
        <f>IF($J485="PC",COUNTIF($J$5:$J485,"PC"),"")</f>
        <v/>
      </c>
      <c r="P485" s="28" t="s">
        <v>2091</v>
      </c>
      <c r="Q485" s="28" t="s">
        <v>2092</v>
      </c>
    </row>
    <row r="486" spans="1:17" ht="40.5" customHeight="1" x14ac:dyDescent="0.25">
      <c r="A486" s="69">
        <v>6</v>
      </c>
      <c r="B486" s="70" t="s">
        <v>542</v>
      </c>
      <c r="C486" s="71" t="s">
        <v>2041</v>
      </c>
      <c r="D486" s="70" t="s">
        <v>2042</v>
      </c>
      <c r="E486" s="70" t="s">
        <v>2093</v>
      </c>
      <c r="F486" s="78" t="s">
        <v>69</v>
      </c>
      <c r="G486" s="77" t="s">
        <v>2094</v>
      </c>
      <c r="H486" s="37"/>
      <c r="I486" s="79"/>
      <c r="J486" s="39"/>
      <c r="K486" s="39"/>
      <c r="L486" s="80"/>
      <c r="M486" s="9" t="str">
        <f>IF($J486="AC",COUNTIF($J$5:$J486,"AC"),"")</f>
        <v/>
      </c>
      <c r="N486" s="9" t="str">
        <f>IF($J486="FB",COUNTIF($J$5:$J486,"FB"),"")</f>
        <v/>
      </c>
      <c r="O486" s="9" t="str">
        <f>IF($J486="PC",COUNTIF($J$5:$J486,"PC"),"")</f>
        <v/>
      </c>
      <c r="P486" s="28" t="s">
        <v>2095</v>
      </c>
      <c r="Q486" s="28" t="s">
        <v>2096</v>
      </c>
    </row>
    <row r="487" spans="1:17" ht="40.5" customHeight="1" x14ac:dyDescent="0.25">
      <c r="A487" s="69">
        <v>6</v>
      </c>
      <c r="B487" s="70" t="s">
        <v>542</v>
      </c>
      <c r="C487" s="71" t="s">
        <v>2041</v>
      </c>
      <c r="D487" s="70" t="s">
        <v>2042</v>
      </c>
      <c r="E487" s="70" t="s">
        <v>2093</v>
      </c>
      <c r="F487" s="68" t="s">
        <v>92</v>
      </c>
      <c r="G487" s="77" t="s">
        <v>2097</v>
      </c>
      <c r="H487" s="37"/>
      <c r="I487" s="79"/>
      <c r="J487" s="39"/>
      <c r="K487" s="39"/>
      <c r="L487" s="80"/>
      <c r="M487" s="9" t="str">
        <f>IF($J487="AC",COUNTIF($J$5:$J487,"AC"),"")</f>
        <v/>
      </c>
      <c r="N487" s="9" t="str">
        <f>IF($J487="FB",COUNTIF($J$5:$J487,"FB"),"")</f>
        <v/>
      </c>
      <c r="O487" s="9" t="str">
        <f>IF($J487="PC",COUNTIF($J$5:$J487,"PC"),"")</f>
        <v/>
      </c>
      <c r="P487" s="28" t="s">
        <v>2098</v>
      </c>
      <c r="Q487" s="28" t="s">
        <v>2099</v>
      </c>
    </row>
    <row r="488" spans="1:17" ht="40.5" customHeight="1" x14ac:dyDescent="0.25">
      <c r="A488" s="69">
        <v>6</v>
      </c>
      <c r="B488" s="70" t="s">
        <v>542</v>
      </c>
      <c r="C488" s="71" t="s">
        <v>2041</v>
      </c>
      <c r="D488" s="70" t="s">
        <v>2042</v>
      </c>
      <c r="E488" s="70" t="s">
        <v>2093</v>
      </c>
      <c r="F488" s="78" t="s">
        <v>69</v>
      </c>
      <c r="G488" s="77" t="s">
        <v>2100</v>
      </c>
      <c r="H488" s="37"/>
      <c r="I488" s="79"/>
      <c r="J488" s="39"/>
      <c r="K488" s="39"/>
      <c r="L488" s="80"/>
      <c r="M488" s="9" t="str">
        <f>IF($J488="AC",COUNTIF($J$5:$J488,"AC"),"")</f>
        <v/>
      </c>
      <c r="N488" s="9" t="str">
        <f>IF($J488="FB",COUNTIF($J$5:$J488,"FB"),"")</f>
        <v/>
      </c>
      <c r="O488" s="9" t="str">
        <f>IF($J488="PC",COUNTIF($J$5:$J488,"PC"),"")</f>
        <v/>
      </c>
      <c r="P488" s="28" t="s">
        <v>2101</v>
      </c>
      <c r="Q488" s="28" t="s">
        <v>2102</v>
      </c>
    </row>
    <row r="489" spans="1:17" ht="40.5" customHeight="1" x14ac:dyDescent="0.25">
      <c r="A489" s="69">
        <v>6</v>
      </c>
      <c r="B489" s="70" t="s">
        <v>542</v>
      </c>
      <c r="C489" s="71" t="s">
        <v>2041</v>
      </c>
      <c r="D489" s="70" t="s">
        <v>2042</v>
      </c>
      <c r="E489" s="70" t="s">
        <v>2093</v>
      </c>
      <c r="F489" s="78" t="s">
        <v>69</v>
      </c>
      <c r="G489" s="77" t="s">
        <v>2103</v>
      </c>
      <c r="H489" s="37"/>
      <c r="I489" s="79"/>
      <c r="J489" s="39"/>
      <c r="K489" s="39"/>
      <c r="L489" s="80"/>
      <c r="M489" s="9" t="str">
        <f>IF($J489="AC",COUNTIF($J$5:$J489,"AC"),"")</f>
        <v/>
      </c>
      <c r="N489" s="9" t="str">
        <f>IF($J489="FB",COUNTIF($J$5:$J489,"FB"),"")</f>
        <v/>
      </c>
      <c r="O489" s="9" t="str">
        <f>IF($J489="PC",COUNTIF($J$5:$J489,"PC"),"")</f>
        <v/>
      </c>
      <c r="P489" s="28" t="s">
        <v>2104</v>
      </c>
      <c r="Q489" s="28" t="s">
        <v>2105</v>
      </c>
    </row>
    <row r="490" spans="1:17" ht="40.5" customHeight="1" x14ac:dyDescent="0.25">
      <c r="A490" s="69">
        <v>6</v>
      </c>
      <c r="B490" s="70" t="s">
        <v>542</v>
      </c>
      <c r="C490" s="71" t="s">
        <v>2041</v>
      </c>
      <c r="D490" s="70" t="s">
        <v>2042</v>
      </c>
      <c r="E490" s="70" t="s">
        <v>2093</v>
      </c>
      <c r="F490" s="68" t="s">
        <v>92</v>
      </c>
      <c r="G490" s="77" t="s">
        <v>2106</v>
      </c>
      <c r="H490" s="37"/>
      <c r="I490" s="79"/>
      <c r="J490" s="39"/>
      <c r="K490" s="39"/>
      <c r="L490" s="80"/>
      <c r="M490" s="9" t="str">
        <f>IF($J490="AC",COUNTIF($J$5:$J490,"AC"),"")</f>
        <v/>
      </c>
      <c r="N490" s="9" t="str">
        <f>IF($J490="FB",COUNTIF($J$5:$J490,"FB"),"")</f>
        <v/>
      </c>
      <c r="O490" s="9" t="str">
        <f>IF($J490="PC",COUNTIF($J$5:$J490,"PC"),"")</f>
        <v/>
      </c>
      <c r="P490" s="28" t="s">
        <v>2107</v>
      </c>
      <c r="Q490" s="28" t="s">
        <v>2108</v>
      </c>
    </row>
    <row r="491" spans="1:17" ht="40.5" customHeight="1" x14ac:dyDescent="0.25">
      <c r="A491" s="69">
        <v>6</v>
      </c>
      <c r="B491" s="70" t="s">
        <v>542</v>
      </c>
      <c r="C491" s="71" t="s">
        <v>2041</v>
      </c>
      <c r="D491" s="70" t="s">
        <v>2042</v>
      </c>
      <c r="E491" s="70" t="s">
        <v>2109</v>
      </c>
      <c r="F491" s="66" t="s">
        <v>53</v>
      </c>
      <c r="G491" s="77" t="s">
        <v>2110</v>
      </c>
      <c r="H491" s="37"/>
      <c r="I491" s="79"/>
      <c r="J491" s="39"/>
      <c r="K491" s="39"/>
      <c r="L491" s="80"/>
      <c r="M491" s="9" t="str">
        <f>IF($J491="AC",COUNTIF($J$5:$J491,"AC"),"")</f>
        <v/>
      </c>
      <c r="N491" s="9" t="str">
        <f>IF($J491="FB",COUNTIF($J$5:$J491,"FB"),"")</f>
        <v/>
      </c>
      <c r="O491" s="9" t="str">
        <f>IF($J491="PC",COUNTIF($J$5:$J491,"PC"),"")</f>
        <v/>
      </c>
      <c r="P491" s="28" t="s">
        <v>2111</v>
      </c>
      <c r="Q491" s="28" t="s">
        <v>2112</v>
      </c>
    </row>
    <row r="492" spans="1:17" ht="40.5" customHeight="1" x14ac:dyDescent="0.25">
      <c r="A492" s="69">
        <v>6</v>
      </c>
      <c r="B492" s="70" t="s">
        <v>542</v>
      </c>
      <c r="C492" s="71" t="s">
        <v>2041</v>
      </c>
      <c r="D492" s="70" t="s">
        <v>2042</v>
      </c>
      <c r="E492" s="70" t="s">
        <v>2109</v>
      </c>
      <c r="F492" s="66" t="s">
        <v>53</v>
      </c>
      <c r="G492" s="77" t="s">
        <v>2113</v>
      </c>
      <c r="H492" s="37"/>
      <c r="I492" s="79"/>
      <c r="J492" s="39"/>
      <c r="K492" s="39"/>
      <c r="L492" s="80"/>
      <c r="M492" s="9" t="str">
        <f>IF($J492="AC",COUNTIF($J$5:$J492,"AC"),"")</f>
        <v/>
      </c>
      <c r="N492" s="9" t="str">
        <f>IF($J492="FB",COUNTIF($J$5:$J492,"FB"),"")</f>
        <v/>
      </c>
      <c r="O492" s="9" t="str">
        <f>IF($J492="PC",COUNTIF($J$5:$J492,"PC"),"")</f>
        <v/>
      </c>
      <c r="P492" s="28" t="s">
        <v>2114</v>
      </c>
      <c r="Q492" s="28" t="s">
        <v>2115</v>
      </c>
    </row>
    <row r="493" spans="1:17" ht="40.5" customHeight="1" x14ac:dyDescent="0.25">
      <c r="A493" s="69">
        <v>6</v>
      </c>
      <c r="B493" s="70" t="s">
        <v>542</v>
      </c>
      <c r="C493" s="71" t="s">
        <v>2041</v>
      </c>
      <c r="D493" s="70" t="s">
        <v>2042</v>
      </c>
      <c r="E493" s="70" t="s">
        <v>2109</v>
      </c>
      <c r="F493" s="78" t="s">
        <v>69</v>
      </c>
      <c r="G493" s="77" t="s">
        <v>2116</v>
      </c>
      <c r="H493" s="37"/>
      <c r="I493" s="79"/>
      <c r="J493" s="39"/>
      <c r="K493" s="39"/>
      <c r="L493" s="80"/>
      <c r="M493" s="9" t="str">
        <f>IF($J493="AC",COUNTIF($J$5:$J493,"AC"),"")</f>
        <v/>
      </c>
      <c r="N493" s="9" t="str">
        <f>IF($J493="FB",COUNTIF($J$5:$J493,"FB"),"")</f>
        <v/>
      </c>
      <c r="O493" s="9" t="str">
        <f>IF($J493="PC",COUNTIF($J$5:$J493,"PC"),"")</f>
        <v/>
      </c>
      <c r="P493" s="28" t="s">
        <v>2117</v>
      </c>
      <c r="Q493" s="28" t="s">
        <v>2118</v>
      </c>
    </row>
    <row r="494" spans="1:17" ht="40.5" customHeight="1" x14ac:dyDescent="0.25">
      <c r="A494" s="69">
        <v>6</v>
      </c>
      <c r="B494" s="70" t="s">
        <v>542</v>
      </c>
      <c r="C494" s="71" t="s">
        <v>2041</v>
      </c>
      <c r="D494" s="70" t="s">
        <v>2042</v>
      </c>
      <c r="E494" s="70" t="s">
        <v>2109</v>
      </c>
      <c r="F494" s="66" t="s">
        <v>53</v>
      </c>
      <c r="G494" s="77" t="s">
        <v>2119</v>
      </c>
      <c r="H494" s="37"/>
      <c r="I494" s="79"/>
      <c r="J494" s="39"/>
      <c r="K494" s="39"/>
      <c r="L494" s="80"/>
      <c r="M494" s="9" t="str">
        <f>IF($J494="AC",COUNTIF($J$5:$J494,"AC"),"")</f>
        <v/>
      </c>
      <c r="N494" s="9" t="str">
        <f>IF($J494="FB",COUNTIF($J$5:$J494,"FB"),"")</f>
        <v/>
      </c>
      <c r="O494" s="9" t="str">
        <f>IF($J494="PC",COUNTIF($J$5:$J494,"PC"),"")</f>
        <v/>
      </c>
      <c r="P494" s="28" t="s">
        <v>2120</v>
      </c>
      <c r="Q494" s="28" t="s">
        <v>2121</v>
      </c>
    </row>
    <row r="495" spans="1:17" ht="40.5" customHeight="1" x14ac:dyDescent="0.25">
      <c r="A495" s="69">
        <v>6</v>
      </c>
      <c r="B495" s="70" t="s">
        <v>542</v>
      </c>
      <c r="C495" s="71" t="s">
        <v>2041</v>
      </c>
      <c r="D495" s="70" t="s">
        <v>2042</v>
      </c>
      <c r="E495" s="70" t="s">
        <v>2109</v>
      </c>
      <c r="F495" s="68" t="s">
        <v>92</v>
      </c>
      <c r="G495" s="77" t="s">
        <v>2122</v>
      </c>
      <c r="H495" s="37"/>
      <c r="I495" s="79"/>
      <c r="J495" s="39"/>
      <c r="K495" s="39"/>
      <c r="L495" s="80"/>
      <c r="M495" s="9" t="str">
        <f>IF($J495="AC",COUNTIF($J$5:$J495,"AC"),"")</f>
        <v/>
      </c>
      <c r="N495" s="9" t="str">
        <f>IF($J495="FB",COUNTIF($J$5:$J495,"FB"),"")</f>
        <v/>
      </c>
      <c r="O495" s="9" t="str">
        <f>IF($J495="PC",COUNTIF($J$5:$J495,"PC"),"")</f>
        <v/>
      </c>
      <c r="P495" s="28" t="s">
        <v>2123</v>
      </c>
      <c r="Q495" s="28" t="s">
        <v>2124</v>
      </c>
    </row>
    <row r="496" spans="1:17" ht="40.5" customHeight="1" x14ac:dyDescent="0.25">
      <c r="A496" s="69">
        <v>6</v>
      </c>
      <c r="B496" s="70" t="s">
        <v>542</v>
      </c>
      <c r="C496" s="71" t="s">
        <v>2041</v>
      </c>
      <c r="D496" s="70" t="s">
        <v>2042</v>
      </c>
      <c r="E496" s="70" t="s">
        <v>2125</v>
      </c>
      <c r="F496" s="78" t="s">
        <v>69</v>
      </c>
      <c r="G496" s="77" t="s">
        <v>2126</v>
      </c>
      <c r="H496" s="37"/>
      <c r="I496" s="79"/>
      <c r="J496" s="39"/>
      <c r="K496" s="39"/>
      <c r="L496" s="80"/>
      <c r="M496" s="9" t="str">
        <f>IF($J496="AC",COUNTIF($J$5:$J496,"AC"),"")</f>
        <v/>
      </c>
      <c r="N496" s="9" t="str">
        <f>IF($J496="FB",COUNTIF($J$5:$J496,"FB"),"")</f>
        <v/>
      </c>
      <c r="O496" s="9" t="str">
        <f>IF($J496="PC",COUNTIF($J$5:$J496,"PC"),"")</f>
        <v/>
      </c>
      <c r="P496" s="28" t="s">
        <v>2127</v>
      </c>
      <c r="Q496" s="28" t="s">
        <v>2128</v>
      </c>
    </row>
    <row r="497" spans="1:17" ht="40.5" customHeight="1" x14ac:dyDescent="0.25">
      <c r="A497" s="69">
        <v>6</v>
      </c>
      <c r="B497" s="70" t="s">
        <v>542</v>
      </c>
      <c r="C497" s="71" t="s">
        <v>2041</v>
      </c>
      <c r="D497" s="70" t="s">
        <v>2042</v>
      </c>
      <c r="E497" s="70" t="s">
        <v>2125</v>
      </c>
      <c r="F497" s="66" t="s">
        <v>53</v>
      </c>
      <c r="G497" s="77" t="s">
        <v>2129</v>
      </c>
      <c r="H497" s="37"/>
      <c r="I497" s="79"/>
      <c r="J497" s="39"/>
      <c r="K497" s="39"/>
      <c r="L497" s="80"/>
      <c r="M497" s="9" t="str">
        <f>IF($J497="AC",COUNTIF($J$5:$J497,"AC"),"")</f>
        <v/>
      </c>
      <c r="N497" s="9" t="str">
        <f>IF($J497="FB",COUNTIF($J$5:$J497,"FB"),"")</f>
        <v/>
      </c>
      <c r="O497" s="9" t="str">
        <f>IF($J497="PC",COUNTIF($J$5:$J497,"PC"),"")</f>
        <v/>
      </c>
      <c r="P497" s="28" t="s">
        <v>2130</v>
      </c>
      <c r="Q497" s="28" t="s">
        <v>2131</v>
      </c>
    </row>
    <row r="498" spans="1:17" ht="40.5" customHeight="1" x14ac:dyDescent="0.25">
      <c r="A498" s="69">
        <v>6</v>
      </c>
      <c r="B498" s="70" t="s">
        <v>542</v>
      </c>
      <c r="C498" s="71" t="s">
        <v>2041</v>
      </c>
      <c r="D498" s="70" t="s">
        <v>2042</v>
      </c>
      <c r="E498" s="70" t="s">
        <v>2125</v>
      </c>
      <c r="F498" s="68" t="s">
        <v>92</v>
      </c>
      <c r="G498" s="77" t="s">
        <v>2132</v>
      </c>
      <c r="H498" s="37"/>
      <c r="I498" s="79"/>
      <c r="J498" s="39"/>
      <c r="K498" s="39"/>
      <c r="L498" s="80"/>
      <c r="M498" s="9" t="str">
        <f>IF($J498="AC",COUNTIF($J$5:$J498,"AC"),"")</f>
        <v/>
      </c>
      <c r="N498" s="9" t="str">
        <f>IF($J498="FB",COUNTIF($J$5:$J498,"FB"),"")</f>
        <v/>
      </c>
      <c r="O498" s="9" t="str">
        <f>IF($J498="PC",COUNTIF($J$5:$J498,"PC"),"")</f>
        <v/>
      </c>
      <c r="P498" s="28" t="s">
        <v>2133</v>
      </c>
      <c r="Q498" s="28" t="s">
        <v>2134</v>
      </c>
    </row>
    <row r="499" spans="1:17" ht="40.5" customHeight="1" x14ac:dyDescent="0.25">
      <c r="A499" s="69">
        <v>6</v>
      </c>
      <c r="B499" s="70" t="s">
        <v>542</v>
      </c>
      <c r="C499" s="71" t="s">
        <v>2041</v>
      </c>
      <c r="D499" s="70" t="s">
        <v>2042</v>
      </c>
      <c r="E499" s="70" t="s">
        <v>2125</v>
      </c>
      <c r="F499" s="66" t="s">
        <v>53</v>
      </c>
      <c r="G499" s="77" t="s">
        <v>2135</v>
      </c>
      <c r="H499" s="37"/>
      <c r="I499" s="79"/>
      <c r="J499" s="39"/>
      <c r="K499" s="39"/>
      <c r="L499" s="80"/>
      <c r="M499" s="9" t="str">
        <f>IF($J499="AC",COUNTIF($J$5:$J499,"AC"),"")</f>
        <v/>
      </c>
      <c r="N499" s="9" t="str">
        <f>IF($J499="FB",COUNTIF($J$5:$J499,"FB"),"")</f>
        <v/>
      </c>
      <c r="O499" s="9" t="str">
        <f>IF($J499="PC",COUNTIF($J$5:$J499,"PC"),"")</f>
        <v/>
      </c>
      <c r="P499" s="28" t="s">
        <v>2136</v>
      </c>
      <c r="Q499" s="28" t="s">
        <v>2137</v>
      </c>
    </row>
    <row r="500" spans="1:17" ht="40.5" customHeight="1" x14ac:dyDescent="0.25">
      <c r="A500" s="69">
        <v>6</v>
      </c>
      <c r="B500" s="70" t="s">
        <v>542</v>
      </c>
      <c r="C500" s="71" t="s">
        <v>2041</v>
      </c>
      <c r="D500" s="70" t="s">
        <v>2042</v>
      </c>
      <c r="E500" s="70" t="s">
        <v>2125</v>
      </c>
      <c r="F500" s="68" t="s">
        <v>92</v>
      </c>
      <c r="G500" s="77" t="s">
        <v>2138</v>
      </c>
      <c r="H500" s="37"/>
      <c r="I500" s="79"/>
      <c r="J500" s="39"/>
      <c r="K500" s="39"/>
      <c r="L500" s="80"/>
      <c r="M500" s="9" t="str">
        <f>IF($J500="AC",COUNTIF($J$5:$J500,"AC"),"")</f>
        <v/>
      </c>
      <c r="N500" s="9" t="str">
        <f>IF($J500="FB",COUNTIF($J$5:$J500,"FB"),"")</f>
        <v/>
      </c>
      <c r="O500" s="9" t="str">
        <f>IF($J500="PC",COUNTIF($J$5:$J500,"PC"),"")</f>
        <v/>
      </c>
      <c r="P500" s="28" t="s">
        <v>2139</v>
      </c>
      <c r="Q500" s="28" t="s">
        <v>2140</v>
      </c>
    </row>
    <row r="501" spans="1:17" ht="40.5" customHeight="1" x14ac:dyDescent="0.25">
      <c r="A501" s="69">
        <v>6</v>
      </c>
      <c r="B501" s="70" t="s">
        <v>542</v>
      </c>
      <c r="C501" s="71" t="s">
        <v>2041</v>
      </c>
      <c r="D501" s="70" t="s">
        <v>2042</v>
      </c>
      <c r="E501" s="70" t="s">
        <v>2141</v>
      </c>
      <c r="F501" s="68" t="s">
        <v>92</v>
      </c>
      <c r="G501" s="77" t="s">
        <v>2142</v>
      </c>
      <c r="H501" s="37"/>
      <c r="I501" s="79"/>
      <c r="J501" s="39"/>
      <c r="K501" s="39"/>
      <c r="L501" s="80"/>
      <c r="M501" s="9" t="str">
        <f>IF($J501="AC",COUNTIF($J$5:$J501,"AC"),"")</f>
        <v/>
      </c>
      <c r="N501" s="9" t="str">
        <f>IF($J501="FB",COUNTIF($J$5:$J501,"FB"),"")</f>
        <v/>
      </c>
      <c r="O501" s="9" t="str">
        <f>IF($J501="PC",COUNTIF($J$5:$J501,"PC"),"")</f>
        <v/>
      </c>
      <c r="P501" s="28" t="s">
        <v>2143</v>
      </c>
      <c r="Q501" s="28" t="s">
        <v>2144</v>
      </c>
    </row>
    <row r="502" spans="1:17" ht="40.5" customHeight="1" x14ac:dyDescent="0.25">
      <c r="A502" s="69">
        <v>6</v>
      </c>
      <c r="B502" s="70" t="s">
        <v>542</v>
      </c>
      <c r="C502" s="71" t="s">
        <v>2041</v>
      </c>
      <c r="D502" s="70" t="s">
        <v>2042</v>
      </c>
      <c r="E502" s="70" t="s">
        <v>2141</v>
      </c>
      <c r="F502" s="66" t="s">
        <v>53</v>
      </c>
      <c r="G502" s="77" t="s">
        <v>2145</v>
      </c>
      <c r="H502" s="37"/>
      <c r="I502" s="79"/>
      <c r="J502" s="39"/>
      <c r="K502" s="39"/>
      <c r="L502" s="80"/>
      <c r="M502" s="9" t="str">
        <f>IF($J502="AC",COUNTIF($J$5:$J502,"AC"),"")</f>
        <v/>
      </c>
      <c r="N502" s="9" t="str">
        <f>IF($J502="FB",COUNTIF($J$5:$J502,"FB"),"")</f>
        <v/>
      </c>
      <c r="O502" s="9" t="str">
        <f>IF($J502="PC",COUNTIF($J$5:$J502,"PC"),"")</f>
        <v/>
      </c>
      <c r="P502" s="28" t="s">
        <v>2146</v>
      </c>
      <c r="Q502" s="28" t="s">
        <v>2147</v>
      </c>
    </row>
    <row r="503" spans="1:17" ht="40.5" customHeight="1" x14ac:dyDescent="0.25">
      <c r="A503" s="69">
        <v>6</v>
      </c>
      <c r="B503" s="70" t="s">
        <v>542</v>
      </c>
      <c r="C503" s="71" t="s">
        <v>2041</v>
      </c>
      <c r="D503" s="70" t="s">
        <v>2042</v>
      </c>
      <c r="E503" s="70" t="s">
        <v>2141</v>
      </c>
      <c r="F503" s="78" t="s">
        <v>69</v>
      </c>
      <c r="G503" s="77" t="s">
        <v>2148</v>
      </c>
      <c r="H503" s="37"/>
      <c r="I503" s="79"/>
      <c r="J503" s="39"/>
      <c r="K503" s="39"/>
      <c r="L503" s="80"/>
      <c r="M503" s="9" t="str">
        <f>IF($J503="AC",COUNTIF($J$5:$J503,"AC"),"")</f>
        <v/>
      </c>
      <c r="N503" s="9" t="str">
        <f>IF($J503="FB",COUNTIF($J$5:$J503,"FB"),"")</f>
        <v/>
      </c>
      <c r="O503" s="9" t="str">
        <f>IF($J503="PC",COUNTIF($J$5:$J503,"PC"),"")</f>
        <v/>
      </c>
      <c r="P503" s="28" t="s">
        <v>2149</v>
      </c>
      <c r="Q503" s="28" t="s">
        <v>2150</v>
      </c>
    </row>
    <row r="504" spans="1:17" ht="40.5" customHeight="1" x14ac:dyDescent="0.25">
      <c r="A504" s="69">
        <v>6</v>
      </c>
      <c r="B504" s="70" t="s">
        <v>542</v>
      </c>
      <c r="C504" s="71" t="s">
        <v>2041</v>
      </c>
      <c r="D504" s="70" t="s">
        <v>2042</v>
      </c>
      <c r="E504" s="70" t="s">
        <v>2141</v>
      </c>
      <c r="F504" s="78" t="s">
        <v>69</v>
      </c>
      <c r="G504" s="77" t="s">
        <v>2151</v>
      </c>
      <c r="H504" s="37"/>
      <c r="I504" s="79"/>
      <c r="J504" s="39"/>
      <c r="K504" s="39"/>
      <c r="L504" s="80"/>
      <c r="M504" s="9" t="str">
        <f>IF($J504="AC",COUNTIF($J$5:$J504,"AC"),"")</f>
        <v/>
      </c>
      <c r="N504" s="9" t="str">
        <f>IF($J504="FB",COUNTIF($J$5:$J504,"FB"),"")</f>
        <v/>
      </c>
      <c r="O504" s="9" t="str">
        <f>IF($J504="PC",COUNTIF($J$5:$J504,"PC"),"")</f>
        <v/>
      </c>
      <c r="P504" s="28" t="s">
        <v>2152</v>
      </c>
      <c r="Q504" s="28" t="s">
        <v>2153</v>
      </c>
    </row>
    <row r="505" spans="1:17" ht="40.5" customHeight="1" x14ac:dyDescent="0.25">
      <c r="A505" s="69">
        <v>6</v>
      </c>
      <c r="B505" s="70" t="s">
        <v>542</v>
      </c>
      <c r="C505" s="71" t="s">
        <v>2041</v>
      </c>
      <c r="D505" s="70" t="s">
        <v>2042</v>
      </c>
      <c r="E505" s="70" t="s">
        <v>2141</v>
      </c>
      <c r="F505" s="68" t="s">
        <v>92</v>
      </c>
      <c r="G505" s="77" t="s">
        <v>2154</v>
      </c>
      <c r="H505" s="37"/>
      <c r="I505" s="79"/>
      <c r="J505" s="39"/>
      <c r="K505" s="39"/>
      <c r="L505" s="80"/>
      <c r="M505" s="9" t="str">
        <f>IF($J505="AC",COUNTIF($J$5:$J505,"AC"),"")</f>
        <v/>
      </c>
      <c r="N505" s="9" t="str">
        <f>IF($J505="FB",COUNTIF($J$5:$J505,"FB"),"")</f>
        <v/>
      </c>
      <c r="O505" s="9" t="str">
        <f>IF($J505="PC",COUNTIF($J$5:$J505,"PC"),"")</f>
        <v/>
      </c>
      <c r="P505" s="28" t="s">
        <v>2155</v>
      </c>
      <c r="Q505" s="28" t="s">
        <v>2156</v>
      </c>
    </row>
    <row r="506" spans="1:17" ht="40.5" customHeight="1" x14ac:dyDescent="0.25">
      <c r="A506" s="69">
        <v>6</v>
      </c>
      <c r="B506" s="70" t="s">
        <v>542</v>
      </c>
      <c r="C506" s="71" t="s">
        <v>2041</v>
      </c>
      <c r="D506" s="70" t="s">
        <v>2042</v>
      </c>
      <c r="E506" s="70" t="s">
        <v>2157</v>
      </c>
      <c r="F506" s="68" t="s">
        <v>92</v>
      </c>
      <c r="G506" s="77" t="s">
        <v>2158</v>
      </c>
      <c r="H506" s="37"/>
      <c r="I506" s="79"/>
      <c r="J506" s="39"/>
      <c r="K506" s="39"/>
      <c r="L506" s="80"/>
      <c r="M506" s="9" t="str">
        <f>IF($J506="AC",COUNTIF($J$5:$J506,"AC"),"")</f>
        <v/>
      </c>
      <c r="N506" s="9" t="str">
        <f>IF($J506="FB",COUNTIF($J$5:$J506,"FB"),"")</f>
        <v/>
      </c>
      <c r="O506" s="9" t="str">
        <f>IF($J506="PC",COUNTIF($J$5:$J506,"PC"),"")</f>
        <v/>
      </c>
      <c r="P506" s="28" t="s">
        <v>2159</v>
      </c>
      <c r="Q506" s="28" t="s">
        <v>2160</v>
      </c>
    </row>
    <row r="507" spans="1:17" ht="40.5" customHeight="1" x14ac:dyDescent="0.25">
      <c r="A507" s="69">
        <v>6</v>
      </c>
      <c r="B507" s="70" t="s">
        <v>542</v>
      </c>
      <c r="C507" s="71" t="s">
        <v>2041</v>
      </c>
      <c r="D507" s="70" t="s">
        <v>2042</v>
      </c>
      <c r="E507" s="70" t="s">
        <v>2157</v>
      </c>
      <c r="F507" s="68" t="s">
        <v>92</v>
      </c>
      <c r="G507" s="77" t="s">
        <v>2161</v>
      </c>
      <c r="H507" s="37"/>
      <c r="I507" s="79"/>
      <c r="J507" s="39"/>
      <c r="K507" s="39"/>
      <c r="L507" s="80"/>
      <c r="M507" s="9" t="str">
        <f>IF($J507="AC",COUNTIF($J$5:$J507,"AC"),"")</f>
        <v/>
      </c>
      <c r="N507" s="9" t="str">
        <f>IF($J507="FB",COUNTIF($J$5:$J507,"FB"),"")</f>
        <v/>
      </c>
      <c r="O507" s="9" t="str">
        <f>IF($J507="PC",COUNTIF($J$5:$J507,"PC"),"")</f>
        <v/>
      </c>
      <c r="P507" s="28" t="s">
        <v>2162</v>
      </c>
      <c r="Q507" s="28" t="s">
        <v>2163</v>
      </c>
    </row>
    <row r="508" spans="1:17" ht="40.5" customHeight="1" x14ac:dyDescent="0.25">
      <c r="A508" s="69">
        <v>6</v>
      </c>
      <c r="B508" s="70" t="s">
        <v>542</v>
      </c>
      <c r="C508" s="71" t="s">
        <v>2041</v>
      </c>
      <c r="D508" s="70" t="s">
        <v>2042</v>
      </c>
      <c r="E508" s="70" t="s">
        <v>2157</v>
      </c>
      <c r="F508" s="68" t="s">
        <v>92</v>
      </c>
      <c r="G508" s="77" t="s">
        <v>2164</v>
      </c>
      <c r="H508" s="37"/>
      <c r="I508" s="79"/>
      <c r="J508" s="39"/>
      <c r="K508" s="39"/>
      <c r="L508" s="80"/>
      <c r="M508" s="9" t="str">
        <f>IF($J508="AC",COUNTIF($J$5:$J508,"AC"),"")</f>
        <v/>
      </c>
      <c r="N508" s="9" t="str">
        <f>IF($J508="FB",COUNTIF($J$5:$J508,"FB"),"")</f>
        <v/>
      </c>
      <c r="O508" s="9" t="str">
        <f>IF($J508="PC",COUNTIF($J$5:$J508,"PC"),"")</f>
        <v/>
      </c>
      <c r="P508" s="28" t="s">
        <v>2165</v>
      </c>
      <c r="Q508" s="28" t="s">
        <v>2166</v>
      </c>
    </row>
    <row r="509" spans="1:17" ht="40.5" customHeight="1" x14ac:dyDescent="0.25">
      <c r="A509" s="69">
        <v>6</v>
      </c>
      <c r="B509" s="70" t="s">
        <v>542</v>
      </c>
      <c r="C509" s="71" t="s">
        <v>2041</v>
      </c>
      <c r="D509" s="70" t="s">
        <v>2042</v>
      </c>
      <c r="E509" s="70" t="s">
        <v>2157</v>
      </c>
      <c r="F509" s="100" t="s">
        <v>165</v>
      </c>
      <c r="G509" s="77" t="s">
        <v>2167</v>
      </c>
      <c r="H509" s="37"/>
      <c r="I509" s="79"/>
      <c r="J509" s="39"/>
      <c r="K509" s="39"/>
      <c r="L509" s="80"/>
      <c r="M509" s="9" t="str">
        <f>IF($J509="AC",COUNTIF($J$5:$J509,"AC"),"")</f>
        <v/>
      </c>
      <c r="N509" s="9" t="str">
        <f>IF($J509="FB",COUNTIF($J$5:$J509,"FB"),"")</f>
        <v/>
      </c>
      <c r="O509" s="9" t="str">
        <f>IF($J509="PC",COUNTIF($J$5:$J509,"PC"),"")</f>
        <v/>
      </c>
      <c r="P509" s="28" t="s">
        <v>2168</v>
      </c>
      <c r="Q509" s="28" t="s">
        <v>2169</v>
      </c>
    </row>
    <row r="510" spans="1:17" ht="40.5" customHeight="1" x14ac:dyDescent="0.25">
      <c r="A510" s="69">
        <v>6</v>
      </c>
      <c r="B510" s="70" t="s">
        <v>542</v>
      </c>
      <c r="C510" s="71" t="s">
        <v>2041</v>
      </c>
      <c r="D510" s="70" t="s">
        <v>2042</v>
      </c>
      <c r="E510" s="70" t="s">
        <v>2157</v>
      </c>
      <c r="F510" s="100" t="s">
        <v>165</v>
      </c>
      <c r="G510" s="77" t="s">
        <v>2170</v>
      </c>
      <c r="H510" s="37"/>
      <c r="I510" s="79"/>
      <c r="J510" s="39"/>
      <c r="K510" s="39"/>
      <c r="L510" s="80"/>
      <c r="M510" s="9" t="str">
        <f>IF($J510="AC",COUNTIF($J$5:$J510,"AC"),"")</f>
        <v/>
      </c>
      <c r="N510" s="9" t="str">
        <f>IF($J510="FB",COUNTIF($J$5:$J510,"FB"),"")</f>
        <v/>
      </c>
      <c r="O510" s="9" t="str">
        <f>IF($J510="PC",COUNTIF($J$5:$J510,"PC"),"")</f>
        <v/>
      </c>
      <c r="P510" s="28" t="s">
        <v>2171</v>
      </c>
      <c r="Q510" s="28" t="s">
        <v>2172</v>
      </c>
    </row>
    <row r="511" spans="1:17" ht="40.5" customHeight="1" x14ac:dyDescent="0.25">
      <c r="A511" s="69">
        <v>6</v>
      </c>
      <c r="B511" s="70" t="s">
        <v>542</v>
      </c>
      <c r="C511" s="71" t="s">
        <v>2173</v>
      </c>
      <c r="D511" s="70" t="s">
        <v>2174</v>
      </c>
      <c r="E511" s="70" t="s">
        <v>2175</v>
      </c>
      <c r="F511" s="78" t="s">
        <v>69</v>
      </c>
      <c r="G511" s="77" t="s">
        <v>2176</v>
      </c>
      <c r="H511" s="37"/>
      <c r="I511" s="79" t="s">
        <v>696</v>
      </c>
      <c r="J511" s="39"/>
      <c r="K511" s="39"/>
      <c r="L511" s="80"/>
      <c r="M511" s="9" t="str">
        <f>IF($J511="AC",COUNTIF($J$5:$J511,"AC"),"")</f>
        <v/>
      </c>
      <c r="N511" s="9" t="str">
        <f>IF($J511="FB",COUNTIF($J$5:$J511,"FB"),"")</f>
        <v/>
      </c>
      <c r="O511" s="9" t="str">
        <f>IF($J511="PC",COUNTIF($J$5:$J511,"PC"),"")</f>
        <v/>
      </c>
      <c r="P511" s="28" t="s">
        <v>2177</v>
      </c>
      <c r="Q511" s="28" t="s">
        <v>2178</v>
      </c>
    </row>
    <row r="512" spans="1:17" ht="40.5" customHeight="1" x14ac:dyDescent="0.25">
      <c r="A512" s="69">
        <v>6</v>
      </c>
      <c r="B512" s="70" t="s">
        <v>542</v>
      </c>
      <c r="C512" s="71" t="s">
        <v>2173</v>
      </c>
      <c r="D512" s="70" t="s">
        <v>2174</v>
      </c>
      <c r="E512" s="70" t="s">
        <v>2179</v>
      </c>
      <c r="F512" s="78" t="s">
        <v>69</v>
      </c>
      <c r="G512" s="77" t="s">
        <v>2180</v>
      </c>
      <c r="H512" s="37"/>
      <c r="I512" s="79" t="s">
        <v>696</v>
      </c>
      <c r="J512" s="39"/>
      <c r="K512" s="39"/>
      <c r="L512" s="80"/>
      <c r="M512" s="9" t="str">
        <f>IF($J512="AC",COUNTIF($J$5:$J512,"AC"),"")</f>
        <v/>
      </c>
      <c r="N512" s="9" t="str">
        <f>IF($J512="FB",COUNTIF($J$5:$J512,"FB"),"")</f>
        <v/>
      </c>
      <c r="O512" s="9" t="str">
        <f>IF($J512="PC",COUNTIF($J$5:$J512,"PC"),"")</f>
        <v/>
      </c>
      <c r="P512" s="28" t="s">
        <v>2181</v>
      </c>
      <c r="Q512" s="28" t="s">
        <v>2182</v>
      </c>
    </row>
    <row r="513" spans="1:17" ht="40.5" customHeight="1" x14ac:dyDescent="0.25">
      <c r="A513" s="69">
        <v>6</v>
      </c>
      <c r="B513" s="70" t="s">
        <v>542</v>
      </c>
      <c r="C513" s="71" t="s">
        <v>2173</v>
      </c>
      <c r="D513" s="70" t="s">
        <v>2174</v>
      </c>
      <c r="E513" s="70" t="s">
        <v>2183</v>
      </c>
      <c r="F513" s="78" t="s">
        <v>69</v>
      </c>
      <c r="G513" s="77" t="s">
        <v>2184</v>
      </c>
      <c r="H513" s="37"/>
      <c r="I513" s="79" t="s">
        <v>696</v>
      </c>
      <c r="J513" s="39"/>
      <c r="K513" s="39"/>
      <c r="L513" s="80"/>
      <c r="M513" s="9" t="str">
        <f>IF($J513="AC",COUNTIF($J$5:$J513,"AC"),"")</f>
        <v/>
      </c>
      <c r="N513" s="9" t="str">
        <f>IF($J513="FB",COUNTIF($J$5:$J513,"FB"),"")</f>
        <v/>
      </c>
      <c r="O513" s="9" t="str">
        <f>IF($J513="PC",COUNTIF($J$5:$J513,"PC"),"")</f>
        <v/>
      </c>
      <c r="P513" s="28" t="s">
        <v>2185</v>
      </c>
      <c r="Q513" s="28" t="s">
        <v>2186</v>
      </c>
    </row>
    <row r="514" spans="1:17" ht="40.5" customHeight="1" x14ac:dyDescent="0.25">
      <c r="A514" s="69">
        <v>6</v>
      </c>
      <c r="B514" s="70" t="s">
        <v>542</v>
      </c>
      <c r="C514" s="71" t="s">
        <v>2173</v>
      </c>
      <c r="D514" s="70" t="s">
        <v>2174</v>
      </c>
      <c r="E514" s="70" t="s">
        <v>2187</v>
      </c>
      <c r="F514" s="68" t="s">
        <v>92</v>
      </c>
      <c r="G514" s="77" t="s">
        <v>2188</v>
      </c>
      <c r="H514" s="37"/>
      <c r="I514" s="79" t="s">
        <v>696</v>
      </c>
      <c r="J514" s="39"/>
      <c r="K514" s="39"/>
      <c r="L514" s="80"/>
      <c r="M514" s="9" t="str">
        <f>IF($J514="AC",COUNTIF($J$5:$J514,"AC"),"")</f>
        <v/>
      </c>
      <c r="N514" s="9" t="str">
        <f>IF($J514="FB",COUNTIF($J$5:$J514,"FB"),"")</f>
        <v/>
      </c>
      <c r="O514" s="9" t="str">
        <f>IF($J514="PC",COUNTIF($J$5:$J514,"PC"),"")</f>
        <v/>
      </c>
      <c r="P514" s="28" t="s">
        <v>2189</v>
      </c>
      <c r="Q514" s="28" t="s">
        <v>2190</v>
      </c>
    </row>
    <row r="515" spans="1:17" ht="40.5" customHeight="1" x14ac:dyDescent="0.25">
      <c r="A515" s="69">
        <v>6</v>
      </c>
      <c r="B515" s="70" t="s">
        <v>542</v>
      </c>
      <c r="C515" s="71" t="s">
        <v>2173</v>
      </c>
      <c r="D515" s="70" t="s">
        <v>2174</v>
      </c>
      <c r="E515" s="70" t="s">
        <v>2191</v>
      </c>
      <c r="F515" s="68" t="s">
        <v>92</v>
      </c>
      <c r="G515" s="77" t="s">
        <v>2192</v>
      </c>
      <c r="H515" s="37"/>
      <c r="I515" s="79" t="s">
        <v>696</v>
      </c>
      <c r="J515" s="39"/>
      <c r="K515" s="39"/>
      <c r="L515" s="80"/>
      <c r="M515" s="9" t="str">
        <f>IF($J515="AC",COUNTIF($J$5:$J515,"AC"),"")</f>
        <v/>
      </c>
      <c r="N515" s="9" t="str">
        <f>IF($J515="FB",COUNTIF($J$5:$J515,"FB"),"")</f>
        <v/>
      </c>
      <c r="O515" s="9" t="str">
        <f>IF($J515="PC",COUNTIF($J$5:$J515,"PC"),"")</f>
        <v/>
      </c>
      <c r="P515" s="28" t="s">
        <v>2193</v>
      </c>
      <c r="Q515" s="28" t="s">
        <v>2194</v>
      </c>
    </row>
    <row r="516" spans="1:17" ht="40.5" customHeight="1" x14ac:dyDescent="0.25">
      <c r="A516" s="69">
        <v>6</v>
      </c>
      <c r="B516" s="70" t="s">
        <v>542</v>
      </c>
      <c r="C516" s="71" t="s">
        <v>2195</v>
      </c>
      <c r="D516" s="70" t="s">
        <v>2196</v>
      </c>
      <c r="E516" s="70" t="s">
        <v>2197</v>
      </c>
      <c r="F516" s="78" t="s">
        <v>69</v>
      </c>
      <c r="G516" s="77" t="s">
        <v>2198</v>
      </c>
      <c r="H516" s="37"/>
      <c r="I516" s="79" t="s">
        <v>2816</v>
      </c>
      <c r="J516" s="39"/>
      <c r="K516" s="39"/>
      <c r="L516" s="80"/>
      <c r="O516" s="9" t="str">
        <f>IF($J516="PC",COUNTIF($J$5:$J516,"PC"),"")</f>
        <v/>
      </c>
      <c r="P516" s="28" t="s">
        <v>2199</v>
      </c>
      <c r="Q516" s="28" t="s">
        <v>2200</v>
      </c>
    </row>
    <row r="517" spans="1:17" ht="40.5" customHeight="1" x14ac:dyDescent="0.25">
      <c r="A517" s="69">
        <v>6</v>
      </c>
      <c r="B517" s="70" t="s">
        <v>542</v>
      </c>
      <c r="C517" s="71" t="s">
        <v>2195</v>
      </c>
      <c r="D517" s="70" t="s">
        <v>2196</v>
      </c>
      <c r="E517" s="70" t="s">
        <v>2201</v>
      </c>
      <c r="F517" s="78" t="s">
        <v>69</v>
      </c>
      <c r="G517" s="77" t="s">
        <v>2202</v>
      </c>
      <c r="H517" s="37"/>
      <c r="I517" s="79" t="s">
        <v>696</v>
      </c>
      <c r="J517" s="39"/>
      <c r="K517" s="39"/>
      <c r="L517" s="80"/>
      <c r="M517" s="9" t="str">
        <f>IF($J517="AC",COUNTIF($J$5:$J517,"AC"),"")</f>
        <v/>
      </c>
      <c r="N517" s="9" t="str">
        <f>IF($J517="FB",COUNTIF($J$5:$J517,"FB"),"")</f>
        <v/>
      </c>
      <c r="O517" s="9" t="str">
        <f>IF($J517="PC",COUNTIF($J$5:$J517,"PC"),"")</f>
        <v/>
      </c>
      <c r="P517" s="28" t="s">
        <v>2203</v>
      </c>
      <c r="Q517" s="28" t="s">
        <v>2204</v>
      </c>
    </row>
    <row r="518" spans="1:17" ht="40.5" customHeight="1" x14ac:dyDescent="0.25">
      <c r="A518" s="69">
        <v>6</v>
      </c>
      <c r="B518" s="70" t="s">
        <v>542</v>
      </c>
      <c r="C518" s="71" t="s">
        <v>2195</v>
      </c>
      <c r="D518" s="70" t="s">
        <v>2196</v>
      </c>
      <c r="E518" s="70" t="s">
        <v>2205</v>
      </c>
      <c r="F518" s="68" t="s">
        <v>92</v>
      </c>
      <c r="G518" s="77" t="s">
        <v>2206</v>
      </c>
      <c r="H518" s="37"/>
      <c r="I518" s="79" t="s">
        <v>696</v>
      </c>
      <c r="J518" s="39"/>
      <c r="K518" s="39"/>
      <c r="L518" s="80"/>
      <c r="M518" s="9" t="str">
        <f>IF($J518="AC",COUNTIF($J$5:$J518,"AC"),"")</f>
        <v/>
      </c>
      <c r="N518" s="9" t="str">
        <f>IF($J518="FB",COUNTIF($J$5:$J518,"FB"),"")</f>
        <v/>
      </c>
      <c r="O518" s="9" t="str">
        <f>IF($J518="PC",COUNTIF($J$5:$J518,"PC"),"")</f>
        <v/>
      </c>
      <c r="P518" s="28" t="s">
        <v>2207</v>
      </c>
      <c r="Q518" s="28" t="s">
        <v>2208</v>
      </c>
    </row>
    <row r="519" spans="1:17" ht="40.5" customHeight="1" x14ac:dyDescent="0.25">
      <c r="A519" s="69">
        <v>6</v>
      </c>
      <c r="B519" s="70" t="s">
        <v>542</v>
      </c>
      <c r="C519" s="71" t="s">
        <v>2195</v>
      </c>
      <c r="D519" s="70" t="s">
        <v>2196</v>
      </c>
      <c r="E519" s="70" t="s">
        <v>2209</v>
      </c>
      <c r="F519" s="78" t="s">
        <v>69</v>
      </c>
      <c r="G519" s="77" t="s">
        <v>2210</v>
      </c>
      <c r="H519" s="37"/>
      <c r="I519" s="79" t="s">
        <v>696</v>
      </c>
      <c r="J519" s="39"/>
      <c r="K519" s="39"/>
      <c r="L519" s="80"/>
      <c r="M519" s="9" t="str">
        <f>IF($J519="AC",COUNTIF($J$5:$J519,"AC"),"")</f>
        <v/>
      </c>
      <c r="N519" s="9" t="str">
        <f>IF($J519="FB",COUNTIF($J$5:$J519,"FB"),"")</f>
        <v/>
      </c>
      <c r="O519" s="9" t="str">
        <f>IF($J519="PC",COUNTIF($J$5:$J519,"PC"),"")</f>
        <v/>
      </c>
      <c r="P519" s="28" t="s">
        <v>2211</v>
      </c>
      <c r="Q519" s="28" t="s">
        <v>2212</v>
      </c>
    </row>
    <row r="520" spans="1:17" ht="40.5" customHeight="1" x14ac:dyDescent="0.25">
      <c r="A520" s="69">
        <v>6</v>
      </c>
      <c r="B520" s="70" t="s">
        <v>542</v>
      </c>
      <c r="C520" s="71" t="s">
        <v>2195</v>
      </c>
      <c r="D520" s="70" t="s">
        <v>2196</v>
      </c>
      <c r="E520" s="70" t="s">
        <v>2213</v>
      </c>
      <c r="F520" s="68" t="s">
        <v>92</v>
      </c>
      <c r="G520" s="77" t="s">
        <v>2214</v>
      </c>
      <c r="H520" s="37"/>
      <c r="I520" s="79" t="s">
        <v>696</v>
      </c>
      <c r="J520" s="39"/>
      <c r="K520" s="39"/>
      <c r="L520" s="80"/>
      <c r="M520" s="9" t="str">
        <f>IF($J520="AC",COUNTIF($J$5:$J520,"AC"),"")</f>
        <v/>
      </c>
      <c r="N520" s="9" t="str">
        <f>IF($J520="FB",COUNTIF($J$5:$J520,"FB"),"")</f>
        <v/>
      </c>
      <c r="O520" s="9" t="str">
        <f>IF($J520="PC",COUNTIF($J$5:$J520,"PC"),"")</f>
        <v/>
      </c>
      <c r="P520" s="28" t="s">
        <v>2215</v>
      </c>
      <c r="Q520" s="28" t="s">
        <v>2216</v>
      </c>
    </row>
    <row r="521" spans="1:17" ht="30.75" customHeight="1" x14ac:dyDescent="0.25">
      <c r="A521" s="41">
        <v>7</v>
      </c>
      <c r="B521" s="42" t="s">
        <v>2217</v>
      </c>
      <c r="C521" s="43" t="s">
        <v>2218</v>
      </c>
      <c r="D521" s="42" t="s">
        <v>2219</v>
      </c>
      <c r="E521" s="42" t="s">
        <v>2220</v>
      </c>
      <c r="F521" s="44" t="s">
        <v>92</v>
      </c>
      <c r="G521" s="102" t="s">
        <v>2221</v>
      </c>
      <c r="H521" s="37"/>
      <c r="I521" s="103" t="s">
        <v>2222</v>
      </c>
      <c r="J521" s="39"/>
      <c r="K521" s="39"/>
      <c r="L521" s="40"/>
      <c r="M521" s="9" t="str">
        <f>IF($J521="AC",COUNTIF($J$5:$J521,"AC"),"")</f>
        <v/>
      </c>
      <c r="N521" s="9" t="str">
        <f>IF($J521="FB",COUNTIF($J$5:$J521,"FB"),"")</f>
        <v/>
      </c>
      <c r="O521" s="9" t="str">
        <f>IF($J521="PC",COUNTIF($J$5:$J521,"PC"),"")</f>
        <v/>
      </c>
      <c r="P521" s="28" t="s">
        <v>2223</v>
      </c>
      <c r="Q521" s="28" t="s">
        <v>2224</v>
      </c>
    </row>
    <row r="522" spans="1:17" ht="30.75" customHeight="1" x14ac:dyDescent="0.25">
      <c r="A522" s="41">
        <v>7</v>
      </c>
      <c r="B522" s="42" t="s">
        <v>2217</v>
      </c>
      <c r="C522" s="43" t="s">
        <v>2218</v>
      </c>
      <c r="D522" s="42" t="s">
        <v>2219</v>
      </c>
      <c r="E522" s="42" t="s">
        <v>2225</v>
      </c>
      <c r="F522" s="44" t="s">
        <v>92</v>
      </c>
      <c r="G522" s="102" t="s">
        <v>2221</v>
      </c>
      <c r="H522" s="37"/>
      <c r="I522" s="103" t="s">
        <v>2222</v>
      </c>
      <c r="J522" s="39"/>
      <c r="K522" s="39"/>
      <c r="L522" s="40"/>
      <c r="M522" s="9" t="str">
        <f>IF($J522="AC",COUNTIF($J$5:$J522,"AC"),"")</f>
        <v/>
      </c>
      <c r="N522" s="9" t="str">
        <f>IF($J522="FB",COUNTIF($J$5:$J522,"FB"),"")</f>
        <v/>
      </c>
      <c r="O522" s="9" t="str">
        <f>IF($J522="PC",COUNTIF($J$5:$J522,"PC"),"")</f>
        <v/>
      </c>
      <c r="P522" s="28" t="s">
        <v>2226</v>
      </c>
      <c r="Q522" s="28" t="s">
        <v>2227</v>
      </c>
    </row>
    <row r="523" spans="1:17" ht="45.75" customHeight="1" x14ac:dyDescent="0.25">
      <c r="A523" s="41">
        <v>7</v>
      </c>
      <c r="B523" s="42" t="s">
        <v>2217</v>
      </c>
      <c r="C523" s="43" t="s">
        <v>2218</v>
      </c>
      <c r="D523" s="42" t="s">
        <v>2219</v>
      </c>
      <c r="E523" s="42" t="s">
        <v>2228</v>
      </c>
      <c r="F523" s="45" t="s">
        <v>165</v>
      </c>
      <c r="G523" s="102" t="s">
        <v>2221</v>
      </c>
      <c r="H523" s="37"/>
      <c r="I523" s="103" t="s">
        <v>2222</v>
      </c>
      <c r="J523" s="39"/>
      <c r="K523" s="39"/>
      <c r="L523" s="40"/>
      <c r="M523" s="9" t="str">
        <f>IF($J523="AC",COUNTIF($J$5:$J523,"AC"),"")</f>
        <v/>
      </c>
      <c r="N523" s="9" t="str">
        <f>IF($J523="FB",COUNTIF($J$5:$J523,"FB"),"")</f>
        <v/>
      </c>
      <c r="O523" s="9" t="str">
        <f>IF($J523="PC",COUNTIF($J$5:$J523,"PC"),"")</f>
        <v/>
      </c>
      <c r="P523" s="28" t="s">
        <v>2229</v>
      </c>
      <c r="Q523" s="28" t="s">
        <v>2230</v>
      </c>
    </row>
    <row r="524" spans="1:17" ht="45.75" customHeight="1" x14ac:dyDescent="0.25">
      <c r="A524" s="41">
        <v>7</v>
      </c>
      <c r="B524" s="42" t="s">
        <v>2217</v>
      </c>
      <c r="C524" s="43" t="s">
        <v>2231</v>
      </c>
      <c r="D524" s="42" t="s">
        <v>2232</v>
      </c>
      <c r="E524" s="42" t="s">
        <v>2233</v>
      </c>
      <c r="F524" s="45"/>
      <c r="G524" s="36" t="s">
        <v>2234</v>
      </c>
      <c r="H524" s="37"/>
      <c r="I524" s="103"/>
      <c r="J524" s="39"/>
      <c r="K524" s="39"/>
      <c r="L524" s="40"/>
      <c r="M524" s="9" t="str">
        <f>IF($J524="AC",COUNTIF($J$5:$J524,"AC"),"")</f>
        <v/>
      </c>
      <c r="N524" s="9" t="str">
        <f>IF($J524="FB",COUNTIF($J$5:$J524,"FB"),"")</f>
        <v/>
      </c>
      <c r="O524" s="9" t="str">
        <f>IF($J524="PC",COUNTIF($J$5:$J524,"PC"),"")</f>
        <v/>
      </c>
      <c r="P524" s="28" t="s">
        <v>2235</v>
      </c>
      <c r="Q524" s="28" t="s">
        <v>2236</v>
      </c>
    </row>
    <row r="525" spans="1:17" ht="45.75" customHeight="1" x14ac:dyDescent="0.25">
      <c r="A525" s="41">
        <v>7</v>
      </c>
      <c r="B525" s="42" t="s">
        <v>2217</v>
      </c>
      <c r="C525" s="43" t="s">
        <v>2231</v>
      </c>
      <c r="D525" s="42" t="s">
        <v>2232</v>
      </c>
      <c r="E525" s="42" t="s">
        <v>2233</v>
      </c>
      <c r="F525" s="45"/>
      <c r="G525" s="36" t="s">
        <v>2237</v>
      </c>
      <c r="H525" s="37"/>
      <c r="I525" s="103"/>
      <c r="J525" s="39"/>
      <c r="K525" s="39"/>
      <c r="L525" s="40"/>
      <c r="M525" s="9" t="str">
        <f>IF($J525="AC",COUNTIF($J$5:$J525,"AC"),"")</f>
        <v/>
      </c>
      <c r="N525" s="9" t="str">
        <f>IF($J525="FB",COUNTIF($J$5:$J525,"FB"),"")</f>
        <v/>
      </c>
      <c r="O525" s="9" t="str">
        <f>IF($J525="PC",COUNTIF($J$5:$J525,"PC"),"")</f>
        <v/>
      </c>
      <c r="P525" s="28" t="s">
        <v>2238</v>
      </c>
      <c r="Q525" s="28" t="s">
        <v>2239</v>
      </c>
    </row>
    <row r="526" spans="1:17" ht="45.75" customHeight="1" x14ac:dyDescent="0.25">
      <c r="A526" s="41">
        <v>7</v>
      </c>
      <c r="B526" s="42" t="s">
        <v>2217</v>
      </c>
      <c r="C526" s="43" t="s">
        <v>2231</v>
      </c>
      <c r="D526" s="42" t="s">
        <v>2232</v>
      </c>
      <c r="E526" s="42" t="s">
        <v>2233</v>
      </c>
      <c r="F526" s="45"/>
      <c r="G526" s="36" t="s">
        <v>2240</v>
      </c>
      <c r="H526" s="37"/>
      <c r="I526" s="103"/>
      <c r="J526" s="39"/>
      <c r="K526" s="39"/>
      <c r="L526" s="40"/>
      <c r="M526" s="9" t="str">
        <f>IF($J526="AC",COUNTIF($J$5:$J526,"AC"),"")</f>
        <v/>
      </c>
      <c r="N526" s="9" t="str">
        <f>IF($J526="FB",COUNTIF($J$5:$J526,"FB"),"")</f>
        <v/>
      </c>
      <c r="O526" s="9" t="str">
        <f>IF($J526="PC",COUNTIF($J$5:$J526,"PC"),"")</f>
        <v/>
      </c>
      <c r="P526" s="28" t="s">
        <v>2241</v>
      </c>
      <c r="Q526" s="28" t="s">
        <v>2242</v>
      </c>
    </row>
    <row r="527" spans="1:17" ht="45.75" customHeight="1" x14ac:dyDescent="0.25">
      <c r="A527" s="41">
        <v>7</v>
      </c>
      <c r="B527" s="42" t="s">
        <v>2217</v>
      </c>
      <c r="C527" s="43" t="s">
        <v>2231</v>
      </c>
      <c r="D527" s="42" t="s">
        <v>2232</v>
      </c>
      <c r="E527" s="42" t="s">
        <v>2233</v>
      </c>
      <c r="F527" s="45"/>
      <c r="G527" s="36" t="s">
        <v>2243</v>
      </c>
      <c r="H527" s="37"/>
      <c r="I527" s="103"/>
      <c r="J527" s="39"/>
      <c r="K527" s="39"/>
      <c r="L527" s="40"/>
      <c r="M527" s="9" t="str">
        <f>IF($J527="AC",COUNTIF($J$5:$J527,"AC"),"")</f>
        <v/>
      </c>
      <c r="N527" s="9" t="str">
        <f>IF($J527="FB",COUNTIF($J$5:$J527,"FB"),"")</f>
        <v/>
      </c>
      <c r="O527" s="9" t="str">
        <f>IF($J527="PC",COUNTIF($J$5:$J527,"PC"),"")</f>
        <v/>
      </c>
      <c r="P527" s="28" t="s">
        <v>2244</v>
      </c>
      <c r="Q527" s="28" t="s">
        <v>2245</v>
      </c>
    </row>
    <row r="528" spans="1:17" ht="45.75" customHeight="1" x14ac:dyDescent="0.25">
      <c r="A528" s="41">
        <v>7</v>
      </c>
      <c r="B528" s="42" t="s">
        <v>2217</v>
      </c>
      <c r="C528" s="43" t="s">
        <v>2231</v>
      </c>
      <c r="D528" s="42" t="s">
        <v>2232</v>
      </c>
      <c r="E528" s="42" t="s">
        <v>2233</v>
      </c>
      <c r="F528" s="45"/>
      <c r="G528" s="36" t="s">
        <v>2246</v>
      </c>
      <c r="H528" s="37"/>
      <c r="I528" s="103"/>
      <c r="J528" s="39"/>
      <c r="K528" s="39"/>
      <c r="L528" s="40"/>
      <c r="M528" s="9" t="str">
        <f>IF($J528="AC",COUNTIF($J$5:$J528,"AC"),"")</f>
        <v/>
      </c>
      <c r="N528" s="9" t="str">
        <f>IF($J528="FB",COUNTIF($J$5:$J528,"FB"),"")</f>
        <v/>
      </c>
      <c r="O528" s="9" t="str">
        <f>IF($J528="PC",COUNTIF($J$5:$J528,"PC"),"")</f>
        <v/>
      </c>
      <c r="P528" s="28" t="s">
        <v>2247</v>
      </c>
      <c r="Q528" s="28" t="s">
        <v>2248</v>
      </c>
    </row>
    <row r="529" spans="1:17" ht="45.75" customHeight="1" x14ac:dyDescent="0.25">
      <c r="A529" s="41">
        <v>7</v>
      </c>
      <c r="B529" s="42" t="s">
        <v>2217</v>
      </c>
      <c r="C529" s="43" t="s">
        <v>2231</v>
      </c>
      <c r="D529" s="42" t="s">
        <v>2232</v>
      </c>
      <c r="E529" s="42" t="s">
        <v>2233</v>
      </c>
      <c r="F529" s="45"/>
      <c r="G529" s="36" t="s">
        <v>2249</v>
      </c>
      <c r="H529" s="37"/>
      <c r="I529" s="103"/>
      <c r="J529" s="39"/>
      <c r="K529" s="39"/>
      <c r="L529" s="40"/>
      <c r="M529" s="9" t="str">
        <f>IF($J529="AC",COUNTIF($J$5:$J529,"AC"),"")</f>
        <v/>
      </c>
      <c r="N529" s="9" t="str">
        <f>IF($J529="FB",COUNTIF($J$5:$J529,"FB"),"")</f>
        <v/>
      </c>
      <c r="O529" s="9" t="str">
        <f>IF($J529="PC",COUNTIF($J$5:$J529,"PC"),"")</f>
        <v/>
      </c>
      <c r="P529" s="28" t="s">
        <v>2250</v>
      </c>
      <c r="Q529" s="28" t="s">
        <v>2251</v>
      </c>
    </row>
    <row r="530" spans="1:17" ht="45.75" customHeight="1" x14ac:dyDescent="0.25">
      <c r="A530" s="41">
        <v>7</v>
      </c>
      <c r="B530" s="42" t="s">
        <v>2217</v>
      </c>
      <c r="C530" s="43" t="s">
        <v>2252</v>
      </c>
      <c r="D530" s="42" t="s">
        <v>2253</v>
      </c>
      <c r="E530" s="42" t="s">
        <v>2254</v>
      </c>
      <c r="F530" s="45"/>
      <c r="G530" s="36" t="s">
        <v>2255</v>
      </c>
      <c r="H530" s="37"/>
      <c r="I530" s="103"/>
      <c r="J530" s="39"/>
      <c r="K530" s="39"/>
      <c r="L530" s="40"/>
      <c r="M530" s="9" t="str">
        <f>IF($J530="AC",COUNTIF($J$5:$J530,"AC"),"")</f>
        <v/>
      </c>
      <c r="N530" s="9" t="str">
        <f>IF($J530="FB",COUNTIF($J$5:$J530,"FB"),"")</f>
        <v/>
      </c>
      <c r="O530" s="9" t="str">
        <f>IF($J530="PC",COUNTIF($J$5:$J530,"PC"),"")</f>
        <v/>
      </c>
      <c r="P530" s="28" t="s">
        <v>2256</v>
      </c>
      <c r="Q530" s="28" t="s">
        <v>2257</v>
      </c>
    </row>
    <row r="531" spans="1:17" ht="45.75" customHeight="1" x14ac:dyDescent="0.25">
      <c r="A531" s="41">
        <v>7</v>
      </c>
      <c r="B531" s="42" t="s">
        <v>2217</v>
      </c>
      <c r="C531" s="43" t="s">
        <v>2252</v>
      </c>
      <c r="D531" s="42" t="s">
        <v>2253</v>
      </c>
      <c r="E531" s="42" t="s">
        <v>2254</v>
      </c>
      <c r="F531" s="45"/>
      <c r="G531" s="36" t="s">
        <v>2258</v>
      </c>
      <c r="H531" s="37"/>
      <c r="I531" s="103"/>
      <c r="J531" s="39"/>
      <c r="K531" s="39"/>
      <c r="L531" s="40"/>
      <c r="M531" s="9" t="str">
        <f>IF($J531="AC",COUNTIF($J$5:$J531,"AC"),"")</f>
        <v/>
      </c>
      <c r="N531" s="9" t="str">
        <f>IF($J531="FB",COUNTIF($J$5:$J531,"FB"),"")</f>
        <v/>
      </c>
      <c r="O531" s="9" t="str">
        <f>IF($J531="PC",COUNTIF($J$5:$J531,"PC"),"")</f>
        <v/>
      </c>
      <c r="P531" s="28" t="s">
        <v>2259</v>
      </c>
      <c r="Q531" s="28" t="s">
        <v>2260</v>
      </c>
    </row>
    <row r="532" spans="1:17" ht="45.75" customHeight="1" x14ac:dyDescent="0.25">
      <c r="A532" s="41">
        <v>7</v>
      </c>
      <c r="B532" s="42" t="s">
        <v>2217</v>
      </c>
      <c r="C532" s="43" t="s">
        <v>2252</v>
      </c>
      <c r="D532" s="42" t="s">
        <v>2253</v>
      </c>
      <c r="E532" s="42" t="s">
        <v>2254</v>
      </c>
      <c r="F532" s="45"/>
      <c r="G532" s="36" t="s">
        <v>2261</v>
      </c>
      <c r="H532" s="37"/>
      <c r="I532" s="103"/>
      <c r="J532" s="39"/>
      <c r="K532" s="39"/>
      <c r="L532" s="40"/>
      <c r="M532" s="9" t="str">
        <f>IF($J532="AC",COUNTIF($J$5:$J532,"AC"),"")</f>
        <v/>
      </c>
      <c r="N532" s="9" t="str">
        <f>IF($J532="FB",COUNTIF($J$5:$J532,"FB"),"")</f>
        <v/>
      </c>
      <c r="O532" s="9" t="str">
        <f>IF($J532="PC",COUNTIF($J$5:$J532,"PC"),"")</f>
        <v/>
      </c>
      <c r="P532" s="28" t="s">
        <v>2262</v>
      </c>
      <c r="Q532" s="28" t="s">
        <v>2263</v>
      </c>
    </row>
    <row r="533" spans="1:17" ht="45.75" customHeight="1" x14ac:dyDescent="0.25">
      <c r="A533" s="41">
        <v>7</v>
      </c>
      <c r="B533" s="42" t="s">
        <v>2217</v>
      </c>
      <c r="C533" s="43" t="s">
        <v>2252</v>
      </c>
      <c r="D533" s="42" t="s">
        <v>2253</v>
      </c>
      <c r="E533" s="42" t="s">
        <v>2254</v>
      </c>
      <c r="F533" s="45"/>
      <c r="G533" s="36" t="s">
        <v>2264</v>
      </c>
      <c r="H533" s="37"/>
      <c r="I533" s="103"/>
      <c r="J533" s="39"/>
      <c r="K533" s="39"/>
      <c r="L533" s="40"/>
      <c r="M533" s="9" t="str">
        <f>IF($J533="AC",COUNTIF($J$5:$J533,"AC"),"")</f>
        <v/>
      </c>
      <c r="N533" s="9" t="str">
        <f>IF($J533="FB",COUNTIF($J$5:$J533,"FB"),"")</f>
        <v/>
      </c>
      <c r="O533" s="9" t="str">
        <f>IF($J533="PC",COUNTIF($J$5:$J533,"PC"),"")</f>
        <v/>
      </c>
      <c r="P533" s="28" t="s">
        <v>2265</v>
      </c>
      <c r="Q533" s="28" t="s">
        <v>2266</v>
      </c>
    </row>
    <row r="534" spans="1:17" ht="45.75" customHeight="1" x14ac:dyDescent="0.25">
      <c r="A534" s="41">
        <v>7</v>
      </c>
      <c r="B534" s="42" t="s">
        <v>2217</v>
      </c>
      <c r="C534" s="43" t="s">
        <v>2252</v>
      </c>
      <c r="D534" s="42" t="s">
        <v>2253</v>
      </c>
      <c r="E534" s="42" t="s">
        <v>2254</v>
      </c>
      <c r="F534" s="45"/>
      <c r="G534" s="36" t="s">
        <v>2267</v>
      </c>
      <c r="H534" s="37"/>
      <c r="I534" s="103"/>
      <c r="J534" s="39"/>
      <c r="K534" s="39"/>
      <c r="L534" s="40"/>
      <c r="M534" s="9" t="str">
        <f>IF($J534="AC",COUNTIF($J$5:$J534,"AC"),"")</f>
        <v/>
      </c>
      <c r="N534" s="9" t="str">
        <f>IF($J534="FB",COUNTIF($J$5:$J534,"FB"),"")</f>
        <v/>
      </c>
      <c r="O534" s="9" t="str">
        <f>IF($J534="PC",COUNTIF($J$5:$J534,"PC"),"")</f>
        <v/>
      </c>
      <c r="P534" s="28" t="s">
        <v>2268</v>
      </c>
      <c r="Q534" s="28" t="s">
        <v>2269</v>
      </c>
    </row>
    <row r="535" spans="1:17" ht="45.75" customHeight="1" x14ac:dyDescent="0.25">
      <c r="A535" s="41">
        <v>7</v>
      </c>
      <c r="B535" s="42" t="s">
        <v>2217</v>
      </c>
      <c r="C535" s="43" t="s">
        <v>2252</v>
      </c>
      <c r="D535" s="42" t="s">
        <v>2253</v>
      </c>
      <c r="E535" s="42" t="s">
        <v>2254</v>
      </c>
      <c r="F535" s="45"/>
      <c r="G535" s="36" t="s">
        <v>2270</v>
      </c>
      <c r="H535" s="37"/>
      <c r="I535" s="103"/>
      <c r="J535" s="39"/>
      <c r="K535" s="39"/>
      <c r="L535" s="40"/>
      <c r="M535" s="9" t="str">
        <f>IF($J535="AC",COUNTIF($J$5:$J535,"AC"),"")</f>
        <v/>
      </c>
      <c r="N535" s="9" t="str">
        <f>IF($J535="FB",COUNTIF($J$5:$J535,"FB"),"")</f>
        <v/>
      </c>
      <c r="O535" s="9" t="str">
        <f>IF($J535="PC",COUNTIF($J$5:$J535,"PC"),"")</f>
        <v/>
      </c>
      <c r="P535" s="28" t="s">
        <v>2271</v>
      </c>
      <c r="Q535" s="28" t="s">
        <v>2272</v>
      </c>
    </row>
    <row r="536" spans="1:17" ht="45.75" customHeight="1" x14ac:dyDescent="0.25">
      <c r="A536" s="41">
        <v>7</v>
      </c>
      <c r="B536" s="42" t="s">
        <v>2217</v>
      </c>
      <c r="C536" s="43" t="s">
        <v>2252</v>
      </c>
      <c r="D536" s="42" t="s">
        <v>2253</v>
      </c>
      <c r="E536" s="42" t="s">
        <v>2254</v>
      </c>
      <c r="F536" s="45"/>
      <c r="G536" s="36" t="s">
        <v>2273</v>
      </c>
      <c r="H536" s="37"/>
      <c r="I536" s="103"/>
      <c r="J536" s="39"/>
      <c r="K536" s="39"/>
      <c r="L536" s="40"/>
      <c r="M536" s="9" t="str">
        <f>IF($J536="AC",COUNTIF($J$5:$J536,"AC"),"")</f>
        <v/>
      </c>
      <c r="N536" s="9" t="str">
        <f>IF($J536="FB",COUNTIF($J$5:$J536,"FB"),"")</f>
        <v/>
      </c>
      <c r="O536" s="9" t="str">
        <f>IF($J536="PC",COUNTIF($J$5:$J536,"PC"),"")</f>
        <v/>
      </c>
      <c r="P536" s="28" t="s">
        <v>2274</v>
      </c>
      <c r="Q536" s="28" t="s">
        <v>2275</v>
      </c>
    </row>
    <row r="537" spans="1:17" ht="45.75" customHeight="1" x14ac:dyDescent="0.25">
      <c r="A537" s="41">
        <v>7</v>
      </c>
      <c r="B537" s="42" t="s">
        <v>2217</v>
      </c>
      <c r="C537" s="43" t="s">
        <v>2252</v>
      </c>
      <c r="D537" s="42" t="s">
        <v>2253</v>
      </c>
      <c r="E537" s="42" t="s">
        <v>2254</v>
      </c>
      <c r="F537" s="45"/>
      <c r="G537" s="36" t="s">
        <v>2276</v>
      </c>
      <c r="H537" s="37"/>
      <c r="I537" s="103"/>
      <c r="J537" s="39"/>
      <c r="K537" s="39"/>
      <c r="L537" s="40"/>
      <c r="M537" s="9" t="str">
        <f>IF($J537="AC",COUNTIF($J$5:$J537,"AC"),"")</f>
        <v/>
      </c>
      <c r="N537" s="9" t="str">
        <f>IF($J537="FB",COUNTIF($J$5:$J537,"FB"),"")</f>
        <v/>
      </c>
      <c r="O537" s="9" t="str">
        <f>IF($J537="PC",COUNTIF($J$5:$J537,"PC"),"")</f>
        <v/>
      </c>
      <c r="P537" s="28" t="s">
        <v>2277</v>
      </c>
      <c r="Q537" s="28" t="s">
        <v>2278</v>
      </c>
    </row>
    <row r="538" spans="1:17" ht="45.75" customHeight="1" x14ac:dyDescent="0.25">
      <c r="A538" s="41">
        <v>7</v>
      </c>
      <c r="B538" s="42" t="s">
        <v>2217</v>
      </c>
      <c r="C538" s="43" t="s">
        <v>2252</v>
      </c>
      <c r="D538" s="42" t="s">
        <v>2253</v>
      </c>
      <c r="E538" s="42" t="s">
        <v>2254</v>
      </c>
      <c r="F538" s="45"/>
      <c r="G538" s="36" t="s">
        <v>2279</v>
      </c>
      <c r="H538" s="37"/>
      <c r="I538" s="103"/>
      <c r="J538" s="39"/>
      <c r="K538" s="39"/>
      <c r="L538" s="40"/>
      <c r="M538" s="9" t="str">
        <f>IF($J538="AC",COUNTIF($J$5:$J538,"AC"),"")</f>
        <v/>
      </c>
      <c r="N538" s="9" t="str">
        <f>IF($J538="FB",COUNTIF($J$5:$J538,"FB"),"")</f>
        <v/>
      </c>
      <c r="O538" s="9" t="str">
        <f>IF($J538="PC",COUNTIF($J$5:$J538,"PC"),"")</f>
        <v/>
      </c>
      <c r="P538" s="28" t="s">
        <v>2280</v>
      </c>
      <c r="Q538" s="28" t="s">
        <v>2281</v>
      </c>
    </row>
    <row r="539" spans="1:17" ht="45.75" customHeight="1" x14ac:dyDescent="0.25">
      <c r="A539" s="41">
        <v>7</v>
      </c>
      <c r="B539" s="42" t="s">
        <v>2217</v>
      </c>
      <c r="C539" s="43" t="s">
        <v>2252</v>
      </c>
      <c r="D539" s="42" t="s">
        <v>2253</v>
      </c>
      <c r="E539" s="42" t="s">
        <v>2254</v>
      </c>
      <c r="F539" s="45"/>
      <c r="G539" s="36" t="s">
        <v>2282</v>
      </c>
      <c r="H539" s="37"/>
      <c r="I539" s="103"/>
      <c r="J539" s="39"/>
      <c r="K539" s="39"/>
      <c r="L539" s="40"/>
      <c r="M539" s="9" t="str">
        <f>IF($J539="AC",COUNTIF($J$5:$J539,"AC"),"")</f>
        <v/>
      </c>
      <c r="N539" s="9" t="str">
        <f>IF($J539="FB",COUNTIF($J$5:$J539,"FB"),"")</f>
        <v/>
      </c>
      <c r="O539" s="9" t="str">
        <f>IF($J539="PC",COUNTIF($J$5:$J539,"PC"),"")</f>
        <v/>
      </c>
      <c r="P539" s="28" t="s">
        <v>2283</v>
      </c>
      <c r="Q539" s="28" t="s">
        <v>2284</v>
      </c>
    </row>
    <row r="540" spans="1:17" ht="45.75" customHeight="1" x14ac:dyDescent="0.25">
      <c r="A540" s="41">
        <v>7</v>
      </c>
      <c r="B540" s="42" t="s">
        <v>2217</v>
      </c>
      <c r="C540" s="43" t="s">
        <v>2252</v>
      </c>
      <c r="D540" s="42" t="s">
        <v>2253</v>
      </c>
      <c r="E540" s="42" t="s">
        <v>2254</v>
      </c>
      <c r="F540" s="45"/>
      <c r="G540" s="36" t="s">
        <v>2285</v>
      </c>
      <c r="H540" s="37"/>
      <c r="I540" s="103"/>
      <c r="J540" s="39"/>
      <c r="K540" s="39"/>
      <c r="L540" s="40"/>
      <c r="M540" s="9" t="str">
        <f>IF($J540="AC",COUNTIF($J$5:$J540,"AC"),"")</f>
        <v/>
      </c>
      <c r="N540" s="9" t="str">
        <f>IF($J540="FB",COUNTIF($J$5:$J540,"FB"),"")</f>
        <v/>
      </c>
      <c r="O540" s="9" t="str">
        <f>IF($J540="PC",COUNTIF($J$5:$J540,"PC"),"")</f>
        <v/>
      </c>
      <c r="P540" s="28" t="s">
        <v>2286</v>
      </c>
      <c r="Q540" s="28" t="s">
        <v>2287</v>
      </c>
    </row>
    <row r="541" spans="1:17" ht="45.75" customHeight="1" x14ac:dyDescent="0.25">
      <c r="A541" s="41">
        <v>7</v>
      </c>
      <c r="B541" s="42" t="s">
        <v>2217</v>
      </c>
      <c r="C541" s="43" t="s">
        <v>2288</v>
      </c>
      <c r="D541" s="42" t="s">
        <v>2289</v>
      </c>
      <c r="E541" s="42" t="s">
        <v>2290</v>
      </c>
      <c r="F541" s="45"/>
      <c r="G541" s="36" t="s">
        <v>2291</v>
      </c>
      <c r="H541" s="37"/>
      <c r="I541" s="103"/>
      <c r="J541" s="39"/>
      <c r="K541" s="39"/>
      <c r="L541" s="40"/>
      <c r="M541" s="9" t="str">
        <f>IF($J541="AC",COUNTIF($J$5:$J541,"AC"),"")</f>
        <v/>
      </c>
      <c r="N541" s="9" t="str">
        <f>IF($J541="FB",COUNTIF($J$5:$J541,"FB"),"")</f>
        <v/>
      </c>
      <c r="O541" s="9" t="str">
        <f>IF($J541="PC",COUNTIF($J$5:$J541,"PC"),"")</f>
        <v/>
      </c>
      <c r="P541" s="28" t="s">
        <v>2292</v>
      </c>
      <c r="Q541" s="28" t="s">
        <v>2293</v>
      </c>
    </row>
    <row r="542" spans="1:17" ht="45.75" customHeight="1" x14ac:dyDescent="0.25">
      <c r="A542" s="41">
        <v>7</v>
      </c>
      <c r="B542" s="42" t="s">
        <v>2217</v>
      </c>
      <c r="C542" s="43" t="s">
        <v>2288</v>
      </c>
      <c r="D542" s="42" t="s">
        <v>2289</v>
      </c>
      <c r="E542" s="42" t="s">
        <v>2290</v>
      </c>
      <c r="F542" s="45"/>
      <c r="G542" s="36" t="s">
        <v>2294</v>
      </c>
      <c r="H542" s="37"/>
      <c r="I542" s="103"/>
      <c r="J542" s="39"/>
      <c r="K542" s="39"/>
      <c r="L542" s="40"/>
      <c r="M542" s="9" t="str">
        <f>IF($J542="AC",COUNTIF($J$5:$J542,"AC"),"")</f>
        <v/>
      </c>
      <c r="N542" s="9" t="str">
        <f>IF($J542="FB",COUNTIF($J$5:$J542,"FB"),"")</f>
        <v/>
      </c>
      <c r="O542" s="9" t="str">
        <f>IF($J542="PC",COUNTIF($J$5:$J542,"PC"),"")</f>
        <v/>
      </c>
      <c r="P542" s="28" t="s">
        <v>2295</v>
      </c>
      <c r="Q542" s="28" t="s">
        <v>2296</v>
      </c>
    </row>
    <row r="543" spans="1:17" ht="45.75" customHeight="1" x14ac:dyDescent="0.25">
      <c r="A543" s="41">
        <v>7</v>
      </c>
      <c r="B543" s="42" t="s">
        <v>2217</v>
      </c>
      <c r="C543" s="43" t="s">
        <v>2288</v>
      </c>
      <c r="D543" s="42" t="s">
        <v>2289</v>
      </c>
      <c r="E543" s="42" t="s">
        <v>2290</v>
      </c>
      <c r="F543" s="45"/>
      <c r="G543" s="36" t="s">
        <v>2297</v>
      </c>
      <c r="H543" s="37"/>
      <c r="I543" s="103"/>
      <c r="J543" s="39"/>
      <c r="K543" s="39"/>
      <c r="L543" s="40"/>
      <c r="M543" s="9" t="str">
        <f>IF($J543="AC",COUNTIF($J$5:$J543,"AC"),"")</f>
        <v/>
      </c>
      <c r="N543" s="9" t="str">
        <f>IF($J543="FB",COUNTIF($J$5:$J543,"FB"),"")</f>
        <v/>
      </c>
      <c r="O543" s="9" t="str">
        <f>IF($J543="PC",COUNTIF($J$5:$J543,"PC"),"")</f>
        <v/>
      </c>
      <c r="P543" s="28" t="s">
        <v>2298</v>
      </c>
      <c r="Q543" s="28" t="s">
        <v>2299</v>
      </c>
    </row>
    <row r="544" spans="1:17" ht="45.75" customHeight="1" x14ac:dyDescent="0.25">
      <c r="A544" s="41">
        <v>7</v>
      </c>
      <c r="B544" s="42" t="s">
        <v>2217</v>
      </c>
      <c r="C544" s="43" t="s">
        <v>2288</v>
      </c>
      <c r="D544" s="42" t="s">
        <v>2289</v>
      </c>
      <c r="E544" s="42" t="s">
        <v>2290</v>
      </c>
      <c r="F544" s="45"/>
      <c r="G544" s="36" t="s">
        <v>2300</v>
      </c>
      <c r="H544" s="37"/>
      <c r="I544" s="103"/>
      <c r="J544" s="39"/>
      <c r="K544" s="39"/>
      <c r="L544" s="40"/>
      <c r="M544" s="9" t="str">
        <f>IF($J544="AC",COUNTIF($J$5:$J544,"AC"),"")</f>
        <v/>
      </c>
      <c r="N544" s="9" t="str">
        <f>IF($J544="FB",COUNTIF($J$5:$J544,"FB"),"")</f>
        <v/>
      </c>
      <c r="O544" s="9" t="str">
        <f>IF($J544="PC",COUNTIF($J$5:$J544,"PC"),"")</f>
        <v/>
      </c>
      <c r="P544" s="28" t="s">
        <v>2301</v>
      </c>
      <c r="Q544" s="28" t="s">
        <v>2302</v>
      </c>
    </row>
    <row r="545" spans="1:17" ht="45.75" customHeight="1" x14ac:dyDescent="0.25">
      <c r="A545" s="41">
        <v>7</v>
      </c>
      <c r="B545" s="42" t="s">
        <v>2217</v>
      </c>
      <c r="C545" s="43" t="s">
        <v>2288</v>
      </c>
      <c r="D545" s="42" t="s">
        <v>2289</v>
      </c>
      <c r="E545" s="42" t="s">
        <v>2290</v>
      </c>
      <c r="F545" s="45"/>
      <c r="G545" s="36" t="s">
        <v>2303</v>
      </c>
      <c r="H545" s="37"/>
      <c r="I545" s="103"/>
      <c r="J545" s="39"/>
      <c r="K545" s="39"/>
      <c r="L545" s="40"/>
      <c r="M545" s="9" t="str">
        <f>IF($J545="AC",COUNTIF($J$5:$J545,"AC"),"")</f>
        <v/>
      </c>
      <c r="N545" s="9" t="str">
        <f>IF($J545="FB",COUNTIF($J$5:$J545,"FB"),"")</f>
        <v/>
      </c>
      <c r="O545" s="9" t="str">
        <f>IF($J545="PC",COUNTIF($J$5:$J545,"PC"),"")</f>
        <v/>
      </c>
      <c r="P545" s="28" t="s">
        <v>2304</v>
      </c>
      <c r="Q545" s="28" t="s">
        <v>2305</v>
      </c>
    </row>
    <row r="546" spans="1:17" ht="45.75" customHeight="1" x14ac:dyDescent="0.25">
      <c r="A546" s="41">
        <v>7</v>
      </c>
      <c r="B546" s="42" t="s">
        <v>2217</v>
      </c>
      <c r="C546" s="43" t="s">
        <v>2288</v>
      </c>
      <c r="D546" s="42" t="s">
        <v>2289</v>
      </c>
      <c r="E546" s="42" t="s">
        <v>2290</v>
      </c>
      <c r="F546" s="45"/>
      <c r="G546" s="36" t="s">
        <v>2306</v>
      </c>
      <c r="H546" s="37"/>
      <c r="I546" s="103"/>
      <c r="J546" s="39"/>
      <c r="K546" s="39"/>
      <c r="L546" s="40"/>
      <c r="M546" s="9" t="str">
        <f>IF($J546="AC",COUNTIF($J$5:$J546,"AC"),"")</f>
        <v/>
      </c>
      <c r="N546" s="9" t="str">
        <f>IF($J546="FB",COUNTIF($J$5:$J546,"FB"),"")</f>
        <v/>
      </c>
      <c r="O546" s="9" t="str">
        <f>IF($J546="PC",COUNTIF($J$5:$J546,"PC"),"")</f>
        <v/>
      </c>
      <c r="P546" s="28" t="s">
        <v>2307</v>
      </c>
      <c r="Q546" s="28" t="s">
        <v>2308</v>
      </c>
    </row>
    <row r="547" spans="1:17" ht="45.75" customHeight="1" x14ac:dyDescent="0.25">
      <c r="A547" s="41">
        <v>7</v>
      </c>
      <c r="B547" s="42" t="s">
        <v>2217</v>
      </c>
      <c r="C547" s="43" t="s">
        <v>2288</v>
      </c>
      <c r="D547" s="42" t="s">
        <v>2289</v>
      </c>
      <c r="E547" s="42" t="s">
        <v>2290</v>
      </c>
      <c r="F547" s="45"/>
      <c r="G547" s="36" t="s">
        <v>2309</v>
      </c>
      <c r="H547" s="37"/>
      <c r="I547" s="103"/>
      <c r="J547" s="39"/>
      <c r="K547" s="39"/>
      <c r="L547" s="40"/>
      <c r="M547" s="9" t="str">
        <f>IF($J547="AC",COUNTIF($J$5:$J547,"AC"),"")</f>
        <v/>
      </c>
      <c r="N547" s="9" t="str">
        <f>IF($J547="FB",COUNTIF($J$5:$J547,"FB"),"")</f>
        <v/>
      </c>
      <c r="O547" s="9" t="str">
        <f>IF($J547="PC",COUNTIF($J$5:$J547,"PC"),"")</f>
        <v/>
      </c>
      <c r="P547" s="28" t="s">
        <v>2310</v>
      </c>
      <c r="Q547" s="28" t="s">
        <v>2311</v>
      </c>
    </row>
    <row r="548" spans="1:17" ht="45.75" customHeight="1" x14ac:dyDescent="0.25">
      <c r="A548" s="41">
        <v>7</v>
      </c>
      <c r="B548" s="42" t="s">
        <v>2217</v>
      </c>
      <c r="C548" s="43" t="s">
        <v>2288</v>
      </c>
      <c r="D548" s="42" t="s">
        <v>2289</v>
      </c>
      <c r="E548" s="42" t="s">
        <v>2290</v>
      </c>
      <c r="F548" s="45"/>
      <c r="G548" s="36" t="s">
        <v>2312</v>
      </c>
      <c r="H548" s="37"/>
      <c r="I548" s="103"/>
      <c r="J548" s="39"/>
      <c r="K548" s="39"/>
      <c r="L548" s="40"/>
      <c r="M548" s="9" t="str">
        <f>IF($J548="AC",COUNTIF($J$5:$J548,"AC"),"")</f>
        <v/>
      </c>
      <c r="N548" s="9" t="str">
        <f>IF($J548="FB",COUNTIF($J$5:$J548,"FB"),"")</f>
        <v/>
      </c>
      <c r="O548" s="9" t="str">
        <f>IF($J548="PC",COUNTIF($J$5:$J548,"PC"),"")</f>
        <v/>
      </c>
      <c r="P548" s="28" t="s">
        <v>2313</v>
      </c>
      <c r="Q548" s="28" t="s">
        <v>2314</v>
      </c>
    </row>
    <row r="549" spans="1:17" ht="45.75" customHeight="1" x14ac:dyDescent="0.25">
      <c r="A549" s="41">
        <v>7</v>
      </c>
      <c r="B549" s="42" t="s">
        <v>2217</v>
      </c>
      <c r="C549" s="43" t="s">
        <v>2288</v>
      </c>
      <c r="D549" s="42" t="s">
        <v>2289</v>
      </c>
      <c r="E549" s="42" t="s">
        <v>2290</v>
      </c>
      <c r="F549" s="45"/>
      <c r="G549" s="36" t="s">
        <v>2315</v>
      </c>
      <c r="H549" s="37"/>
      <c r="I549" s="103"/>
      <c r="J549" s="39"/>
      <c r="K549" s="39"/>
      <c r="L549" s="40"/>
      <c r="M549" s="9" t="str">
        <f>IF($J549="AC",COUNTIF($J$5:$J549,"AC"),"")</f>
        <v/>
      </c>
      <c r="N549" s="9" t="str">
        <f>IF($J549="FB",COUNTIF($J$5:$J549,"FB"),"")</f>
        <v/>
      </c>
      <c r="O549" s="9" t="str">
        <f>IF($J549="PC",COUNTIF($J$5:$J549,"PC"),"")</f>
        <v/>
      </c>
      <c r="P549" s="28" t="s">
        <v>2316</v>
      </c>
      <c r="Q549" s="28" t="s">
        <v>2317</v>
      </c>
    </row>
    <row r="550" spans="1:17" ht="45.75" customHeight="1" x14ac:dyDescent="0.25">
      <c r="A550" s="41">
        <v>7</v>
      </c>
      <c r="B550" s="42" t="s">
        <v>2217</v>
      </c>
      <c r="C550" s="43" t="s">
        <v>2288</v>
      </c>
      <c r="D550" s="42" t="s">
        <v>2289</v>
      </c>
      <c r="E550" s="42" t="s">
        <v>2290</v>
      </c>
      <c r="F550" s="45"/>
      <c r="G550" s="36" t="s">
        <v>2318</v>
      </c>
      <c r="H550" s="37"/>
      <c r="I550" s="103"/>
      <c r="J550" s="39"/>
      <c r="K550" s="39"/>
      <c r="L550" s="40"/>
      <c r="M550" s="9" t="str">
        <f>IF($J550="AC",COUNTIF($J$5:$J550,"AC"),"")</f>
        <v/>
      </c>
      <c r="N550" s="9" t="str">
        <f>IF($J550="FB",COUNTIF($J$5:$J550,"FB"),"")</f>
        <v/>
      </c>
      <c r="O550" s="9" t="str">
        <f>IF($J550="PC",COUNTIF($J$5:$J550,"PC"),"")</f>
        <v/>
      </c>
      <c r="P550" s="28" t="s">
        <v>2319</v>
      </c>
      <c r="Q550" s="28" t="s">
        <v>2320</v>
      </c>
    </row>
    <row r="551" spans="1:17" ht="45.75" customHeight="1" x14ac:dyDescent="0.25">
      <c r="A551" s="41">
        <v>7</v>
      </c>
      <c r="B551" s="42" t="s">
        <v>2217</v>
      </c>
      <c r="C551" s="43" t="s">
        <v>2288</v>
      </c>
      <c r="D551" s="42" t="s">
        <v>2289</v>
      </c>
      <c r="E551" s="42" t="s">
        <v>2290</v>
      </c>
      <c r="F551" s="45"/>
      <c r="G551" s="36" t="s">
        <v>2321</v>
      </c>
      <c r="H551" s="37"/>
      <c r="I551" s="103"/>
      <c r="J551" s="39"/>
      <c r="K551" s="39"/>
      <c r="L551" s="40"/>
      <c r="M551" s="9" t="str">
        <f>IF($J551="AC",COUNTIF($J$5:$J551,"AC"),"")</f>
        <v/>
      </c>
      <c r="N551" s="9" t="str">
        <f>IF($J551="FB",COUNTIF($J$5:$J551,"FB"),"")</f>
        <v/>
      </c>
      <c r="O551" s="9" t="str">
        <f>IF($J551="PC",COUNTIF($J$5:$J551,"PC"),"")</f>
        <v/>
      </c>
      <c r="P551" s="28" t="s">
        <v>2322</v>
      </c>
      <c r="Q551" s="28" t="s">
        <v>2323</v>
      </c>
    </row>
    <row r="552" spans="1:17" ht="45.75" customHeight="1" x14ac:dyDescent="0.25">
      <c r="A552" s="41">
        <v>7</v>
      </c>
      <c r="B552" s="42" t="s">
        <v>2217</v>
      </c>
      <c r="C552" s="43" t="s">
        <v>2324</v>
      </c>
      <c r="D552" s="42" t="s">
        <v>2325</v>
      </c>
      <c r="E552" s="42" t="s">
        <v>2326</v>
      </c>
      <c r="F552" s="45"/>
      <c r="G552" s="36" t="s">
        <v>2327</v>
      </c>
      <c r="H552" s="37"/>
      <c r="I552" s="103"/>
      <c r="J552" s="39"/>
      <c r="K552" s="39"/>
      <c r="L552" s="40"/>
      <c r="M552" s="9" t="str">
        <f>IF($J552="AC",COUNTIF($J$5:$J552,"AC"),"")</f>
        <v/>
      </c>
      <c r="N552" s="9" t="str">
        <f>IF($J552="FB",COUNTIF($J$5:$J552,"FB"),"")</f>
        <v/>
      </c>
      <c r="O552" s="9" t="str">
        <f>IF($J552="PC",COUNTIF($J$5:$J552,"PC"),"")</f>
        <v/>
      </c>
      <c r="P552" s="28" t="s">
        <v>2328</v>
      </c>
      <c r="Q552" s="28" t="s">
        <v>2329</v>
      </c>
    </row>
    <row r="553" spans="1:17" ht="45.75" customHeight="1" x14ac:dyDescent="0.25">
      <c r="A553" s="41">
        <v>7</v>
      </c>
      <c r="B553" s="42" t="s">
        <v>2217</v>
      </c>
      <c r="C553" s="43" t="s">
        <v>2324</v>
      </c>
      <c r="D553" s="42" t="s">
        <v>2325</v>
      </c>
      <c r="E553" s="42" t="s">
        <v>2326</v>
      </c>
      <c r="F553" s="45"/>
      <c r="G553" s="36" t="s">
        <v>2330</v>
      </c>
      <c r="H553" s="37"/>
      <c r="I553" s="103"/>
      <c r="J553" s="39"/>
      <c r="K553" s="39"/>
      <c r="L553" s="40"/>
      <c r="M553" s="9" t="str">
        <f>IF($J553="AC",COUNTIF($J$5:$J553,"AC"),"")</f>
        <v/>
      </c>
      <c r="N553" s="9" t="str">
        <f>IF($J553="FB",COUNTIF($J$5:$J553,"FB"),"")</f>
        <v/>
      </c>
      <c r="O553" s="9" t="str">
        <f>IF($J553="PC",COUNTIF($J$5:$J553,"PC"),"")</f>
        <v/>
      </c>
      <c r="P553" s="28" t="s">
        <v>2331</v>
      </c>
      <c r="Q553" s="28" t="s">
        <v>2332</v>
      </c>
    </row>
    <row r="554" spans="1:17" ht="45.75" customHeight="1" x14ac:dyDescent="0.25">
      <c r="A554" s="41">
        <v>7</v>
      </c>
      <c r="B554" s="42" t="s">
        <v>2217</v>
      </c>
      <c r="C554" s="43" t="s">
        <v>2324</v>
      </c>
      <c r="D554" s="42" t="s">
        <v>2325</v>
      </c>
      <c r="E554" s="42" t="s">
        <v>2326</v>
      </c>
      <c r="F554" s="45"/>
      <c r="G554" s="36" t="s">
        <v>2333</v>
      </c>
      <c r="H554" s="37"/>
      <c r="I554" s="103"/>
      <c r="J554" s="39"/>
      <c r="K554" s="39"/>
      <c r="L554" s="40"/>
      <c r="M554" s="9" t="str">
        <f>IF($J554="AC",COUNTIF($J$5:$J554,"AC"),"")</f>
        <v/>
      </c>
      <c r="N554" s="9" t="str">
        <f>IF($J554="FB",COUNTIF($J$5:$J554,"FB"),"")</f>
        <v/>
      </c>
      <c r="O554" s="9" t="str">
        <f>IF($J554="PC",COUNTIF($J$5:$J554,"PC"),"")</f>
        <v/>
      </c>
      <c r="P554" s="28" t="s">
        <v>2334</v>
      </c>
      <c r="Q554" s="28" t="s">
        <v>2335</v>
      </c>
    </row>
    <row r="555" spans="1:17" ht="45.75" customHeight="1" x14ac:dyDescent="0.25">
      <c r="A555" s="41">
        <v>7</v>
      </c>
      <c r="B555" s="42" t="s">
        <v>2217</v>
      </c>
      <c r="C555" s="43" t="s">
        <v>2324</v>
      </c>
      <c r="D555" s="42" t="s">
        <v>2325</v>
      </c>
      <c r="E555" s="42" t="s">
        <v>2326</v>
      </c>
      <c r="F555" s="45"/>
      <c r="G555" s="36" t="s">
        <v>2336</v>
      </c>
      <c r="H555" s="37"/>
      <c r="I555" s="103"/>
      <c r="J555" s="39"/>
      <c r="K555" s="39"/>
      <c r="L555" s="40"/>
      <c r="M555" s="9" t="str">
        <f>IF($J555="AC",COUNTIF($J$5:$J555,"AC"),"")</f>
        <v/>
      </c>
      <c r="N555" s="9" t="str">
        <f>IF($J555="FB",COUNTIF($J$5:$J555,"FB"),"")</f>
        <v/>
      </c>
      <c r="O555" s="9" t="str">
        <f>IF($J555="PC",COUNTIF($J$5:$J555,"PC"),"")</f>
        <v/>
      </c>
      <c r="P555" s="28" t="s">
        <v>2337</v>
      </c>
      <c r="Q555" s="28" t="s">
        <v>2338</v>
      </c>
    </row>
    <row r="556" spans="1:17" ht="45.75" customHeight="1" x14ac:dyDescent="0.25">
      <c r="A556" s="41">
        <v>7</v>
      </c>
      <c r="B556" s="42" t="s">
        <v>2217</v>
      </c>
      <c r="C556" s="43" t="s">
        <v>2324</v>
      </c>
      <c r="D556" s="42" t="s">
        <v>2325</v>
      </c>
      <c r="E556" s="42" t="s">
        <v>2326</v>
      </c>
      <c r="F556" s="45"/>
      <c r="G556" s="36" t="s">
        <v>2339</v>
      </c>
      <c r="H556" s="37"/>
      <c r="I556" s="103"/>
      <c r="J556" s="39"/>
      <c r="K556" s="39"/>
      <c r="L556" s="40"/>
      <c r="M556" s="9" t="str">
        <f>IF($J556="AC",COUNTIF($J$5:$J556,"AC"),"")</f>
        <v/>
      </c>
      <c r="N556" s="9" t="str">
        <f>IF($J556="FB",COUNTIF($J$5:$J556,"FB"),"")</f>
        <v/>
      </c>
      <c r="O556" s="9" t="str">
        <f>IF($J556="PC",COUNTIF($J$5:$J556,"PC"),"")</f>
        <v/>
      </c>
      <c r="P556" s="28" t="s">
        <v>2340</v>
      </c>
      <c r="Q556" s="28" t="s">
        <v>2341</v>
      </c>
    </row>
    <row r="557" spans="1:17" ht="45.75" customHeight="1" x14ac:dyDescent="0.25">
      <c r="A557" s="41">
        <v>7</v>
      </c>
      <c r="B557" s="42" t="s">
        <v>2217</v>
      </c>
      <c r="C557" s="43" t="s">
        <v>2342</v>
      </c>
      <c r="D557" s="42" t="s">
        <v>2343</v>
      </c>
      <c r="E557" s="42" t="s">
        <v>2344</v>
      </c>
      <c r="F557" s="45"/>
      <c r="G557" s="36" t="s">
        <v>2345</v>
      </c>
      <c r="H557" s="37"/>
      <c r="I557" s="103"/>
      <c r="J557" s="39"/>
      <c r="K557" s="39"/>
      <c r="L557" s="40"/>
      <c r="M557" s="9" t="str">
        <f>IF($J557="AC",COUNTIF($J$5:$J557,"AC"),"")</f>
        <v/>
      </c>
      <c r="N557" s="9" t="str">
        <f>IF($J557="FB",COUNTIF($J$5:$J557,"FB"),"")</f>
        <v/>
      </c>
      <c r="O557" s="9" t="str">
        <f>IF($J557="PC",COUNTIF($J$5:$J557,"PC"),"")</f>
        <v/>
      </c>
      <c r="P557" s="28" t="s">
        <v>2346</v>
      </c>
      <c r="Q557" s="28" t="s">
        <v>2347</v>
      </c>
    </row>
    <row r="558" spans="1:17" ht="45.75" customHeight="1" x14ac:dyDescent="0.25">
      <c r="A558" s="41">
        <v>7</v>
      </c>
      <c r="B558" s="42" t="s">
        <v>2217</v>
      </c>
      <c r="C558" s="43" t="s">
        <v>2342</v>
      </c>
      <c r="D558" s="42" t="s">
        <v>2343</v>
      </c>
      <c r="E558" s="42" t="s">
        <v>2344</v>
      </c>
      <c r="F558" s="45"/>
      <c r="G558" s="36" t="s">
        <v>2348</v>
      </c>
      <c r="H558" s="37"/>
      <c r="I558" s="103"/>
      <c r="J558" s="39"/>
      <c r="K558" s="39"/>
      <c r="L558" s="40"/>
      <c r="M558" s="9" t="str">
        <f>IF($J558="AC",COUNTIF($J$5:$J558,"AC"),"")</f>
        <v/>
      </c>
      <c r="N558" s="9" t="str">
        <f>IF($J558="FB",COUNTIF($J$5:$J558,"FB"),"")</f>
        <v/>
      </c>
      <c r="O558" s="9" t="str">
        <f>IF($J558="PC",COUNTIF($J$5:$J558,"PC"),"")</f>
        <v/>
      </c>
      <c r="P558" s="28" t="s">
        <v>2349</v>
      </c>
      <c r="Q558" s="28" t="s">
        <v>2350</v>
      </c>
    </row>
    <row r="559" spans="1:17" ht="45.75" customHeight="1" x14ac:dyDescent="0.25">
      <c r="A559" s="41">
        <v>7</v>
      </c>
      <c r="B559" s="42" t="s">
        <v>2217</v>
      </c>
      <c r="C559" s="43" t="s">
        <v>2342</v>
      </c>
      <c r="D559" s="42" t="s">
        <v>2343</v>
      </c>
      <c r="E559" s="42" t="s">
        <v>2344</v>
      </c>
      <c r="F559" s="45"/>
      <c r="G559" s="36" t="s">
        <v>2351</v>
      </c>
      <c r="H559" s="37"/>
      <c r="I559" s="103"/>
      <c r="J559" s="39"/>
      <c r="K559" s="39"/>
      <c r="L559" s="40"/>
      <c r="M559" s="9" t="str">
        <f>IF($J559="AC",COUNTIF($J$5:$J559,"AC"),"")</f>
        <v/>
      </c>
      <c r="N559" s="9" t="str">
        <f>IF($J559="FB",COUNTIF($J$5:$J559,"FB"),"")</f>
        <v/>
      </c>
      <c r="O559" s="9" t="str">
        <f>IF($J559="PC",COUNTIF($J$5:$J559,"PC"),"")</f>
        <v/>
      </c>
      <c r="P559" s="28" t="s">
        <v>2352</v>
      </c>
      <c r="Q559" s="28" t="s">
        <v>2353</v>
      </c>
    </row>
    <row r="560" spans="1:17" ht="45.75" customHeight="1" x14ac:dyDescent="0.25">
      <c r="A560" s="41">
        <v>7</v>
      </c>
      <c r="B560" s="42" t="s">
        <v>2217</v>
      </c>
      <c r="C560" s="43" t="s">
        <v>2342</v>
      </c>
      <c r="D560" s="42" t="s">
        <v>2343</v>
      </c>
      <c r="E560" s="42" t="s">
        <v>2344</v>
      </c>
      <c r="F560" s="45"/>
      <c r="G560" s="36" t="s">
        <v>2354</v>
      </c>
      <c r="H560" s="37"/>
      <c r="I560" s="103"/>
      <c r="J560" s="39"/>
      <c r="K560" s="39"/>
      <c r="L560" s="40"/>
      <c r="M560" s="9" t="str">
        <f>IF($J560="AC",COUNTIF($J$5:$J560,"AC"),"")</f>
        <v/>
      </c>
      <c r="N560" s="9" t="str">
        <f>IF($J560="FB",COUNTIF($J$5:$J560,"FB"),"")</f>
        <v/>
      </c>
      <c r="O560" s="9" t="str">
        <f>IF($J560="PC",COUNTIF($J$5:$J560,"PC"),"")</f>
        <v/>
      </c>
      <c r="P560" s="28" t="s">
        <v>2355</v>
      </c>
      <c r="Q560" s="28" t="s">
        <v>2356</v>
      </c>
    </row>
    <row r="561" spans="1:17" ht="45.75" customHeight="1" x14ac:dyDescent="0.25">
      <c r="A561" s="41">
        <v>7</v>
      </c>
      <c r="B561" s="42" t="s">
        <v>2217</v>
      </c>
      <c r="C561" s="43" t="s">
        <v>2342</v>
      </c>
      <c r="D561" s="42" t="s">
        <v>2343</v>
      </c>
      <c r="E561" s="42" t="s">
        <v>2344</v>
      </c>
      <c r="F561" s="45"/>
      <c r="G561" s="36" t="s">
        <v>2357</v>
      </c>
      <c r="H561" s="37"/>
      <c r="I561" s="103"/>
      <c r="J561" s="39"/>
      <c r="K561" s="39"/>
      <c r="L561" s="40"/>
      <c r="M561" s="9" t="str">
        <f>IF($J561="AC",COUNTIF($J$5:$J561,"AC"),"")</f>
        <v/>
      </c>
      <c r="N561" s="9" t="str">
        <f>IF($J561="FB",COUNTIF($J$5:$J561,"FB"),"")</f>
        <v/>
      </c>
      <c r="O561" s="9" t="str">
        <f>IF($J561="PC",COUNTIF($J$5:$J561,"PC"),"")</f>
        <v/>
      </c>
      <c r="P561" s="28" t="s">
        <v>2358</v>
      </c>
      <c r="Q561" s="28" t="s">
        <v>2359</v>
      </c>
    </row>
    <row r="562" spans="1:17" ht="45.75" customHeight="1" x14ac:dyDescent="0.25">
      <c r="A562" s="41">
        <v>7</v>
      </c>
      <c r="B562" s="42" t="s">
        <v>2217</v>
      </c>
      <c r="C562" s="43" t="s">
        <v>2360</v>
      </c>
      <c r="D562" s="42" t="s">
        <v>2361</v>
      </c>
      <c r="E562" s="42" t="s">
        <v>2362</v>
      </c>
      <c r="F562" s="45"/>
      <c r="G562" s="36" t="s">
        <v>2363</v>
      </c>
      <c r="H562" s="37"/>
      <c r="I562" s="103"/>
      <c r="J562" s="39"/>
      <c r="K562" s="39"/>
      <c r="L562" s="40"/>
      <c r="M562" s="9" t="str">
        <f>IF($J562="AC",COUNTIF($J$5:$J562,"AC"),"")</f>
        <v/>
      </c>
      <c r="N562" s="9" t="str">
        <f>IF($J562="FB",COUNTIF($J$5:$J562,"FB"),"")</f>
        <v/>
      </c>
      <c r="O562" s="9" t="str">
        <f>IF($J562="PC",COUNTIF($J$5:$J562,"PC"),"")</f>
        <v/>
      </c>
      <c r="P562" s="28" t="s">
        <v>2364</v>
      </c>
      <c r="Q562" s="28" t="s">
        <v>2365</v>
      </c>
    </row>
    <row r="563" spans="1:17" ht="45.75" customHeight="1" x14ac:dyDescent="0.25">
      <c r="A563" s="41">
        <v>7</v>
      </c>
      <c r="B563" s="42" t="s">
        <v>2217</v>
      </c>
      <c r="C563" s="43" t="s">
        <v>2360</v>
      </c>
      <c r="D563" s="42" t="s">
        <v>2361</v>
      </c>
      <c r="E563" s="42" t="s">
        <v>2362</v>
      </c>
      <c r="F563" s="45"/>
      <c r="G563" s="36" t="s">
        <v>2366</v>
      </c>
      <c r="H563" s="37"/>
      <c r="I563" s="103"/>
      <c r="J563" s="39"/>
      <c r="K563" s="39"/>
      <c r="L563" s="40"/>
      <c r="M563" s="9" t="str">
        <f>IF($J563="AC",COUNTIF($J$5:$J563,"AC"),"")</f>
        <v/>
      </c>
      <c r="N563" s="9" t="str">
        <f>IF($J563="FB",COUNTIF($J$5:$J563,"FB"),"")</f>
        <v/>
      </c>
      <c r="O563" s="9" t="str">
        <f>IF($J563="PC",COUNTIF($J$5:$J563,"PC"),"")</f>
        <v/>
      </c>
      <c r="P563" s="28" t="s">
        <v>2367</v>
      </c>
      <c r="Q563" s="28" t="s">
        <v>2368</v>
      </c>
    </row>
    <row r="564" spans="1:17" ht="45.75" customHeight="1" x14ac:dyDescent="0.25">
      <c r="A564" s="41">
        <v>7</v>
      </c>
      <c r="B564" s="42" t="s">
        <v>2217</v>
      </c>
      <c r="C564" s="43" t="s">
        <v>2360</v>
      </c>
      <c r="D564" s="42" t="s">
        <v>2361</v>
      </c>
      <c r="E564" s="42" t="s">
        <v>2362</v>
      </c>
      <c r="F564" s="45"/>
      <c r="G564" s="36" t="s">
        <v>2369</v>
      </c>
      <c r="H564" s="37"/>
      <c r="I564" s="103"/>
      <c r="J564" s="39"/>
      <c r="K564" s="39"/>
      <c r="L564" s="40"/>
      <c r="M564" s="9" t="str">
        <f>IF($J564="AC",COUNTIF($J$5:$J564,"AC"),"")</f>
        <v/>
      </c>
      <c r="N564" s="9" t="str">
        <f>IF($J564="FB",COUNTIF($J$5:$J564,"FB"),"")</f>
        <v/>
      </c>
      <c r="O564" s="9" t="str">
        <f>IF($J564="PC",COUNTIF($J$5:$J564,"PC"),"")</f>
        <v/>
      </c>
      <c r="P564" s="28" t="s">
        <v>2370</v>
      </c>
      <c r="Q564" s="28" t="s">
        <v>2371</v>
      </c>
    </row>
    <row r="565" spans="1:17" ht="45.75" customHeight="1" x14ac:dyDescent="0.25">
      <c r="A565" s="41">
        <v>7</v>
      </c>
      <c r="B565" s="42" t="s">
        <v>2217</v>
      </c>
      <c r="C565" s="43" t="s">
        <v>2360</v>
      </c>
      <c r="D565" s="42" t="s">
        <v>2361</v>
      </c>
      <c r="E565" s="42" t="s">
        <v>2362</v>
      </c>
      <c r="F565" s="45"/>
      <c r="G565" s="36" t="s">
        <v>2372</v>
      </c>
      <c r="H565" s="37"/>
      <c r="I565" s="103"/>
      <c r="J565" s="39"/>
      <c r="K565" s="39"/>
      <c r="L565" s="40"/>
      <c r="M565" s="9" t="str">
        <f>IF($J565="AC",COUNTIF($J$5:$J565,"AC"),"")</f>
        <v/>
      </c>
      <c r="N565" s="9" t="str">
        <f>IF($J565="FB",COUNTIF($J$5:$J565,"FB"),"")</f>
        <v/>
      </c>
      <c r="O565" s="9" t="str">
        <f>IF($J565="PC",COUNTIF($J$5:$J565,"PC"),"")</f>
        <v/>
      </c>
      <c r="P565" s="28" t="s">
        <v>2373</v>
      </c>
      <c r="Q565" s="28" t="s">
        <v>2374</v>
      </c>
    </row>
    <row r="566" spans="1:17" ht="45.75" customHeight="1" x14ac:dyDescent="0.25">
      <c r="A566" s="41">
        <v>7</v>
      </c>
      <c r="B566" s="42" t="s">
        <v>2217</v>
      </c>
      <c r="C566" s="43" t="s">
        <v>2360</v>
      </c>
      <c r="D566" s="42" t="s">
        <v>2361</v>
      </c>
      <c r="E566" s="42" t="s">
        <v>2362</v>
      </c>
      <c r="F566" s="45"/>
      <c r="G566" s="36" t="s">
        <v>2375</v>
      </c>
      <c r="H566" s="37"/>
      <c r="I566" s="103"/>
      <c r="J566" s="39"/>
      <c r="K566" s="39"/>
      <c r="L566" s="40"/>
      <c r="M566" s="9" t="str">
        <f>IF($J566="AC",COUNTIF($J$5:$J566,"AC"),"")</f>
        <v/>
      </c>
      <c r="N566" s="9" t="str">
        <f>IF($J566="FB",COUNTIF($J$5:$J566,"FB"),"")</f>
        <v/>
      </c>
      <c r="O566" s="9" t="str">
        <f>IF($J566="PC",COUNTIF($J$5:$J566,"PC"),"")</f>
        <v/>
      </c>
      <c r="P566" s="28" t="s">
        <v>2376</v>
      </c>
      <c r="Q566" s="28" t="s">
        <v>2377</v>
      </c>
    </row>
    <row r="567" spans="1:17" ht="45.75" customHeight="1" x14ac:dyDescent="0.25">
      <c r="A567" s="41">
        <v>7</v>
      </c>
      <c r="B567" s="42" t="s">
        <v>2217</v>
      </c>
      <c r="C567" s="43" t="s">
        <v>2378</v>
      </c>
      <c r="D567" s="42" t="s">
        <v>2379</v>
      </c>
      <c r="E567" s="42" t="s">
        <v>2380</v>
      </c>
      <c r="F567" s="45"/>
      <c r="G567" s="36" t="s">
        <v>2381</v>
      </c>
      <c r="H567" s="37"/>
      <c r="I567" s="103"/>
      <c r="J567" s="39"/>
      <c r="K567" s="39"/>
      <c r="L567" s="40"/>
      <c r="M567" s="9" t="str">
        <f>IF($J567="AC",COUNTIF($J$5:$J567,"AC"),"")</f>
        <v/>
      </c>
      <c r="N567" s="9" t="str">
        <f>IF($J567="FB",COUNTIF($J$5:$J567,"FB"),"")</f>
        <v/>
      </c>
      <c r="O567" s="9" t="str">
        <f>IF($J567="PC",COUNTIF($J$5:$J567,"PC"),"")</f>
        <v/>
      </c>
      <c r="P567" s="28" t="s">
        <v>2382</v>
      </c>
      <c r="Q567" s="28" t="s">
        <v>2383</v>
      </c>
    </row>
    <row r="568" spans="1:17" ht="45.75" customHeight="1" x14ac:dyDescent="0.25">
      <c r="A568" s="41">
        <v>7</v>
      </c>
      <c r="B568" s="42" t="s">
        <v>2217</v>
      </c>
      <c r="C568" s="43" t="s">
        <v>2378</v>
      </c>
      <c r="D568" s="42" t="s">
        <v>2379</v>
      </c>
      <c r="E568" s="42" t="s">
        <v>2380</v>
      </c>
      <c r="F568" s="45"/>
      <c r="G568" s="36" t="s">
        <v>2384</v>
      </c>
      <c r="H568" s="37"/>
      <c r="I568" s="103"/>
      <c r="J568" s="39"/>
      <c r="K568" s="39"/>
      <c r="L568" s="40"/>
      <c r="M568" s="9" t="str">
        <f>IF($J568="AC",COUNTIF($J$5:$J568,"AC"),"")</f>
        <v/>
      </c>
      <c r="N568" s="9" t="str">
        <f>IF($J568="FB",COUNTIF($J$5:$J568,"FB"),"")</f>
        <v/>
      </c>
      <c r="O568" s="9" t="str">
        <f>IF($J568="PC",COUNTIF($J$5:$J568,"PC"),"")</f>
        <v/>
      </c>
      <c r="P568" s="28" t="s">
        <v>2385</v>
      </c>
      <c r="Q568" s="28" t="s">
        <v>2386</v>
      </c>
    </row>
    <row r="569" spans="1:17" ht="45.75" customHeight="1" x14ac:dyDescent="0.25">
      <c r="A569" s="41">
        <v>7</v>
      </c>
      <c r="B569" s="42" t="s">
        <v>2217</v>
      </c>
      <c r="C569" s="43" t="s">
        <v>2378</v>
      </c>
      <c r="D569" s="42" t="s">
        <v>2379</v>
      </c>
      <c r="E569" s="42" t="s">
        <v>2380</v>
      </c>
      <c r="F569" s="45"/>
      <c r="G569" s="36" t="s">
        <v>2387</v>
      </c>
      <c r="H569" s="37"/>
      <c r="I569" s="103"/>
      <c r="J569" s="39"/>
      <c r="K569" s="39"/>
      <c r="L569" s="40"/>
      <c r="M569" s="9" t="str">
        <f>IF($J569="AC",COUNTIF($J$5:$J569,"AC"),"")</f>
        <v/>
      </c>
      <c r="N569" s="9" t="str">
        <f>IF($J569="FB",COUNTIF($J$5:$J569,"FB"),"")</f>
        <v/>
      </c>
      <c r="O569" s="9" t="str">
        <f>IF($J569="PC",COUNTIF($J$5:$J569,"PC"),"")</f>
        <v/>
      </c>
      <c r="P569" s="28" t="s">
        <v>2388</v>
      </c>
      <c r="Q569" s="28" t="s">
        <v>2389</v>
      </c>
    </row>
    <row r="570" spans="1:17" ht="45.75" customHeight="1" x14ac:dyDescent="0.25">
      <c r="A570" s="41">
        <v>7</v>
      </c>
      <c r="B570" s="42" t="s">
        <v>2217</v>
      </c>
      <c r="C570" s="43" t="s">
        <v>2378</v>
      </c>
      <c r="D570" s="42" t="s">
        <v>2379</v>
      </c>
      <c r="E570" s="42" t="s">
        <v>2380</v>
      </c>
      <c r="F570" s="45"/>
      <c r="G570" s="36" t="s">
        <v>2390</v>
      </c>
      <c r="H570" s="37"/>
      <c r="I570" s="103"/>
      <c r="J570" s="39"/>
      <c r="K570" s="39"/>
      <c r="L570" s="40"/>
      <c r="M570" s="9" t="str">
        <f>IF($J570="AC",COUNTIF($J$5:$J570,"AC"),"")</f>
        <v/>
      </c>
      <c r="N570" s="9" t="str">
        <f>IF($J570="FB",COUNTIF($J$5:$J570,"FB"),"")</f>
        <v/>
      </c>
      <c r="O570" s="9" t="str">
        <f>IF($J570="PC",COUNTIF($J$5:$J570,"PC"),"")</f>
        <v/>
      </c>
      <c r="P570" s="28" t="s">
        <v>2391</v>
      </c>
      <c r="Q570" s="28" t="s">
        <v>2392</v>
      </c>
    </row>
    <row r="571" spans="1:17" ht="45.75" customHeight="1" x14ac:dyDescent="0.25">
      <c r="A571" s="41">
        <v>7</v>
      </c>
      <c r="B571" s="42" t="s">
        <v>2217</v>
      </c>
      <c r="C571" s="43" t="s">
        <v>2378</v>
      </c>
      <c r="D571" s="42" t="s">
        <v>2379</v>
      </c>
      <c r="E571" s="42" t="s">
        <v>2380</v>
      </c>
      <c r="F571" s="45"/>
      <c r="G571" s="36" t="s">
        <v>2393</v>
      </c>
      <c r="H571" s="37"/>
      <c r="I571" s="103"/>
      <c r="J571" s="39"/>
      <c r="K571" s="39"/>
      <c r="L571" s="40"/>
      <c r="M571" s="9" t="str">
        <f>IF($J571="AC",COUNTIF($J$5:$J571,"AC"),"")</f>
        <v/>
      </c>
      <c r="N571" s="9" t="str">
        <f>IF($J571="FB",COUNTIF($J$5:$J571,"FB"),"")</f>
        <v/>
      </c>
      <c r="O571" s="9" t="str">
        <f>IF($J571="PC",COUNTIF($J$5:$J571,"PC"),"")</f>
        <v/>
      </c>
      <c r="P571" s="28" t="s">
        <v>2394</v>
      </c>
      <c r="Q571" s="28" t="s">
        <v>2395</v>
      </c>
    </row>
    <row r="572" spans="1:17" ht="45.75" customHeight="1" x14ac:dyDescent="0.25">
      <c r="A572" s="41">
        <v>7</v>
      </c>
      <c r="B572" s="42" t="s">
        <v>2217</v>
      </c>
      <c r="C572" s="43" t="s">
        <v>2396</v>
      </c>
      <c r="D572" s="42" t="s">
        <v>2397</v>
      </c>
      <c r="E572" s="42" t="s">
        <v>2398</v>
      </c>
      <c r="F572" s="45"/>
      <c r="G572" s="36" t="s">
        <v>2399</v>
      </c>
      <c r="H572" s="37"/>
      <c r="I572" s="103"/>
      <c r="J572" s="39"/>
      <c r="K572" s="39"/>
      <c r="L572" s="40"/>
      <c r="M572" s="9" t="str">
        <f>IF($J572="AC",COUNTIF($J$5:$J572,"AC"),"")</f>
        <v/>
      </c>
      <c r="N572" s="9" t="str">
        <f>IF($J572="FB",COUNTIF($J$5:$J572,"FB"),"")</f>
        <v/>
      </c>
      <c r="O572" s="9" t="str">
        <f>IF($J572="PC",COUNTIF($J$5:$J572,"PC"),"")</f>
        <v/>
      </c>
      <c r="P572" s="28" t="s">
        <v>2400</v>
      </c>
      <c r="Q572" s="28" t="s">
        <v>2401</v>
      </c>
    </row>
    <row r="573" spans="1:17" ht="45.75" customHeight="1" x14ac:dyDescent="0.25">
      <c r="A573" s="41">
        <v>7</v>
      </c>
      <c r="B573" s="42" t="s">
        <v>2217</v>
      </c>
      <c r="C573" s="43" t="s">
        <v>2396</v>
      </c>
      <c r="D573" s="42" t="s">
        <v>2397</v>
      </c>
      <c r="E573" s="42" t="s">
        <v>2398</v>
      </c>
      <c r="F573" s="45"/>
      <c r="G573" s="36" t="s">
        <v>2402</v>
      </c>
      <c r="H573" s="37"/>
      <c r="I573" s="103"/>
      <c r="J573" s="39"/>
      <c r="K573" s="39"/>
      <c r="L573" s="40"/>
      <c r="M573" s="9" t="str">
        <f>IF($J573="AC",COUNTIF($J$5:$J573,"AC"),"")</f>
        <v/>
      </c>
      <c r="N573" s="9" t="str">
        <f>IF($J573="FB",COUNTIF($J$5:$J573,"FB"),"")</f>
        <v/>
      </c>
      <c r="O573" s="9" t="str">
        <f>IF($J573="PC",COUNTIF($J$5:$J573,"PC"),"")</f>
        <v/>
      </c>
      <c r="P573" s="28" t="s">
        <v>2403</v>
      </c>
      <c r="Q573" s="28" t="s">
        <v>2404</v>
      </c>
    </row>
    <row r="574" spans="1:17" ht="45.75" customHeight="1" x14ac:dyDescent="0.25">
      <c r="A574" s="41">
        <v>7</v>
      </c>
      <c r="B574" s="42" t="s">
        <v>2217</v>
      </c>
      <c r="C574" s="43" t="s">
        <v>2396</v>
      </c>
      <c r="D574" s="42" t="s">
        <v>2397</v>
      </c>
      <c r="E574" s="42" t="s">
        <v>2398</v>
      </c>
      <c r="F574" s="45"/>
      <c r="G574" s="36" t="s">
        <v>2405</v>
      </c>
      <c r="H574" s="37"/>
      <c r="I574" s="103"/>
      <c r="J574" s="39"/>
      <c r="K574" s="39"/>
      <c r="L574" s="40"/>
      <c r="M574" s="9" t="str">
        <f>IF($J574="AC",COUNTIF($J$5:$J574,"AC"),"")</f>
        <v/>
      </c>
      <c r="N574" s="9" t="str">
        <f>IF($J574="FB",COUNTIF($J$5:$J574,"FB"),"")</f>
        <v/>
      </c>
      <c r="O574" s="9" t="str">
        <f>IF($J574="PC",COUNTIF($J$5:$J574,"PC"),"")</f>
        <v/>
      </c>
      <c r="P574" s="28" t="s">
        <v>2406</v>
      </c>
      <c r="Q574" s="28" t="s">
        <v>2407</v>
      </c>
    </row>
    <row r="575" spans="1:17" ht="45.75" customHeight="1" x14ac:dyDescent="0.25">
      <c r="A575" s="41">
        <v>7</v>
      </c>
      <c r="B575" s="42" t="s">
        <v>2217</v>
      </c>
      <c r="C575" s="43" t="s">
        <v>2396</v>
      </c>
      <c r="D575" s="42" t="s">
        <v>2397</v>
      </c>
      <c r="E575" s="42" t="s">
        <v>2398</v>
      </c>
      <c r="F575" s="45"/>
      <c r="G575" s="36" t="s">
        <v>2408</v>
      </c>
      <c r="H575" s="37"/>
      <c r="I575" s="103"/>
      <c r="J575" s="39"/>
      <c r="K575" s="39"/>
      <c r="L575" s="40"/>
      <c r="M575" s="9" t="str">
        <f>IF($J575="AC",COUNTIF($J$5:$J575,"AC"),"")</f>
        <v/>
      </c>
      <c r="N575" s="9" t="str">
        <f>IF($J575="FB",COUNTIF($J$5:$J575,"FB"),"")</f>
        <v/>
      </c>
      <c r="O575" s="9" t="str">
        <f>IF($J575="PC",COUNTIF($J$5:$J575,"PC"),"")</f>
        <v/>
      </c>
      <c r="P575" s="28" t="s">
        <v>2409</v>
      </c>
      <c r="Q575" s="28" t="s">
        <v>2410</v>
      </c>
    </row>
    <row r="576" spans="1:17" ht="45.75" customHeight="1" x14ac:dyDescent="0.25">
      <c r="A576" s="41">
        <v>7</v>
      </c>
      <c r="B576" s="42" t="s">
        <v>2217</v>
      </c>
      <c r="C576" s="43" t="s">
        <v>2396</v>
      </c>
      <c r="D576" s="42" t="s">
        <v>2397</v>
      </c>
      <c r="E576" s="42" t="s">
        <v>2398</v>
      </c>
      <c r="F576" s="45"/>
      <c r="G576" s="36" t="s">
        <v>2411</v>
      </c>
      <c r="H576" s="37"/>
      <c r="I576" s="103"/>
      <c r="J576" s="39"/>
      <c r="K576" s="39"/>
      <c r="L576" s="40"/>
      <c r="M576" s="9" t="str">
        <f>IF($J576="AC",COUNTIF($J$5:$J576,"AC"),"")</f>
        <v/>
      </c>
      <c r="N576" s="9" t="str">
        <f>IF($J576="FB",COUNTIF($J$5:$J576,"FB"),"")</f>
        <v/>
      </c>
      <c r="O576" s="9" t="str">
        <f>IF($J576="PC",COUNTIF($J$5:$J576,"PC"),"")</f>
        <v/>
      </c>
      <c r="P576" s="28" t="s">
        <v>2412</v>
      </c>
      <c r="Q576" s="28" t="s">
        <v>2413</v>
      </c>
    </row>
    <row r="577" spans="1:17" ht="45.75" customHeight="1" x14ac:dyDescent="0.25">
      <c r="A577" s="41">
        <v>7</v>
      </c>
      <c r="B577" s="42" t="s">
        <v>2217</v>
      </c>
      <c r="C577" s="43" t="s">
        <v>2396</v>
      </c>
      <c r="D577" s="42" t="s">
        <v>2397</v>
      </c>
      <c r="E577" s="42" t="s">
        <v>2398</v>
      </c>
      <c r="F577" s="45"/>
      <c r="G577" s="36" t="s">
        <v>2414</v>
      </c>
      <c r="H577" s="37"/>
      <c r="I577" s="103"/>
      <c r="J577" s="39"/>
      <c r="K577" s="39"/>
      <c r="L577" s="40"/>
      <c r="M577" s="9" t="str">
        <f>IF($J577="AC",COUNTIF($J$5:$J577,"AC"),"")</f>
        <v/>
      </c>
      <c r="N577" s="9" t="str">
        <f>IF($J577="FB",COUNTIF($J$5:$J577,"FB"),"")</f>
        <v/>
      </c>
      <c r="O577" s="9" t="str">
        <f>IF($J577="PC",COUNTIF($J$5:$J577,"PC"),"")</f>
        <v/>
      </c>
      <c r="P577" s="28" t="s">
        <v>2415</v>
      </c>
      <c r="Q577" s="28" t="s">
        <v>2416</v>
      </c>
    </row>
    <row r="578" spans="1:17" ht="60.75" customHeight="1" x14ac:dyDescent="0.25">
      <c r="A578" s="104">
        <v>8</v>
      </c>
      <c r="B578" s="105" t="s">
        <v>148</v>
      </c>
      <c r="C578" s="106" t="s">
        <v>2417</v>
      </c>
      <c r="D578" s="105" t="s">
        <v>2418</v>
      </c>
      <c r="E578" s="105" t="s">
        <v>2419</v>
      </c>
      <c r="F578" s="35" t="s">
        <v>69</v>
      </c>
      <c r="G578" s="102" t="s">
        <v>2221</v>
      </c>
      <c r="H578" s="37"/>
      <c r="I578" s="103" t="s">
        <v>2222</v>
      </c>
      <c r="J578" s="39"/>
      <c r="K578" s="39"/>
      <c r="L578" s="40"/>
      <c r="M578" s="9" t="str">
        <f>IF($J578="AC",COUNTIF($J$5:$J578,"AC"),"")</f>
        <v/>
      </c>
      <c r="N578" s="9" t="str">
        <f>IF($J578="FB",COUNTIF($J$5:$J578,"FB"),"")</f>
        <v/>
      </c>
      <c r="O578" s="9" t="str">
        <f>IF($J578="PC",COUNTIF($J$5:$J578,"PC"),"")</f>
        <v/>
      </c>
      <c r="P578" s="28" t="s">
        <v>2420</v>
      </c>
      <c r="Q578" s="28" t="s">
        <v>2421</v>
      </c>
    </row>
    <row r="579" spans="1:17" ht="60.75" customHeight="1" x14ac:dyDescent="0.25">
      <c r="A579" s="41">
        <v>8</v>
      </c>
      <c r="B579" s="42" t="s">
        <v>148</v>
      </c>
      <c r="C579" s="43" t="s">
        <v>2417</v>
      </c>
      <c r="D579" s="42" t="s">
        <v>2418</v>
      </c>
      <c r="E579" s="42" t="s">
        <v>2422</v>
      </c>
      <c r="F579" s="44" t="s">
        <v>92</v>
      </c>
      <c r="G579" s="102" t="s">
        <v>2221</v>
      </c>
      <c r="H579" s="37"/>
      <c r="I579" s="103" t="s">
        <v>2222</v>
      </c>
      <c r="J579" s="39"/>
      <c r="K579" s="39"/>
      <c r="L579" s="40"/>
      <c r="M579" s="9" t="str">
        <f>IF($J579="AC",COUNTIF($J$5:$J579,"AC"),"")</f>
        <v/>
      </c>
      <c r="N579" s="9" t="str">
        <f>IF($J579="FB",COUNTIF($J$5:$J579,"FB"),"")</f>
        <v/>
      </c>
      <c r="O579" s="9" t="str">
        <f>IF($J579="PC",COUNTIF($J$5:$J579,"PC"),"")</f>
        <v/>
      </c>
      <c r="P579" s="28" t="s">
        <v>2423</v>
      </c>
      <c r="Q579" s="28" t="s">
        <v>2424</v>
      </c>
    </row>
    <row r="580" spans="1:17" ht="60.75" customHeight="1" x14ac:dyDescent="0.25">
      <c r="A580" s="41">
        <v>8</v>
      </c>
      <c r="B580" s="42" t="s">
        <v>148</v>
      </c>
      <c r="C580" s="43" t="s">
        <v>2417</v>
      </c>
      <c r="D580" s="42" t="s">
        <v>2418</v>
      </c>
      <c r="E580" s="42" t="s">
        <v>2425</v>
      </c>
      <c r="F580" s="35" t="s">
        <v>69</v>
      </c>
      <c r="G580" s="102" t="s">
        <v>2221</v>
      </c>
      <c r="H580" s="37"/>
      <c r="I580" s="103" t="s">
        <v>2222</v>
      </c>
      <c r="J580" s="39"/>
      <c r="K580" s="39"/>
      <c r="L580" s="40"/>
      <c r="M580" s="9" t="str">
        <f>IF($J580="AC",COUNTIF($J$5:$J580,"AC"),"")</f>
        <v/>
      </c>
      <c r="N580" s="9" t="str">
        <f>IF($J580="FB",COUNTIF($J$5:$J580,"FB"),"")</f>
        <v/>
      </c>
      <c r="O580" s="9" t="str">
        <f>IF($J580="PC",COUNTIF($J$5:$J580,"PC"),"")</f>
        <v/>
      </c>
      <c r="P580" s="28" t="s">
        <v>2426</v>
      </c>
      <c r="Q580" s="28" t="s">
        <v>2427</v>
      </c>
    </row>
    <row r="581" spans="1:17" ht="60.75" customHeight="1" x14ac:dyDescent="0.25">
      <c r="A581" s="41">
        <v>8</v>
      </c>
      <c r="B581" s="42" t="s">
        <v>148</v>
      </c>
      <c r="C581" s="43" t="s">
        <v>2417</v>
      </c>
      <c r="D581" s="42" t="s">
        <v>2418</v>
      </c>
      <c r="E581" s="42" t="s">
        <v>2428</v>
      </c>
      <c r="F581" s="44" t="s">
        <v>92</v>
      </c>
      <c r="G581" s="102" t="s">
        <v>2221</v>
      </c>
      <c r="H581" s="37"/>
      <c r="I581" s="103" t="s">
        <v>2222</v>
      </c>
      <c r="J581" s="39"/>
      <c r="K581" s="39"/>
      <c r="L581" s="40"/>
      <c r="M581" s="9" t="str">
        <f>IF($J581="AC",COUNTIF($J$5:$J581,"AC"),"")</f>
        <v/>
      </c>
      <c r="N581" s="9" t="str">
        <f>IF($J581="FB",COUNTIF($J$5:$J581,"FB"),"")</f>
        <v/>
      </c>
      <c r="O581" s="9" t="str">
        <f>IF($J581="PC",COUNTIF($J$5:$J581,"PC"),"")</f>
        <v/>
      </c>
      <c r="P581" s="28" t="s">
        <v>2429</v>
      </c>
      <c r="Q581" s="28" t="s">
        <v>2430</v>
      </c>
    </row>
    <row r="582" spans="1:17" ht="60.75" customHeight="1" x14ac:dyDescent="0.25">
      <c r="A582" s="41">
        <v>8</v>
      </c>
      <c r="B582" s="42" t="s">
        <v>148</v>
      </c>
      <c r="C582" s="43" t="s">
        <v>2417</v>
      </c>
      <c r="D582" s="42" t="s">
        <v>2418</v>
      </c>
      <c r="E582" s="42" t="s">
        <v>2431</v>
      </c>
      <c r="F582" s="44" t="s">
        <v>92</v>
      </c>
      <c r="G582" s="102" t="s">
        <v>2221</v>
      </c>
      <c r="H582" s="37"/>
      <c r="I582" s="103" t="s">
        <v>2222</v>
      </c>
      <c r="J582" s="39"/>
      <c r="K582" s="39"/>
      <c r="L582" s="40"/>
      <c r="M582" s="9" t="str">
        <f>IF($J582="AC",COUNTIF($J$5:$J582,"AC"),"")</f>
        <v/>
      </c>
      <c r="N582" s="9" t="str">
        <f>IF($J582="FB",COUNTIF($J$5:$J582,"FB"),"")</f>
        <v/>
      </c>
      <c r="O582" s="9" t="str">
        <f>IF($J582="PC",COUNTIF($J$5:$J582,"PC"),"")</f>
        <v/>
      </c>
      <c r="P582" s="28" t="s">
        <v>2432</v>
      </c>
      <c r="Q582" s="28" t="s">
        <v>2433</v>
      </c>
    </row>
    <row r="583" spans="1:17" ht="60.75" customHeight="1" x14ac:dyDescent="0.25">
      <c r="A583" s="41">
        <v>8</v>
      </c>
      <c r="B583" s="42" t="s">
        <v>148</v>
      </c>
      <c r="C583" s="43" t="s">
        <v>2417</v>
      </c>
      <c r="D583" s="42" t="s">
        <v>2418</v>
      </c>
      <c r="E583" s="42" t="s">
        <v>2434</v>
      </c>
      <c r="F583" s="44" t="s">
        <v>92</v>
      </c>
      <c r="G583" s="102" t="s">
        <v>2221</v>
      </c>
      <c r="H583" s="37"/>
      <c r="I583" s="103" t="s">
        <v>2222</v>
      </c>
      <c r="J583" s="39"/>
      <c r="K583" s="39"/>
      <c r="L583" s="40"/>
      <c r="M583" s="9" t="str">
        <f>IF($J583="AC",COUNTIF($J$5:$J583,"AC"),"")</f>
        <v/>
      </c>
      <c r="N583" s="9" t="str">
        <f>IF($J583="FB",COUNTIF($J$5:$J583,"FB"),"")</f>
        <v/>
      </c>
      <c r="O583" s="9" t="str">
        <f>IF($J583="PC",COUNTIF($J$5:$J583,"PC"),"")</f>
        <v/>
      </c>
      <c r="P583" s="28" t="s">
        <v>2435</v>
      </c>
      <c r="Q583" s="28" t="s">
        <v>2436</v>
      </c>
    </row>
    <row r="584" spans="1:17" ht="45.75" customHeight="1" x14ac:dyDescent="0.25">
      <c r="A584" s="41">
        <v>8</v>
      </c>
      <c r="B584" s="42" t="s">
        <v>148</v>
      </c>
      <c r="C584" s="43" t="s">
        <v>2437</v>
      </c>
      <c r="D584" s="42" t="s">
        <v>2438</v>
      </c>
      <c r="E584" s="42" t="s">
        <v>2439</v>
      </c>
      <c r="F584" s="35" t="s">
        <v>69</v>
      </c>
      <c r="G584" s="102" t="s">
        <v>2221</v>
      </c>
      <c r="H584" s="37"/>
      <c r="I584" s="103" t="s">
        <v>2222</v>
      </c>
      <c r="J584" s="39"/>
      <c r="K584" s="39"/>
      <c r="L584" s="40"/>
      <c r="M584" s="9" t="str">
        <f>IF($J584="AC",COUNTIF($J$5:$J584,"AC"),"")</f>
        <v/>
      </c>
      <c r="N584" s="9" t="str">
        <f>IF($J584="FB",COUNTIF($J$5:$J584,"FB"),"")</f>
        <v/>
      </c>
      <c r="O584" s="9" t="str">
        <f>IF($J584="PC",COUNTIF($J$5:$J584,"PC"),"")</f>
        <v/>
      </c>
      <c r="P584" s="28" t="s">
        <v>2440</v>
      </c>
      <c r="Q584" s="28" t="s">
        <v>2441</v>
      </c>
    </row>
    <row r="585" spans="1:17" ht="45.75" customHeight="1" x14ac:dyDescent="0.25">
      <c r="A585" s="41">
        <v>8</v>
      </c>
      <c r="B585" s="42" t="s">
        <v>148</v>
      </c>
      <c r="C585" s="43" t="s">
        <v>2437</v>
      </c>
      <c r="D585" s="42" t="s">
        <v>2438</v>
      </c>
      <c r="E585" s="42" t="s">
        <v>2442</v>
      </c>
      <c r="F585" s="44" t="s">
        <v>92</v>
      </c>
      <c r="G585" s="102" t="s">
        <v>2221</v>
      </c>
      <c r="H585" s="37"/>
      <c r="I585" s="103" t="s">
        <v>2222</v>
      </c>
      <c r="J585" s="39"/>
      <c r="K585" s="39"/>
      <c r="L585" s="40"/>
      <c r="M585" s="9" t="str">
        <f>IF($J585="AC",COUNTIF($J$5:$J585,"AC"),"")</f>
        <v/>
      </c>
      <c r="N585" s="9" t="str">
        <f>IF($J585="FB",COUNTIF($J$5:$J585,"FB"),"")</f>
        <v/>
      </c>
      <c r="O585" s="9" t="str">
        <f>IF($J585="PC",COUNTIF($J$5:$J585,"PC"),"")</f>
        <v/>
      </c>
      <c r="P585" s="28" t="s">
        <v>2443</v>
      </c>
      <c r="Q585" s="28" t="s">
        <v>2444</v>
      </c>
    </row>
    <row r="586" spans="1:17" ht="45.75" customHeight="1" x14ac:dyDescent="0.25">
      <c r="A586" s="104">
        <v>9</v>
      </c>
      <c r="B586" s="105" t="s">
        <v>2445</v>
      </c>
      <c r="C586" s="106" t="s">
        <v>2446</v>
      </c>
      <c r="D586" s="105" t="s">
        <v>2447</v>
      </c>
      <c r="E586" s="105" t="s">
        <v>2448</v>
      </c>
      <c r="F586" s="35" t="s">
        <v>69</v>
      </c>
      <c r="G586" s="102" t="s">
        <v>2221</v>
      </c>
      <c r="H586" s="37"/>
      <c r="I586" s="103" t="s">
        <v>2222</v>
      </c>
      <c r="J586" s="39"/>
      <c r="K586" s="39"/>
      <c r="L586" s="40"/>
      <c r="M586" s="9" t="str">
        <f>IF($J586="AC",COUNTIF($J$5:$J586,"AC"),"")</f>
        <v/>
      </c>
      <c r="N586" s="9" t="str">
        <f>IF($J586="FB",COUNTIF($J$5:$J586,"FB"),"")</f>
        <v/>
      </c>
      <c r="O586" s="9" t="str">
        <f>IF($J586="PC",COUNTIF($J$5:$J586,"PC"),"")</f>
        <v/>
      </c>
      <c r="P586" s="28" t="s">
        <v>2449</v>
      </c>
      <c r="Q586" s="28" t="s">
        <v>2450</v>
      </c>
    </row>
    <row r="587" spans="1:17" ht="45.75" customHeight="1" x14ac:dyDescent="0.25">
      <c r="A587" s="41">
        <v>9</v>
      </c>
      <c r="B587" s="42" t="s">
        <v>2445</v>
      </c>
      <c r="C587" s="43" t="s">
        <v>2446</v>
      </c>
      <c r="D587" s="42" t="s">
        <v>2447</v>
      </c>
      <c r="E587" s="42" t="s">
        <v>2451</v>
      </c>
      <c r="F587" s="44" t="s">
        <v>92</v>
      </c>
      <c r="G587" s="102" t="s">
        <v>2221</v>
      </c>
      <c r="H587" s="37"/>
      <c r="I587" s="103" t="s">
        <v>2222</v>
      </c>
      <c r="J587" s="39"/>
      <c r="K587" s="39"/>
      <c r="L587" s="40"/>
      <c r="M587" s="9" t="str">
        <f>IF($J587="AC",COUNTIF($J$5:$J587,"AC"),"")</f>
        <v/>
      </c>
      <c r="N587" s="9" t="str">
        <f>IF($J587="FB",COUNTIF($J$5:$J587,"FB"),"")</f>
        <v/>
      </c>
      <c r="O587" s="9" t="str">
        <f>IF($J587="PC",COUNTIF($J$5:$J587,"PC"),"")</f>
        <v/>
      </c>
      <c r="P587" s="28" t="s">
        <v>2452</v>
      </c>
      <c r="Q587" s="28" t="s">
        <v>2453</v>
      </c>
    </row>
    <row r="588" spans="1:17" ht="45.75" customHeight="1" x14ac:dyDescent="0.25">
      <c r="A588" s="41">
        <v>9</v>
      </c>
      <c r="B588" s="42" t="s">
        <v>2445</v>
      </c>
      <c r="C588" s="43" t="s">
        <v>2446</v>
      </c>
      <c r="D588" s="42" t="s">
        <v>2447</v>
      </c>
      <c r="E588" s="42" t="s">
        <v>2454</v>
      </c>
      <c r="F588" s="44" t="s">
        <v>92</v>
      </c>
      <c r="G588" s="102" t="s">
        <v>2221</v>
      </c>
      <c r="H588" s="37"/>
      <c r="I588" s="103" t="s">
        <v>2222</v>
      </c>
      <c r="J588" s="39"/>
      <c r="K588" s="39"/>
      <c r="L588" s="40"/>
      <c r="M588" s="9" t="str">
        <f>IF($J588="AC",COUNTIF($J$5:$J588,"AC"),"")</f>
        <v/>
      </c>
      <c r="N588" s="9" t="str">
        <f>IF($J588="FB",COUNTIF($J$5:$J588,"FB"),"")</f>
        <v/>
      </c>
      <c r="O588" s="9" t="str">
        <f>IF($J588="PC",COUNTIF($J$5:$J588,"PC"),"")</f>
        <v/>
      </c>
      <c r="P588" s="28" t="s">
        <v>2455</v>
      </c>
      <c r="Q588" s="28" t="s">
        <v>2456</v>
      </c>
    </row>
    <row r="589" spans="1:17" ht="45.75" customHeight="1" x14ac:dyDescent="0.25">
      <c r="A589" s="41">
        <v>9</v>
      </c>
      <c r="B589" s="42" t="s">
        <v>2445</v>
      </c>
      <c r="C589" s="43" t="s">
        <v>2457</v>
      </c>
      <c r="D589" s="42" t="s">
        <v>2458</v>
      </c>
      <c r="E589" s="42" t="s">
        <v>2459</v>
      </c>
      <c r="F589" s="35" t="s">
        <v>69</v>
      </c>
      <c r="G589" s="102" t="s">
        <v>2221</v>
      </c>
      <c r="H589" s="37"/>
      <c r="I589" s="103" t="s">
        <v>2222</v>
      </c>
      <c r="J589" s="39"/>
      <c r="K589" s="39"/>
      <c r="L589" s="40"/>
      <c r="M589" s="9" t="str">
        <f>IF($J589="AC",COUNTIF($J$5:$J589,"AC"),"")</f>
        <v/>
      </c>
      <c r="N589" s="9" t="str">
        <f>IF($J589="FB",COUNTIF($J$5:$J589,"FB"),"")</f>
        <v/>
      </c>
      <c r="O589" s="9" t="str">
        <f>IF($J589="PC",COUNTIF($J$5:$J589,"PC"),"")</f>
        <v/>
      </c>
      <c r="P589" s="28" t="s">
        <v>2460</v>
      </c>
      <c r="Q589" s="28" t="s">
        <v>2461</v>
      </c>
    </row>
    <row r="590" spans="1:17" ht="45.75" customHeight="1" x14ac:dyDescent="0.25">
      <c r="A590" s="41">
        <v>9</v>
      </c>
      <c r="B590" s="42" t="s">
        <v>2445</v>
      </c>
      <c r="C590" s="43" t="s">
        <v>2457</v>
      </c>
      <c r="D590" s="42" t="s">
        <v>2458</v>
      </c>
      <c r="E590" s="42" t="s">
        <v>2462</v>
      </c>
      <c r="F590" s="44" t="s">
        <v>92</v>
      </c>
      <c r="G590" s="102" t="s">
        <v>2221</v>
      </c>
      <c r="H590" s="37"/>
      <c r="I590" s="103" t="s">
        <v>2222</v>
      </c>
      <c r="J590" s="39"/>
      <c r="K590" s="39"/>
      <c r="L590" s="40"/>
      <c r="M590" s="9" t="str">
        <f>IF($J590="AC",COUNTIF($J$5:$J590,"AC"),"")</f>
        <v/>
      </c>
      <c r="N590" s="9" t="str">
        <f>IF($J590="FB",COUNTIF($J$5:$J590,"FB"),"")</f>
        <v/>
      </c>
      <c r="O590" s="9" t="str">
        <f>IF($J590="PC",COUNTIF($J$5:$J590,"PC"),"")</f>
        <v/>
      </c>
      <c r="P590" s="28" t="s">
        <v>2463</v>
      </c>
      <c r="Q590" s="28" t="s">
        <v>2464</v>
      </c>
    </row>
    <row r="591" spans="1:17" ht="45.75" customHeight="1" x14ac:dyDescent="0.25">
      <c r="A591" s="41">
        <v>9</v>
      </c>
      <c r="B591" s="42" t="s">
        <v>2445</v>
      </c>
      <c r="C591" s="43" t="s">
        <v>2457</v>
      </c>
      <c r="D591" s="42" t="s">
        <v>2458</v>
      </c>
      <c r="E591" s="42" t="s">
        <v>2465</v>
      </c>
      <c r="F591" s="45" t="s">
        <v>165</v>
      </c>
      <c r="G591" s="102" t="s">
        <v>2221</v>
      </c>
      <c r="H591" s="37"/>
      <c r="I591" s="103" t="s">
        <v>2222</v>
      </c>
      <c r="J591" s="39"/>
      <c r="K591" s="39"/>
      <c r="L591" s="40"/>
      <c r="M591" s="9" t="str">
        <f>IF($J591="AC",COUNTIF($J$5:$J591,"AC"),"")</f>
        <v/>
      </c>
      <c r="N591" s="9" t="str">
        <f>IF($J591="FB",COUNTIF($J$5:$J591,"FB"),"")</f>
        <v/>
      </c>
      <c r="O591" s="9" t="str">
        <f>IF($J591="PC",COUNTIF($J$5:$J591,"PC"),"")</f>
        <v/>
      </c>
      <c r="P591" s="28" t="s">
        <v>2466</v>
      </c>
      <c r="Q591" s="28" t="s">
        <v>2467</v>
      </c>
    </row>
    <row r="592" spans="1:17" ht="60.75" customHeight="1" x14ac:dyDescent="0.25">
      <c r="A592" s="104">
        <v>10</v>
      </c>
      <c r="B592" s="105" t="s">
        <v>171</v>
      </c>
      <c r="C592" s="106" t="s">
        <v>2468</v>
      </c>
      <c r="D592" s="105" t="s">
        <v>2469</v>
      </c>
      <c r="E592" s="105" t="s">
        <v>2470</v>
      </c>
      <c r="F592" s="44" t="s">
        <v>92</v>
      </c>
      <c r="G592" s="102" t="s">
        <v>2221</v>
      </c>
      <c r="H592" s="37"/>
      <c r="I592" s="103" t="s">
        <v>2222</v>
      </c>
      <c r="J592" s="39"/>
      <c r="K592" s="39"/>
      <c r="L592" s="40"/>
      <c r="M592" s="9" t="str">
        <f>IF($J592="AC",COUNTIF($J$5:$J592,"AC"),"")</f>
        <v/>
      </c>
      <c r="N592" s="9" t="str">
        <f>IF($J592="FB",COUNTIF($J$5:$J592,"FB"),"")</f>
        <v/>
      </c>
      <c r="O592" s="9" t="str">
        <f>IF($J592="PC",COUNTIF($J$5:$J592,"PC"),"")</f>
        <v/>
      </c>
      <c r="P592" s="28" t="s">
        <v>2471</v>
      </c>
      <c r="Q592" s="28" t="s">
        <v>2472</v>
      </c>
    </row>
    <row r="593" spans="1:17" ht="30.75" customHeight="1" x14ac:dyDescent="0.25">
      <c r="A593" s="41">
        <v>10</v>
      </c>
      <c r="B593" s="42" t="s">
        <v>171</v>
      </c>
      <c r="C593" s="43" t="s">
        <v>2468</v>
      </c>
      <c r="D593" s="42" t="s">
        <v>2469</v>
      </c>
      <c r="E593" s="42" t="s">
        <v>2473</v>
      </c>
      <c r="F593" s="44" t="s">
        <v>92</v>
      </c>
      <c r="G593" s="102" t="s">
        <v>2221</v>
      </c>
      <c r="H593" s="37"/>
      <c r="I593" s="103" t="s">
        <v>2222</v>
      </c>
      <c r="J593" s="39"/>
      <c r="K593" s="39"/>
      <c r="L593" s="40"/>
      <c r="M593" s="9" t="str">
        <f>IF($J593="AC",COUNTIF($J$5:$J593,"AC"),"")</f>
        <v/>
      </c>
      <c r="N593" s="9" t="str">
        <f>IF($J593="FB",COUNTIF($J$5:$J593,"FB"),"")</f>
        <v/>
      </c>
      <c r="O593" s="9" t="str">
        <f>IF($J593="PC",COUNTIF($J$5:$J593,"PC"),"")</f>
        <v/>
      </c>
      <c r="P593" s="28" t="s">
        <v>2474</v>
      </c>
      <c r="Q593" s="28" t="s">
        <v>2475</v>
      </c>
    </row>
    <row r="594" spans="1:17" ht="30.75" customHeight="1" x14ac:dyDescent="0.25">
      <c r="A594" s="41">
        <v>10</v>
      </c>
      <c r="B594" s="42" t="s">
        <v>171</v>
      </c>
      <c r="C594" s="43" t="s">
        <v>2468</v>
      </c>
      <c r="D594" s="42" t="s">
        <v>2469</v>
      </c>
      <c r="E594" s="42" t="s">
        <v>2476</v>
      </c>
      <c r="F594" s="44" t="s">
        <v>92</v>
      </c>
      <c r="G594" s="102" t="s">
        <v>2221</v>
      </c>
      <c r="H594" s="37"/>
      <c r="I594" s="103" t="s">
        <v>2222</v>
      </c>
      <c r="J594" s="39"/>
      <c r="K594" s="39"/>
      <c r="L594" s="40"/>
      <c r="M594" s="9" t="str">
        <f>IF($J594="AC",COUNTIF($J$5:$J594,"AC"),"")</f>
        <v/>
      </c>
      <c r="N594" s="9" t="str">
        <f>IF($J594="FB",COUNTIF($J$5:$J594,"FB"),"")</f>
        <v/>
      </c>
      <c r="O594" s="9" t="str">
        <f>IF($J594="PC",COUNTIF($J$5:$J594,"PC"),"")</f>
        <v/>
      </c>
      <c r="P594" s="28" t="s">
        <v>2477</v>
      </c>
      <c r="Q594" s="28" t="s">
        <v>2478</v>
      </c>
    </row>
    <row r="595" spans="1:17" ht="45.75" customHeight="1" x14ac:dyDescent="0.25">
      <c r="A595" s="41">
        <v>10</v>
      </c>
      <c r="B595" s="42" t="s">
        <v>171</v>
      </c>
      <c r="C595" s="43" t="s">
        <v>2479</v>
      </c>
      <c r="D595" s="42" t="s">
        <v>2480</v>
      </c>
      <c r="E595" s="42" t="s">
        <v>2481</v>
      </c>
      <c r="F595" s="35" t="s">
        <v>69</v>
      </c>
      <c r="G595" s="102" t="s">
        <v>2221</v>
      </c>
      <c r="H595" s="37"/>
      <c r="I595" s="103" t="s">
        <v>2222</v>
      </c>
      <c r="J595" s="39"/>
      <c r="K595" s="39"/>
      <c r="L595" s="40"/>
      <c r="M595" s="9" t="str">
        <f>IF($J595="AC",COUNTIF($J$5:$J595,"AC"),"")</f>
        <v/>
      </c>
      <c r="N595" s="9" t="str">
        <f>IF($J595="FB",COUNTIF($J$5:$J595,"FB"),"")</f>
        <v/>
      </c>
      <c r="O595" s="9" t="str">
        <f>IF($J595="PC",COUNTIF($J$5:$J595,"PC"),"")</f>
        <v/>
      </c>
      <c r="P595" s="28" t="s">
        <v>2482</v>
      </c>
      <c r="Q595" s="28" t="s">
        <v>2483</v>
      </c>
    </row>
    <row r="596" spans="1:17" ht="30.75" customHeight="1" x14ac:dyDescent="0.25">
      <c r="A596" s="41">
        <v>10</v>
      </c>
      <c r="B596" s="42" t="s">
        <v>171</v>
      </c>
      <c r="C596" s="43" t="s">
        <v>2479</v>
      </c>
      <c r="D596" s="42" t="s">
        <v>2480</v>
      </c>
      <c r="E596" s="42" t="s">
        <v>2484</v>
      </c>
      <c r="F596" s="44" t="s">
        <v>92</v>
      </c>
      <c r="G596" s="102" t="s">
        <v>2221</v>
      </c>
      <c r="H596" s="37"/>
      <c r="I596" s="103" t="s">
        <v>2222</v>
      </c>
      <c r="J596" s="39"/>
      <c r="K596" s="39"/>
      <c r="L596" s="40"/>
      <c r="M596" s="9" t="str">
        <f>IF($J596="AC",COUNTIF($J$5:$J596,"AC"),"")</f>
        <v/>
      </c>
      <c r="N596" s="9" t="str">
        <f>IF($J596="FB",COUNTIF($J$5:$J596,"FB"),"")</f>
        <v/>
      </c>
      <c r="O596" s="9" t="str">
        <f>IF($J596="PC",COUNTIF($J$5:$J596,"PC"),"")</f>
        <v/>
      </c>
      <c r="P596" s="28" t="s">
        <v>2485</v>
      </c>
      <c r="Q596" s="28" t="s">
        <v>2486</v>
      </c>
    </row>
    <row r="597" spans="1:17" ht="30.75" customHeight="1" x14ac:dyDescent="0.25">
      <c r="A597" s="41">
        <v>10</v>
      </c>
      <c r="B597" s="42" t="s">
        <v>171</v>
      </c>
      <c r="C597" s="43" t="s">
        <v>2479</v>
      </c>
      <c r="D597" s="42" t="s">
        <v>2480</v>
      </c>
      <c r="E597" s="42" t="s">
        <v>2487</v>
      </c>
      <c r="F597" s="44" t="s">
        <v>92</v>
      </c>
      <c r="G597" s="102" t="s">
        <v>2221</v>
      </c>
      <c r="H597" s="37"/>
      <c r="I597" s="103" t="s">
        <v>2222</v>
      </c>
      <c r="J597" s="39"/>
      <c r="K597" s="39"/>
      <c r="L597" s="40"/>
      <c r="M597" s="9" t="str">
        <f>IF($J597="AC",COUNTIF($J$5:$J597,"AC"),"")</f>
        <v/>
      </c>
      <c r="N597" s="9" t="str">
        <f>IF($J597="FB",COUNTIF($J$5:$J597,"FB"),"")</f>
        <v/>
      </c>
      <c r="O597" s="9" t="str">
        <f>IF($J597="PC",COUNTIF($J$5:$J597,"PC"),"")</f>
        <v/>
      </c>
      <c r="P597" s="28" t="s">
        <v>2488</v>
      </c>
      <c r="Q597" s="28" t="s">
        <v>2489</v>
      </c>
    </row>
    <row r="598" spans="1:17" ht="30.75" customHeight="1" x14ac:dyDescent="0.25">
      <c r="A598" s="104">
        <v>11</v>
      </c>
      <c r="B598" s="105" t="s">
        <v>188</v>
      </c>
      <c r="C598" s="106" t="s">
        <v>2490</v>
      </c>
      <c r="D598" s="105" t="s">
        <v>2491</v>
      </c>
      <c r="E598" s="105" t="s">
        <v>2492</v>
      </c>
      <c r="F598" s="44" t="s">
        <v>92</v>
      </c>
      <c r="G598" s="102" t="s">
        <v>2221</v>
      </c>
      <c r="H598" s="37"/>
      <c r="I598" s="103" t="s">
        <v>2222</v>
      </c>
      <c r="J598" s="39"/>
      <c r="K598" s="39"/>
      <c r="L598" s="40"/>
      <c r="M598" s="9" t="str">
        <f>IF($J598="AC",COUNTIF($J$5:$J598,"AC"),"")</f>
        <v/>
      </c>
      <c r="N598" s="9" t="str">
        <f>IF($J598="FB",COUNTIF($J$5:$J598,"FB"),"")</f>
        <v/>
      </c>
      <c r="O598" s="9" t="str">
        <f>IF($J598="PC",COUNTIF($J$5:$J598,"PC"),"")</f>
        <v/>
      </c>
      <c r="P598" s="28" t="s">
        <v>2493</v>
      </c>
      <c r="Q598" s="28" t="s">
        <v>2494</v>
      </c>
    </row>
    <row r="599" spans="1:17" ht="30.75" customHeight="1" x14ac:dyDescent="0.25">
      <c r="A599" s="41">
        <v>11</v>
      </c>
      <c r="B599" s="42" t="s">
        <v>188</v>
      </c>
      <c r="C599" s="43" t="s">
        <v>2490</v>
      </c>
      <c r="D599" s="42" t="s">
        <v>2491</v>
      </c>
      <c r="E599" s="42" t="s">
        <v>2495</v>
      </c>
      <c r="F599" s="44" t="s">
        <v>92</v>
      </c>
      <c r="G599" s="102" t="s">
        <v>2221</v>
      </c>
      <c r="H599" s="37"/>
      <c r="I599" s="103" t="s">
        <v>2222</v>
      </c>
      <c r="J599" s="39"/>
      <c r="K599" s="39"/>
      <c r="L599" s="40"/>
      <c r="M599" s="9" t="str">
        <f>IF($J599="AC",COUNTIF($J$5:$J599,"AC"),"")</f>
        <v/>
      </c>
      <c r="N599" s="9" t="str">
        <f>IF($J599="FB",COUNTIF($J$5:$J599,"FB"),"")</f>
        <v/>
      </c>
      <c r="O599" s="9" t="str">
        <f>IF($J599="PC",COUNTIF($J$5:$J599,"PC"),"")</f>
        <v/>
      </c>
      <c r="P599" s="28" t="s">
        <v>2496</v>
      </c>
      <c r="Q599" s="28" t="s">
        <v>2497</v>
      </c>
    </row>
    <row r="600" spans="1:17" ht="30.75" customHeight="1" x14ac:dyDescent="0.25">
      <c r="A600" s="41">
        <v>11</v>
      </c>
      <c r="B600" s="42" t="s">
        <v>188</v>
      </c>
      <c r="C600" s="43" t="s">
        <v>2490</v>
      </c>
      <c r="D600" s="42" t="s">
        <v>2491</v>
      </c>
      <c r="E600" s="42" t="s">
        <v>2498</v>
      </c>
      <c r="F600" s="44" t="s">
        <v>92</v>
      </c>
      <c r="G600" s="102" t="s">
        <v>2221</v>
      </c>
      <c r="H600" s="37"/>
      <c r="I600" s="103" t="s">
        <v>2222</v>
      </c>
      <c r="J600" s="39"/>
      <c r="K600" s="39"/>
      <c r="L600" s="40"/>
      <c r="M600" s="9" t="str">
        <f>IF($J600="AC",COUNTIF($J$5:$J600,"AC"),"")</f>
        <v/>
      </c>
      <c r="N600" s="9" t="str">
        <f>IF($J600="FB",COUNTIF($J$5:$J600,"FB"),"")</f>
        <v/>
      </c>
      <c r="O600" s="9" t="str">
        <f>IF($J600="PC",COUNTIF($J$5:$J600,"PC"),"")</f>
        <v/>
      </c>
      <c r="P600" s="28" t="s">
        <v>2499</v>
      </c>
      <c r="Q600" s="28" t="s">
        <v>2500</v>
      </c>
    </row>
    <row r="601" spans="1:17" ht="30.75" customHeight="1" x14ac:dyDescent="0.25">
      <c r="A601" s="41">
        <v>11</v>
      </c>
      <c r="B601" s="42" t="s">
        <v>188</v>
      </c>
      <c r="C601" s="43" t="s">
        <v>2501</v>
      </c>
      <c r="D601" s="42" t="s">
        <v>2502</v>
      </c>
      <c r="E601" s="42" t="s">
        <v>2503</v>
      </c>
      <c r="F601" s="35" t="s">
        <v>69</v>
      </c>
      <c r="G601" s="102" t="s">
        <v>2221</v>
      </c>
      <c r="H601" s="37"/>
      <c r="I601" s="103" t="s">
        <v>2222</v>
      </c>
      <c r="J601" s="39"/>
      <c r="K601" s="39"/>
      <c r="L601" s="40"/>
      <c r="M601" s="9" t="str">
        <f>IF($J601="AC",COUNTIF($J$5:$J601,"AC"),"")</f>
        <v/>
      </c>
      <c r="N601" s="9" t="str">
        <f>IF($J601="FB",COUNTIF($J$5:$J601,"FB"),"")</f>
        <v/>
      </c>
      <c r="O601" s="9" t="str">
        <f>IF($J601="PC",COUNTIF($J$5:$J601,"PC"),"")</f>
        <v/>
      </c>
      <c r="P601" s="28" t="s">
        <v>2504</v>
      </c>
      <c r="Q601" s="28" t="s">
        <v>2505</v>
      </c>
    </row>
    <row r="602" spans="1:17" ht="30.75" customHeight="1" x14ac:dyDescent="0.25">
      <c r="A602" s="41">
        <v>11</v>
      </c>
      <c r="B602" s="42" t="s">
        <v>188</v>
      </c>
      <c r="C602" s="43" t="s">
        <v>2501</v>
      </c>
      <c r="D602" s="42" t="s">
        <v>2502</v>
      </c>
      <c r="E602" s="42" t="s">
        <v>2506</v>
      </c>
      <c r="F602" s="35" t="s">
        <v>69</v>
      </c>
      <c r="G602" s="102" t="s">
        <v>2221</v>
      </c>
      <c r="H602" s="37"/>
      <c r="I602" s="103" t="s">
        <v>2222</v>
      </c>
      <c r="J602" s="39"/>
      <c r="K602" s="39"/>
      <c r="L602" s="40"/>
      <c r="M602" s="9" t="str">
        <f>IF($J602="AC",COUNTIF($J$5:$J602,"AC"),"")</f>
        <v/>
      </c>
      <c r="N602" s="9" t="str">
        <f>IF($J602="FB",COUNTIF($J$5:$J602,"FB"),"")</f>
        <v/>
      </c>
      <c r="O602" s="9" t="str">
        <f>IF($J602="PC",COUNTIF($J$5:$J602,"PC"),"")</f>
        <v/>
      </c>
      <c r="P602" s="28" t="s">
        <v>2507</v>
      </c>
      <c r="Q602" s="28" t="s">
        <v>2508</v>
      </c>
    </row>
    <row r="603" spans="1:17" ht="30.75" customHeight="1" x14ac:dyDescent="0.25">
      <c r="A603" s="41">
        <v>11</v>
      </c>
      <c r="B603" s="42" t="s">
        <v>188</v>
      </c>
      <c r="C603" s="43" t="s">
        <v>2501</v>
      </c>
      <c r="D603" s="42" t="s">
        <v>2502</v>
      </c>
      <c r="E603" s="42" t="s">
        <v>2509</v>
      </c>
      <c r="F603" s="44" t="s">
        <v>92</v>
      </c>
      <c r="G603" s="102" t="s">
        <v>2221</v>
      </c>
      <c r="H603" s="37"/>
      <c r="I603" s="103" t="s">
        <v>2222</v>
      </c>
      <c r="J603" s="39"/>
      <c r="K603" s="39"/>
      <c r="L603" s="40"/>
      <c r="M603" s="9" t="str">
        <f>IF($J603="AC",COUNTIF($J$5:$J603,"AC"),"")</f>
        <v/>
      </c>
      <c r="N603" s="9" t="str">
        <f>IF($J603="FB",COUNTIF($J$5:$J603,"FB"),"")</f>
        <v/>
      </c>
      <c r="O603" s="9" t="str">
        <f>IF($J603="PC",COUNTIF($J$5:$J603,"PC"),"")</f>
        <v/>
      </c>
      <c r="P603" s="28" t="s">
        <v>2510</v>
      </c>
      <c r="Q603" s="28" t="s">
        <v>2511</v>
      </c>
    </row>
    <row r="604" spans="1:17" ht="30.75" customHeight="1" x14ac:dyDescent="0.25">
      <c r="A604" s="41">
        <v>11</v>
      </c>
      <c r="B604" s="42" t="s">
        <v>188</v>
      </c>
      <c r="C604" s="43" t="s">
        <v>2501</v>
      </c>
      <c r="D604" s="42" t="s">
        <v>2502</v>
      </c>
      <c r="E604" s="42" t="s">
        <v>2512</v>
      </c>
      <c r="F604" s="44" t="s">
        <v>92</v>
      </c>
      <c r="G604" s="102" t="s">
        <v>2221</v>
      </c>
      <c r="H604" s="37"/>
      <c r="I604" s="103" t="s">
        <v>2222</v>
      </c>
      <c r="J604" s="39"/>
      <c r="K604" s="39"/>
      <c r="L604" s="40"/>
      <c r="M604" s="9" t="str">
        <f>IF($J604="AC",COUNTIF($J$5:$J604,"AC"),"")</f>
        <v/>
      </c>
      <c r="N604" s="9" t="str">
        <f>IF($J604="FB",COUNTIF($J$5:$J604,"FB"),"")</f>
        <v/>
      </c>
      <c r="O604" s="9" t="str">
        <f>IF($J604="PC",COUNTIF($J$5:$J604,"PC"),"")</f>
        <v/>
      </c>
      <c r="P604" s="28" t="s">
        <v>2513</v>
      </c>
      <c r="Q604" s="28" t="s">
        <v>2514</v>
      </c>
    </row>
    <row r="605" spans="1:17" ht="45.75" customHeight="1" x14ac:dyDescent="0.25">
      <c r="A605" s="104">
        <v>12</v>
      </c>
      <c r="B605" s="105" t="s">
        <v>470</v>
      </c>
      <c r="C605" s="106" t="s">
        <v>2515</v>
      </c>
      <c r="D605" s="105" t="s">
        <v>2516</v>
      </c>
      <c r="E605" s="105" t="s">
        <v>2517</v>
      </c>
      <c r="F605" s="35" t="s">
        <v>69</v>
      </c>
      <c r="G605" s="102" t="s">
        <v>2221</v>
      </c>
      <c r="H605" s="37"/>
      <c r="I605" s="103" t="s">
        <v>2222</v>
      </c>
      <c r="J605" s="39"/>
      <c r="K605" s="39"/>
      <c r="L605" s="40"/>
      <c r="M605" s="9" t="str">
        <f>IF($J605="AC",COUNTIF($J$5:$J605,"AC"),"")</f>
        <v/>
      </c>
      <c r="N605" s="9" t="str">
        <f>IF($J605="FB",COUNTIF($J$5:$J605,"FB"),"")</f>
        <v/>
      </c>
      <c r="O605" s="9" t="str">
        <f>IF($J605="PC",COUNTIF($J$5:$J605,"PC"),"")</f>
        <v/>
      </c>
      <c r="P605" s="28" t="s">
        <v>2518</v>
      </c>
      <c r="Q605" s="28" t="s">
        <v>2519</v>
      </c>
    </row>
    <row r="606" spans="1:17" ht="45.75" customHeight="1" x14ac:dyDescent="0.25">
      <c r="A606" s="41">
        <v>12</v>
      </c>
      <c r="B606" s="42" t="s">
        <v>470</v>
      </c>
      <c r="C606" s="43" t="s">
        <v>2515</v>
      </c>
      <c r="D606" s="42" t="s">
        <v>2516</v>
      </c>
      <c r="E606" s="42" t="s">
        <v>2520</v>
      </c>
      <c r="F606" s="35" t="s">
        <v>69</v>
      </c>
      <c r="G606" s="102" t="s">
        <v>2221</v>
      </c>
      <c r="H606" s="37"/>
      <c r="I606" s="103" t="s">
        <v>2222</v>
      </c>
      <c r="J606" s="39"/>
      <c r="K606" s="39"/>
      <c r="L606" s="40"/>
      <c r="M606" s="9" t="str">
        <f>IF($J606="AC",COUNTIF($J$5:$J606,"AC"),"")</f>
        <v/>
      </c>
      <c r="N606" s="9" t="str">
        <f>IF($J606="FB",COUNTIF($J$5:$J606,"FB"),"")</f>
        <v/>
      </c>
      <c r="O606" s="9" t="str">
        <f>IF($J606="PC",COUNTIF($J$5:$J606,"PC"),"")</f>
        <v/>
      </c>
      <c r="P606" s="28" t="s">
        <v>2521</v>
      </c>
      <c r="Q606" s="28" t="s">
        <v>2522</v>
      </c>
    </row>
    <row r="607" spans="1:17" ht="45.75" customHeight="1" x14ac:dyDescent="0.25">
      <c r="A607" s="41">
        <v>12</v>
      </c>
      <c r="B607" s="42" t="s">
        <v>470</v>
      </c>
      <c r="C607" s="43" t="s">
        <v>2515</v>
      </c>
      <c r="D607" s="42" t="s">
        <v>2516</v>
      </c>
      <c r="E607" s="42" t="s">
        <v>2523</v>
      </c>
      <c r="F607" s="35" t="s">
        <v>69</v>
      </c>
      <c r="G607" s="102" t="s">
        <v>2221</v>
      </c>
      <c r="H607" s="37"/>
      <c r="I607" s="103" t="s">
        <v>2222</v>
      </c>
      <c r="J607" s="39"/>
      <c r="K607" s="39"/>
      <c r="L607" s="40"/>
      <c r="M607" s="9" t="str">
        <f>IF($J607="AC",COUNTIF($J$5:$J607,"AC"),"")</f>
        <v/>
      </c>
      <c r="N607" s="9" t="str">
        <f>IF($J607="FB",COUNTIF($J$5:$J607,"FB"),"")</f>
        <v/>
      </c>
      <c r="O607" s="9" t="str">
        <f>IF($J607="PC",COUNTIF($J$5:$J607,"PC"),"")</f>
        <v/>
      </c>
      <c r="P607" s="28" t="s">
        <v>2524</v>
      </c>
      <c r="Q607" s="28" t="s">
        <v>2525</v>
      </c>
    </row>
    <row r="608" spans="1:17" ht="45.75" customHeight="1" x14ac:dyDescent="0.25">
      <c r="A608" s="41">
        <v>12</v>
      </c>
      <c r="B608" s="42" t="s">
        <v>470</v>
      </c>
      <c r="C608" s="43" t="s">
        <v>2515</v>
      </c>
      <c r="D608" s="42" t="s">
        <v>2516</v>
      </c>
      <c r="E608" s="42" t="s">
        <v>2526</v>
      </c>
      <c r="F608" s="44" t="s">
        <v>92</v>
      </c>
      <c r="G608" s="102" t="s">
        <v>2221</v>
      </c>
      <c r="H608" s="37"/>
      <c r="I608" s="103" t="s">
        <v>2222</v>
      </c>
      <c r="J608" s="39"/>
      <c r="K608" s="39"/>
      <c r="L608" s="40"/>
      <c r="M608" s="9" t="str">
        <f>IF($J608="AC",COUNTIF($J$5:$J608,"AC"),"")</f>
        <v/>
      </c>
      <c r="N608" s="9" t="str">
        <f>IF($J608="FB",COUNTIF($J$5:$J608,"FB"),"")</f>
        <v/>
      </c>
      <c r="O608" s="9" t="str">
        <f>IF($J608="PC",COUNTIF($J$5:$J608,"PC"),"")</f>
        <v/>
      </c>
      <c r="P608" s="28" t="s">
        <v>2527</v>
      </c>
      <c r="Q608" s="28" t="s">
        <v>2528</v>
      </c>
    </row>
    <row r="609" spans="1:17" ht="45.75" customHeight="1" x14ac:dyDescent="0.25">
      <c r="A609" s="41">
        <v>12</v>
      </c>
      <c r="B609" s="42" t="s">
        <v>470</v>
      </c>
      <c r="C609" s="43" t="s">
        <v>2529</v>
      </c>
      <c r="D609" s="42" t="s">
        <v>2530</v>
      </c>
      <c r="E609" s="42" t="s">
        <v>2531</v>
      </c>
      <c r="F609" s="44" t="s">
        <v>92</v>
      </c>
      <c r="G609" s="102" t="s">
        <v>2221</v>
      </c>
      <c r="H609" s="37"/>
      <c r="I609" s="103" t="s">
        <v>2222</v>
      </c>
      <c r="J609" s="39"/>
      <c r="K609" s="39"/>
      <c r="L609" s="40"/>
      <c r="M609" s="9" t="str">
        <f>IF($J609="AC",COUNTIF($J$5:$J609,"AC"),"")</f>
        <v/>
      </c>
      <c r="N609" s="9" t="str">
        <f>IF($J609="FB",COUNTIF($J$5:$J609,"FB"),"")</f>
        <v/>
      </c>
      <c r="O609" s="9" t="str">
        <f>IF($J609="PC",COUNTIF($J$5:$J609,"PC"),"")</f>
        <v/>
      </c>
      <c r="P609" s="28" t="s">
        <v>2532</v>
      </c>
      <c r="Q609" s="28" t="s">
        <v>2533</v>
      </c>
    </row>
    <row r="610" spans="1:17" ht="45.75" customHeight="1" x14ac:dyDescent="0.25">
      <c r="A610" s="41">
        <v>12</v>
      </c>
      <c r="B610" s="42" t="s">
        <v>470</v>
      </c>
      <c r="C610" s="43" t="s">
        <v>2529</v>
      </c>
      <c r="D610" s="42" t="s">
        <v>2530</v>
      </c>
      <c r="E610" s="42" t="s">
        <v>2534</v>
      </c>
      <c r="F610" s="44" t="s">
        <v>92</v>
      </c>
      <c r="G610" s="102" t="s">
        <v>2221</v>
      </c>
      <c r="H610" s="37"/>
      <c r="I610" s="103" t="s">
        <v>2222</v>
      </c>
      <c r="J610" s="39"/>
      <c r="K610" s="39"/>
      <c r="L610" s="40"/>
      <c r="M610" s="9" t="str">
        <f>IF($J610="AC",COUNTIF($J$5:$J610,"AC"),"")</f>
        <v/>
      </c>
      <c r="N610" s="9" t="str">
        <f>IF($J610="FB",COUNTIF($J$5:$J610,"FB"),"")</f>
        <v/>
      </c>
      <c r="O610" s="9" t="str">
        <f>IF($J610="PC",COUNTIF($J$5:$J610,"PC"),"")</f>
        <v/>
      </c>
      <c r="P610" s="28" t="s">
        <v>2535</v>
      </c>
      <c r="Q610" s="28" t="s">
        <v>2536</v>
      </c>
    </row>
    <row r="611" spans="1:17" ht="45.75" customHeight="1" x14ac:dyDescent="0.25">
      <c r="A611" s="41">
        <v>12</v>
      </c>
      <c r="B611" s="42" t="s">
        <v>470</v>
      </c>
      <c r="C611" s="43" t="s">
        <v>2529</v>
      </c>
      <c r="D611" s="42" t="s">
        <v>2530</v>
      </c>
      <c r="E611" s="42" t="s">
        <v>2537</v>
      </c>
      <c r="F611" s="44" t="s">
        <v>92</v>
      </c>
      <c r="G611" s="102" t="s">
        <v>2221</v>
      </c>
      <c r="H611" s="37"/>
      <c r="I611" s="103" t="s">
        <v>2222</v>
      </c>
      <c r="J611" s="39"/>
      <c r="K611" s="39"/>
      <c r="L611" s="40"/>
      <c r="M611" s="9" t="str">
        <f>IF($J611="AC",COUNTIF($J$5:$J611,"AC"),"")</f>
        <v/>
      </c>
      <c r="N611" s="9" t="str">
        <f>IF($J611="FB",COUNTIF($J$5:$J611,"FB"),"")</f>
        <v/>
      </c>
      <c r="O611" s="9" t="str">
        <f>IF($J611="PC",COUNTIF($J$5:$J611,"PC"),"")</f>
        <v/>
      </c>
      <c r="P611" s="28" t="s">
        <v>2538</v>
      </c>
      <c r="Q611" s="28" t="s">
        <v>2539</v>
      </c>
    </row>
    <row r="612" spans="1:17" ht="45.75" customHeight="1" x14ac:dyDescent="0.25">
      <c r="A612" s="104">
        <v>13</v>
      </c>
      <c r="B612" s="105" t="s">
        <v>2540</v>
      </c>
      <c r="C612" s="106" t="s">
        <v>2541</v>
      </c>
      <c r="D612" s="105" t="s">
        <v>421</v>
      </c>
      <c r="E612" s="105" t="s">
        <v>2542</v>
      </c>
      <c r="F612" s="35" t="s">
        <v>69</v>
      </c>
      <c r="G612" s="102" t="s">
        <v>2221</v>
      </c>
      <c r="H612" s="37"/>
      <c r="I612" s="103" t="s">
        <v>2222</v>
      </c>
      <c r="J612" s="39"/>
      <c r="K612" s="39"/>
      <c r="L612" s="40"/>
      <c r="M612" s="9" t="str">
        <f>IF($J612="AC",COUNTIF($J$5:$J612,"AC"),"")</f>
        <v/>
      </c>
      <c r="N612" s="9" t="str">
        <f>IF($J612="FB",COUNTIF($J$5:$J612,"FB"),"")</f>
        <v/>
      </c>
      <c r="O612" s="9" t="str">
        <f>IF($J612="PC",COUNTIF($J$5:$J612,"PC"),"")</f>
        <v/>
      </c>
      <c r="P612" s="28" t="s">
        <v>2543</v>
      </c>
      <c r="Q612" s="28" t="s">
        <v>2544</v>
      </c>
    </row>
    <row r="613" spans="1:17" ht="45.75" customHeight="1" x14ac:dyDescent="0.25">
      <c r="A613" s="41">
        <v>13</v>
      </c>
      <c r="B613" s="42" t="s">
        <v>2540</v>
      </c>
      <c r="C613" s="43" t="s">
        <v>2541</v>
      </c>
      <c r="D613" s="42" t="s">
        <v>421</v>
      </c>
      <c r="E613" s="42" t="s">
        <v>2545</v>
      </c>
      <c r="F613" s="44" t="s">
        <v>92</v>
      </c>
      <c r="G613" s="102" t="s">
        <v>2221</v>
      </c>
      <c r="H613" s="37"/>
      <c r="I613" s="103" t="s">
        <v>2222</v>
      </c>
      <c r="J613" s="39"/>
      <c r="K613" s="39"/>
      <c r="L613" s="40"/>
      <c r="M613" s="9" t="str">
        <f>IF($J613="AC",COUNTIF($J$5:$J613,"AC"),"")</f>
        <v/>
      </c>
      <c r="N613" s="9" t="str">
        <f>IF($J613="FB",COUNTIF($J$5:$J613,"FB"),"")</f>
        <v/>
      </c>
      <c r="O613" s="9" t="str">
        <f>IF($J613="PC",COUNTIF($J$5:$J613,"PC"),"")</f>
        <v/>
      </c>
      <c r="P613" s="28" t="s">
        <v>2546</v>
      </c>
      <c r="Q613" s="28" t="s">
        <v>2547</v>
      </c>
    </row>
    <row r="614" spans="1:17" ht="45.75" customHeight="1" x14ac:dyDescent="0.25">
      <c r="A614" s="41">
        <v>13</v>
      </c>
      <c r="B614" s="42" t="s">
        <v>2540</v>
      </c>
      <c r="C614" s="43" t="s">
        <v>2541</v>
      </c>
      <c r="D614" s="42" t="s">
        <v>421</v>
      </c>
      <c r="E614" s="42" t="s">
        <v>2548</v>
      </c>
      <c r="F614" s="44" t="s">
        <v>92</v>
      </c>
      <c r="G614" s="102" t="s">
        <v>2221</v>
      </c>
      <c r="H614" s="37"/>
      <c r="I614" s="103" t="s">
        <v>2222</v>
      </c>
      <c r="J614" s="39"/>
      <c r="K614" s="39"/>
      <c r="L614" s="40"/>
      <c r="M614" s="9" t="str">
        <f>IF($J614="AC",COUNTIF($J$5:$J614,"AC"),"")</f>
        <v/>
      </c>
      <c r="N614" s="9" t="str">
        <f>IF($J614="FB",COUNTIF($J$5:$J614,"FB"),"")</f>
        <v/>
      </c>
      <c r="O614" s="9" t="str">
        <f>IF($J614="PC",COUNTIF($J$5:$J614,"PC"),"")</f>
        <v/>
      </c>
      <c r="P614" s="28" t="s">
        <v>2549</v>
      </c>
      <c r="Q614" s="28" t="s">
        <v>2550</v>
      </c>
    </row>
    <row r="615" spans="1:17" ht="45.75" customHeight="1" x14ac:dyDescent="0.25">
      <c r="A615" s="41">
        <v>13</v>
      </c>
      <c r="B615" s="42" t="s">
        <v>2540</v>
      </c>
      <c r="C615" s="43" t="s">
        <v>2541</v>
      </c>
      <c r="D615" s="42" t="s">
        <v>421</v>
      </c>
      <c r="E615" s="42" t="s">
        <v>2551</v>
      </c>
      <c r="F615" s="44" t="s">
        <v>92</v>
      </c>
      <c r="G615" s="102" t="s">
        <v>2221</v>
      </c>
      <c r="H615" s="37"/>
      <c r="I615" s="103" t="s">
        <v>2222</v>
      </c>
      <c r="J615" s="39"/>
      <c r="K615" s="39"/>
      <c r="L615" s="40"/>
      <c r="M615" s="9" t="str">
        <f>IF($J615="AC",COUNTIF($J$5:$J615,"AC"),"")</f>
        <v/>
      </c>
      <c r="N615" s="9" t="str">
        <f>IF($J615="FB",COUNTIF($J$5:$J615,"FB"),"")</f>
        <v/>
      </c>
      <c r="O615" s="9" t="str">
        <f>IF($J615="PC",COUNTIF($J$5:$J615,"PC"),"")</f>
        <v/>
      </c>
      <c r="P615" s="28" t="s">
        <v>2552</v>
      </c>
      <c r="Q615" s="28" t="s">
        <v>2553</v>
      </c>
    </row>
    <row r="616" spans="1:17" ht="45.75" customHeight="1" x14ac:dyDescent="0.25">
      <c r="A616" s="41">
        <v>13</v>
      </c>
      <c r="B616" s="42" t="s">
        <v>2540</v>
      </c>
      <c r="C616" s="43" t="s">
        <v>2554</v>
      </c>
      <c r="D616" s="42" t="s">
        <v>2555</v>
      </c>
      <c r="E616" s="42" t="s">
        <v>2556</v>
      </c>
      <c r="F616" s="35" t="s">
        <v>69</v>
      </c>
      <c r="G616" s="102" t="s">
        <v>2221</v>
      </c>
      <c r="H616" s="37"/>
      <c r="I616" s="103" t="s">
        <v>2222</v>
      </c>
      <c r="J616" s="39"/>
      <c r="K616" s="39"/>
      <c r="L616" s="40"/>
      <c r="M616" s="9" t="str">
        <f>IF($J616="AC",COUNTIF($J$5:$J616,"AC"),"")</f>
        <v/>
      </c>
      <c r="N616" s="9" t="str">
        <f>IF($J616="FB",COUNTIF($J$5:$J616,"FB"),"")</f>
        <v/>
      </c>
      <c r="O616" s="9" t="str">
        <f>IF($J616="PC",COUNTIF($J$5:$J616,"PC"),"")</f>
        <v/>
      </c>
      <c r="P616" s="28" t="s">
        <v>2557</v>
      </c>
      <c r="Q616" s="28" t="s">
        <v>2558</v>
      </c>
    </row>
    <row r="617" spans="1:17" ht="45.75" customHeight="1" x14ac:dyDescent="0.25">
      <c r="A617" s="41">
        <v>13</v>
      </c>
      <c r="B617" s="42" t="s">
        <v>2540</v>
      </c>
      <c r="C617" s="43" t="s">
        <v>2554</v>
      </c>
      <c r="D617" s="42" t="s">
        <v>2555</v>
      </c>
      <c r="E617" s="42" t="s">
        <v>2559</v>
      </c>
      <c r="F617" s="44" t="s">
        <v>92</v>
      </c>
      <c r="G617" s="102" t="s">
        <v>2221</v>
      </c>
      <c r="H617" s="37"/>
      <c r="I617" s="103" t="s">
        <v>2222</v>
      </c>
      <c r="J617" s="39"/>
      <c r="K617" s="39"/>
      <c r="L617" s="40"/>
      <c r="M617" s="9" t="str">
        <f>IF($J617="AC",COUNTIF($J$5:$J617,"AC"),"")</f>
        <v/>
      </c>
      <c r="N617" s="9" t="str">
        <f>IF($J617="FB",COUNTIF($J$5:$J617,"FB"),"")</f>
        <v/>
      </c>
      <c r="O617" s="9" t="str">
        <f>IF($J617="PC",COUNTIF($J$5:$J617,"PC"),"")</f>
        <v/>
      </c>
      <c r="P617" s="28" t="s">
        <v>2560</v>
      </c>
      <c r="Q617" s="28" t="s">
        <v>2561</v>
      </c>
    </row>
    <row r="618" spans="1:17" ht="45.75" customHeight="1" x14ac:dyDescent="0.25">
      <c r="A618" s="41">
        <v>13</v>
      </c>
      <c r="B618" s="42" t="s">
        <v>2540</v>
      </c>
      <c r="C618" s="43" t="s">
        <v>2554</v>
      </c>
      <c r="D618" s="42" t="s">
        <v>2555</v>
      </c>
      <c r="E618" s="42" t="s">
        <v>2562</v>
      </c>
      <c r="F618" s="44" t="s">
        <v>92</v>
      </c>
      <c r="G618" s="102" t="s">
        <v>2221</v>
      </c>
      <c r="H618" s="37"/>
      <c r="I618" s="103" t="s">
        <v>2222</v>
      </c>
      <c r="J618" s="39"/>
      <c r="K618" s="39"/>
      <c r="L618" s="40"/>
      <c r="M618" s="9" t="str">
        <f>IF($J618="AC",COUNTIF($J$5:$J618,"AC"),"")</f>
        <v/>
      </c>
      <c r="N618" s="9" t="str">
        <f>IF($J618="FB",COUNTIF($J$5:$J618,"FB"),"")</f>
        <v/>
      </c>
      <c r="O618" s="9" t="str">
        <f>IF($J618="PC",COUNTIF($J$5:$J618,"PC"),"")</f>
        <v/>
      </c>
      <c r="P618" s="28" t="s">
        <v>2563</v>
      </c>
      <c r="Q618" s="28" t="s">
        <v>2564</v>
      </c>
    </row>
    <row r="619" spans="1:17" ht="45.75" customHeight="1" x14ac:dyDescent="0.25">
      <c r="A619" s="41">
        <v>13</v>
      </c>
      <c r="B619" s="42" t="s">
        <v>2540</v>
      </c>
      <c r="C619" s="43" t="s">
        <v>2554</v>
      </c>
      <c r="D619" s="42" t="s">
        <v>2555</v>
      </c>
      <c r="E619" s="42" t="s">
        <v>2565</v>
      </c>
      <c r="F619" s="44" t="s">
        <v>92</v>
      </c>
      <c r="G619" s="102" t="s">
        <v>2221</v>
      </c>
      <c r="H619" s="37"/>
      <c r="I619" s="103" t="s">
        <v>2222</v>
      </c>
      <c r="J619" s="39"/>
      <c r="K619" s="39"/>
      <c r="L619" s="40"/>
      <c r="M619" s="9" t="str">
        <f>IF($J619="AC",COUNTIF($J$5:$J619,"AC"),"")</f>
        <v/>
      </c>
      <c r="N619" s="9" t="str">
        <f>IF($J619="FB",COUNTIF($J$5:$J619,"FB"),"")</f>
        <v/>
      </c>
      <c r="O619" s="9" t="str">
        <f>IF($J619="PC",COUNTIF($J$5:$J619,"PC"),"")</f>
        <v/>
      </c>
      <c r="P619" s="28" t="s">
        <v>2566</v>
      </c>
      <c r="Q619" s="28" t="s">
        <v>2567</v>
      </c>
    </row>
    <row r="620" spans="1:17" ht="45.75" customHeight="1" x14ac:dyDescent="0.25">
      <c r="A620" s="41">
        <v>13</v>
      </c>
      <c r="B620" s="42" t="s">
        <v>2540</v>
      </c>
      <c r="C620" s="43" t="s">
        <v>2554</v>
      </c>
      <c r="D620" s="42" t="s">
        <v>2555</v>
      </c>
      <c r="E620" s="42" t="s">
        <v>2568</v>
      </c>
      <c r="F620" s="45" t="s">
        <v>165</v>
      </c>
      <c r="G620" s="102" t="s">
        <v>2221</v>
      </c>
      <c r="H620" s="37"/>
      <c r="I620" s="103" t="s">
        <v>2222</v>
      </c>
      <c r="J620" s="39"/>
      <c r="K620" s="39"/>
      <c r="L620" s="40"/>
      <c r="M620" s="9" t="str">
        <f>IF($J620="AC",COUNTIF($J$5:$J620,"AC"),"")</f>
        <v/>
      </c>
      <c r="N620" s="9" t="str">
        <f>IF($J620="FB",COUNTIF($J$5:$J620,"FB"),"")</f>
        <v/>
      </c>
      <c r="O620" s="9" t="str">
        <f>IF($J620="PC",COUNTIF($J$5:$J620,"PC"),"")</f>
        <v/>
      </c>
      <c r="P620" s="28" t="s">
        <v>2569</v>
      </c>
      <c r="Q620" s="28" t="s">
        <v>2570</v>
      </c>
    </row>
    <row r="621" spans="1:17" ht="45.75" customHeight="1" x14ac:dyDescent="0.25">
      <c r="A621" s="104">
        <v>14</v>
      </c>
      <c r="B621" s="105" t="s">
        <v>504</v>
      </c>
      <c r="C621" s="106" t="s">
        <v>2571</v>
      </c>
      <c r="D621" s="105" t="s">
        <v>2572</v>
      </c>
      <c r="E621" s="105" t="s">
        <v>2573</v>
      </c>
      <c r="F621" s="44" t="s">
        <v>92</v>
      </c>
      <c r="G621" s="102" t="s">
        <v>2221</v>
      </c>
      <c r="H621" s="37"/>
      <c r="I621" s="103" t="s">
        <v>2222</v>
      </c>
      <c r="J621" s="39"/>
      <c r="K621" s="39"/>
      <c r="L621" s="40"/>
      <c r="M621" s="9" t="str">
        <f>IF($J621="AC",COUNTIF($J$5:$J621,"AC"),"")</f>
        <v/>
      </c>
      <c r="N621" s="9" t="str">
        <f>IF($J621="FB",COUNTIF($J$5:$J621,"FB"),"")</f>
        <v/>
      </c>
      <c r="O621" s="9" t="str">
        <f>IF($J621="PC",COUNTIF($J$5:$J621,"PC"),"")</f>
        <v/>
      </c>
      <c r="P621" s="28" t="s">
        <v>2574</v>
      </c>
      <c r="Q621" s="28" t="s">
        <v>2575</v>
      </c>
    </row>
    <row r="622" spans="1:17" ht="45.75" customHeight="1" x14ac:dyDescent="0.25">
      <c r="A622" s="41">
        <v>14</v>
      </c>
      <c r="B622" s="42" t="s">
        <v>504</v>
      </c>
      <c r="C622" s="43" t="s">
        <v>2571</v>
      </c>
      <c r="D622" s="42" t="s">
        <v>2572</v>
      </c>
      <c r="E622" s="42" t="s">
        <v>2576</v>
      </c>
      <c r="F622" s="44" t="s">
        <v>92</v>
      </c>
      <c r="G622" s="102" t="s">
        <v>2221</v>
      </c>
      <c r="H622" s="37"/>
      <c r="I622" s="103" t="s">
        <v>2222</v>
      </c>
      <c r="J622" s="39"/>
      <c r="K622" s="39"/>
      <c r="L622" s="40"/>
      <c r="M622" s="9" t="str">
        <f>IF($J622="AC",COUNTIF($J$5:$J622,"AC"),"")</f>
        <v/>
      </c>
      <c r="N622" s="9" t="str">
        <f>IF($J622="FB",COUNTIF($J$5:$J622,"FB"),"")</f>
        <v/>
      </c>
      <c r="O622" s="9" t="str">
        <f>IF($J622="PC",COUNTIF($J$5:$J622,"PC"),"")</f>
        <v/>
      </c>
      <c r="P622" s="28" t="s">
        <v>2577</v>
      </c>
      <c r="Q622" s="28" t="s">
        <v>2578</v>
      </c>
    </row>
    <row r="623" spans="1:17" ht="45.75" customHeight="1" x14ac:dyDescent="0.25">
      <c r="A623" s="41">
        <v>14</v>
      </c>
      <c r="B623" s="42" t="s">
        <v>504</v>
      </c>
      <c r="C623" s="43" t="s">
        <v>2571</v>
      </c>
      <c r="D623" s="42" t="s">
        <v>2572</v>
      </c>
      <c r="E623" s="42" t="s">
        <v>2579</v>
      </c>
      <c r="F623" s="45" t="s">
        <v>165</v>
      </c>
      <c r="G623" s="102" t="s">
        <v>2221</v>
      </c>
      <c r="H623" s="37"/>
      <c r="I623" s="103" t="s">
        <v>2222</v>
      </c>
      <c r="J623" s="39"/>
      <c r="K623" s="39"/>
      <c r="L623" s="40"/>
      <c r="M623" s="9" t="str">
        <f>IF($J623="AC",COUNTIF($J$5:$J623,"AC"),"")</f>
        <v/>
      </c>
      <c r="N623" s="9" t="str">
        <f>IF($J623="FB",COUNTIF($J$5:$J623,"FB"),"")</f>
        <v/>
      </c>
      <c r="O623" s="9" t="str">
        <f>IF($J623="PC",COUNTIF($J$5:$J623,"PC"),"")</f>
        <v/>
      </c>
      <c r="P623" s="28" t="s">
        <v>2580</v>
      </c>
      <c r="Q623" s="28" t="s">
        <v>2581</v>
      </c>
    </row>
    <row r="624" spans="1:17" ht="45.75" customHeight="1" x14ac:dyDescent="0.25">
      <c r="A624" s="41">
        <v>14</v>
      </c>
      <c r="B624" s="42" t="s">
        <v>504</v>
      </c>
      <c r="C624" s="43" t="s">
        <v>2582</v>
      </c>
      <c r="D624" s="42" t="s">
        <v>2583</v>
      </c>
      <c r="E624" s="42" t="s">
        <v>2584</v>
      </c>
      <c r="F624" s="44" t="s">
        <v>92</v>
      </c>
      <c r="G624" s="102" t="s">
        <v>2221</v>
      </c>
      <c r="H624" s="37"/>
      <c r="I624" s="103" t="s">
        <v>2222</v>
      </c>
      <c r="J624" s="39"/>
      <c r="K624" s="39"/>
      <c r="L624" s="40"/>
      <c r="M624" s="9" t="str">
        <f>IF($J624="AC",COUNTIF($J$5:$J624,"AC"),"")</f>
        <v/>
      </c>
      <c r="N624" s="9" t="str">
        <f>IF($J624="FB",COUNTIF($J$5:$J624,"FB"),"")</f>
        <v/>
      </c>
      <c r="O624" s="9" t="str">
        <f>IF($J624="PC",COUNTIF($J$5:$J624,"PC"),"")</f>
        <v/>
      </c>
      <c r="P624" s="28" t="s">
        <v>2585</v>
      </c>
      <c r="Q624" s="28" t="s">
        <v>2586</v>
      </c>
    </row>
    <row r="625" spans="1:17" ht="45.75" customHeight="1" x14ac:dyDescent="0.25">
      <c r="A625" s="41">
        <v>14</v>
      </c>
      <c r="B625" s="42" t="s">
        <v>504</v>
      </c>
      <c r="C625" s="43" t="s">
        <v>2582</v>
      </c>
      <c r="D625" s="42" t="s">
        <v>2583</v>
      </c>
      <c r="E625" s="42" t="s">
        <v>2587</v>
      </c>
      <c r="F625" s="44" t="s">
        <v>92</v>
      </c>
      <c r="G625" s="102" t="s">
        <v>2221</v>
      </c>
      <c r="H625" s="37"/>
      <c r="I625" s="103" t="s">
        <v>2222</v>
      </c>
      <c r="J625" s="39"/>
      <c r="K625" s="39"/>
      <c r="L625" s="40"/>
      <c r="M625" s="9" t="str">
        <f>IF($J625="AC",COUNTIF($J$5:$J625,"AC"),"")</f>
        <v/>
      </c>
      <c r="N625" s="9" t="str">
        <f>IF($J625="FB",COUNTIF($J$5:$J625,"FB"),"")</f>
        <v/>
      </c>
      <c r="O625" s="9" t="str">
        <f>IF($J625="PC",COUNTIF($J$5:$J625,"PC"),"")</f>
        <v/>
      </c>
      <c r="P625" s="28" t="s">
        <v>2588</v>
      </c>
      <c r="Q625" s="28" t="s">
        <v>2589</v>
      </c>
    </row>
    <row r="626" spans="1:17" ht="45.75" customHeight="1" x14ac:dyDescent="0.25">
      <c r="A626" s="41">
        <v>14</v>
      </c>
      <c r="B626" s="42" t="s">
        <v>504</v>
      </c>
      <c r="C626" s="43" t="s">
        <v>2582</v>
      </c>
      <c r="D626" s="42" t="s">
        <v>2583</v>
      </c>
      <c r="E626" s="42" t="s">
        <v>2590</v>
      </c>
      <c r="F626" s="45" t="s">
        <v>165</v>
      </c>
      <c r="G626" s="102" t="s">
        <v>2221</v>
      </c>
      <c r="H626" s="37"/>
      <c r="I626" s="103" t="s">
        <v>2222</v>
      </c>
      <c r="J626" s="39"/>
      <c r="K626" s="39"/>
      <c r="L626" s="40"/>
      <c r="M626" s="9" t="str">
        <f>IF($J626="AC",COUNTIF($J$5:$J626,"AC"),"")</f>
        <v/>
      </c>
      <c r="N626" s="9" t="str">
        <f>IF($J626="FB",COUNTIF($J$5:$J626,"FB"),"")</f>
        <v/>
      </c>
      <c r="O626" s="9" t="str">
        <f>IF($J626="PC",COUNTIF($J$5:$J626,"PC"),"")</f>
        <v/>
      </c>
      <c r="P626" s="28" t="s">
        <v>2591</v>
      </c>
      <c r="Q626" s="28" t="s">
        <v>2592</v>
      </c>
    </row>
    <row r="627" spans="1:17" ht="45.75" customHeight="1" x14ac:dyDescent="0.25">
      <c r="A627" s="41">
        <v>14</v>
      </c>
      <c r="B627" s="42" t="s">
        <v>504</v>
      </c>
      <c r="C627" s="43" t="s">
        <v>2593</v>
      </c>
      <c r="D627" s="42" t="s">
        <v>2594</v>
      </c>
      <c r="E627" s="42" t="s">
        <v>2595</v>
      </c>
      <c r="F627" s="44" t="s">
        <v>92</v>
      </c>
      <c r="G627" s="102" t="s">
        <v>2221</v>
      </c>
      <c r="H627" s="37"/>
      <c r="I627" s="103" t="s">
        <v>2222</v>
      </c>
      <c r="J627" s="39"/>
      <c r="K627" s="39"/>
      <c r="L627" s="40"/>
      <c r="M627" s="9" t="str">
        <f>IF($J627="AC",COUNTIF($J$5:$J627,"AC"),"")</f>
        <v/>
      </c>
      <c r="N627" s="9" t="str">
        <f>IF($J627="FB",COUNTIF($J$5:$J627,"FB"),"")</f>
        <v/>
      </c>
      <c r="O627" s="9" t="str">
        <f>IF($J627="PC",COUNTIF($J$5:$J627,"PC"),"")</f>
        <v/>
      </c>
      <c r="P627" s="28" t="s">
        <v>2596</v>
      </c>
      <c r="Q627" s="28" t="s">
        <v>2597</v>
      </c>
    </row>
    <row r="628" spans="1:17" ht="45.75" customHeight="1" x14ac:dyDescent="0.25">
      <c r="A628" s="41">
        <v>14</v>
      </c>
      <c r="B628" s="42" t="s">
        <v>504</v>
      </c>
      <c r="C628" s="43" t="s">
        <v>2593</v>
      </c>
      <c r="D628" s="42" t="s">
        <v>2594</v>
      </c>
      <c r="E628" s="42" t="s">
        <v>2598</v>
      </c>
      <c r="F628" s="44" t="s">
        <v>92</v>
      </c>
      <c r="G628" s="102" t="s">
        <v>2221</v>
      </c>
      <c r="H628" s="37"/>
      <c r="I628" s="103" t="s">
        <v>2222</v>
      </c>
      <c r="J628" s="39"/>
      <c r="K628" s="39"/>
      <c r="L628" s="40"/>
      <c r="M628" s="9" t="str">
        <f>IF($J628="AC",COUNTIF($J$5:$J628,"AC"),"")</f>
        <v/>
      </c>
      <c r="N628" s="9" t="str">
        <f>IF($J628="FB",COUNTIF($J$5:$J628,"FB"),"")</f>
        <v/>
      </c>
      <c r="O628" s="9" t="str">
        <f>IF($J628="PC",COUNTIF($J$5:$J628,"PC"),"")</f>
        <v/>
      </c>
      <c r="P628" s="28" t="s">
        <v>2599</v>
      </c>
      <c r="Q628" s="28" t="s">
        <v>2600</v>
      </c>
    </row>
    <row r="629" spans="1:17" ht="30.75" customHeight="1" x14ac:dyDescent="0.25">
      <c r="A629" s="104">
        <v>15</v>
      </c>
      <c r="B629" s="105" t="s">
        <v>2601</v>
      </c>
      <c r="C629" s="106" t="s">
        <v>2602</v>
      </c>
      <c r="D629" s="105" t="s">
        <v>2603</v>
      </c>
      <c r="E629" s="105" t="s">
        <v>2604</v>
      </c>
      <c r="F629" s="35" t="s">
        <v>69</v>
      </c>
      <c r="G629" s="102" t="s">
        <v>2221</v>
      </c>
      <c r="H629" s="37"/>
      <c r="I629" s="103" t="s">
        <v>2222</v>
      </c>
      <c r="J629" s="39"/>
      <c r="K629" s="39"/>
      <c r="L629" s="40"/>
      <c r="M629" s="9" t="str">
        <f>IF($J629="AC",COUNTIF($J$5:$J629,"AC"),"")</f>
        <v/>
      </c>
      <c r="N629" s="9" t="str">
        <f>IF($J629="FB",COUNTIF($J$5:$J629,"FB"),"")</f>
        <v/>
      </c>
      <c r="O629" s="9" t="str">
        <f>IF($J629="PC",COUNTIF($J$5:$J629,"PC"),"")</f>
        <v/>
      </c>
      <c r="P629" s="28" t="s">
        <v>2605</v>
      </c>
      <c r="Q629" s="28" t="s">
        <v>2606</v>
      </c>
    </row>
    <row r="630" spans="1:17" ht="45.75" customHeight="1" x14ac:dyDescent="0.25">
      <c r="A630" s="41">
        <v>15</v>
      </c>
      <c r="B630" s="42" t="s">
        <v>2601</v>
      </c>
      <c r="C630" s="43" t="s">
        <v>2602</v>
      </c>
      <c r="D630" s="42" t="s">
        <v>2603</v>
      </c>
      <c r="E630" s="42" t="s">
        <v>2607</v>
      </c>
      <c r="F630" s="44" t="s">
        <v>92</v>
      </c>
      <c r="G630" s="102" t="s">
        <v>2221</v>
      </c>
      <c r="H630" s="37"/>
      <c r="I630" s="103" t="s">
        <v>2222</v>
      </c>
      <c r="J630" s="39"/>
      <c r="K630" s="39"/>
      <c r="L630" s="40"/>
      <c r="M630" s="9" t="str">
        <f>IF($J630="AC",COUNTIF($J$5:$J630,"AC"),"")</f>
        <v/>
      </c>
      <c r="N630" s="9" t="str">
        <f>IF($J630="FB",COUNTIF($J$5:$J630,"FB"),"")</f>
        <v/>
      </c>
      <c r="O630" s="9" t="str">
        <f>IF($J630="PC",COUNTIF($J$5:$J630,"PC"),"")</f>
        <v/>
      </c>
      <c r="P630" s="28" t="s">
        <v>2608</v>
      </c>
      <c r="Q630" s="28" t="s">
        <v>2609</v>
      </c>
    </row>
    <row r="631" spans="1:17" ht="30.75" customHeight="1" x14ac:dyDescent="0.25">
      <c r="A631" s="41">
        <v>15</v>
      </c>
      <c r="B631" s="42" t="s">
        <v>2601</v>
      </c>
      <c r="C631" s="43" t="s">
        <v>2602</v>
      </c>
      <c r="D631" s="42" t="s">
        <v>2603</v>
      </c>
      <c r="E631" s="42" t="s">
        <v>2610</v>
      </c>
      <c r="F631" s="44" t="s">
        <v>92</v>
      </c>
      <c r="G631" s="102" t="s">
        <v>2221</v>
      </c>
      <c r="H631" s="37"/>
      <c r="I631" s="103" t="s">
        <v>2222</v>
      </c>
      <c r="J631" s="39"/>
      <c r="K631" s="39"/>
      <c r="L631" s="40"/>
      <c r="M631" s="9" t="str">
        <f>IF($J631="AC",COUNTIF($J$5:$J631,"AC"),"")</f>
        <v/>
      </c>
      <c r="N631" s="9" t="str">
        <f>IF($J631="FB",COUNTIF($J$5:$J631,"FB"),"")</f>
        <v/>
      </c>
      <c r="O631" s="9" t="str">
        <f>IF($J631="PC",COUNTIF($J$5:$J631,"PC"),"")</f>
        <v/>
      </c>
      <c r="P631" s="28" t="s">
        <v>2611</v>
      </c>
      <c r="Q631" s="28" t="s">
        <v>2612</v>
      </c>
    </row>
    <row r="632" spans="1:17" ht="30.75" customHeight="1" x14ac:dyDescent="0.25">
      <c r="A632" s="41">
        <v>15</v>
      </c>
      <c r="B632" s="42" t="s">
        <v>2601</v>
      </c>
      <c r="C632" s="43" t="s">
        <v>2613</v>
      </c>
      <c r="D632" s="42" t="s">
        <v>2614</v>
      </c>
      <c r="E632" s="42" t="s">
        <v>2615</v>
      </c>
      <c r="F632" s="44" t="s">
        <v>92</v>
      </c>
      <c r="G632" s="102" t="s">
        <v>2221</v>
      </c>
      <c r="H632" s="37"/>
      <c r="I632" s="103" t="s">
        <v>2222</v>
      </c>
      <c r="J632" s="39"/>
      <c r="K632" s="39"/>
      <c r="L632" s="40"/>
      <c r="M632" s="9" t="str">
        <f>IF($J632="AC",COUNTIF($J$5:$J632,"AC"),"")</f>
        <v/>
      </c>
      <c r="N632" s="9" t="str">
        <f>IF($J632="FB",COUNTIF($J$5:$J632,"FB"),"")</f>
        <v/>
      </c>
      <c r="O632" s="9" t="str">
        <f>IF($J632="PC",COUNTIF($J$5:$J632,"PC"),"")</f>
        <v/>
      </c>
      <c r="P632" s="28" t="s">
        <v>2616</v>
      </c>
      <c r="Q632" s="28" t="s">
        <v>2617</v>
      </c>
    </row>
    <row r="633" spans="1:17" ht="30.75" customHeight="1" x14ac:dyDescent="0.25">
      <c r="A633" s="41">
        <v>15</v>
      </c>
      <c r="B633" s="42" t="s">
        <v>2601</v>
      </c>
      <c r="C633" s="43" t="s">
        <v>2613</v>
      </c>
      <c r="D633" s="42" t="s">
        <v>2614</v>
      </c>
      <c r="E633" s="42" t="s">
        <v>2618</v>
      </c>
      <c r="F633" s="44" t="s">
        <v>92</v>
      </c>
      <c r="G633" s="102" t="s">
        <v>2221</v>
      </c>
      <c r="H633" s="37"/>
      <c r="I633" s="103" t="s">
        <v>2222</v>
      </c>
      <c r="J633" s="39"/>
      <c r="K633" s="39"/>
      <c r="L633" s="40"/>
      <c r="M633" s="9" t="str">
        <f>IF($J633="AC",COUNTIF($J$5:$J633,"AC"),"")</f>
        <v/>
      </c>
      <c r="N633" s="9" t="str">
        <f>IF($J633="FB",COUNTIF($J$5:$J633,"FB"),"")</f>
        <v/>
      </c>
      <c r="O633" s="9" t="str">
        <f>IF($J633="PC",COUNTIF($J$5:$J633,"PC"),"")</f>
        <v/>
      </c>
      <c r="P633" s="28" t="s">
        <v>2619</v>
      </c>
      <c r="Q633" s="28" t="s">
        <v>2620</v>
      </c>
    </row>
    <row r="634" spans="1:17" ht="30.75" customHeight="1" x14ac:dyDescent="0.25">
      <c r="A634" s="41">
        <v>15</v>
      </c>
      <c r="B634" s="42" t="s">
        <v>2601</v>
      </c>
      <c r="C634" s="43" t="s">
        <v>2613</v>
      </c>
      <c r="D634" s="42" t="s">
        <v>2614</v>
      </c>
      <c r="E634" s="42" t="s">
        <v>2621</v>
      </c>
      <c r="F634" s="44" t="s">
        <v>92</v>
      </c>
      <c r="G634" s="102" t="s">
        <v>2221</v>
      </c>
      <c r="H634" s="37"/>
      <c r="I634" s="103" t="s">
        <v>2222</v>
      </c>
      <c r="J634" s="39"/>
      <c r="K634" s="39"/>
      <c r="L634" s="40"/>
      <c r="M634" s="9" t="str">
        <f>IF($J634="AC",COUNTIF($J$5:$J634,"AC"),"")</f>
        <v/>
      </c>
      <c r="N634" s="9" t="str">
        <f>IF($J634="FB",COUNTIF($J$5:$J634,"FB"),"")</f>
        <v/>
      </c>
      <c r="O634" s="9" t="str">
        <f>IF($J634="PC",COUNTIF($J$5:$J634,"PC"),"")</f>
        <v/>
      </c>
      <c r="P634" s="28" t="s">
        <v>2622</v>
      </c>
      <c r="Q634" s="28" t="s">
        <v>2623</v>
      </c>
    </row>
    <row r="635" spans="1:17" ht="45.75" customHeight="1" x14ac:dyDescent="0.25">
      <c r="A635" s="41">
        <v>15</v>
      </c>
      <c r="B635" s="42" t="s">
        <v>2601</v>
      </c>
      <c r="C635" s="43" t="s">
        <v>2624</v>
      </c>
      <c r="D635" s="42" t="s">
        <v>2625</v>
      </c>
      <c r="E635" s="42" t="s">
        <v>2626</v>
      </c>
      <c r="F635" s="35" t="s">
        <v>69</v>
      </c>
      <c r="G635" s="102" t="s">
        <v>2221</v>
      </c>
      <c r="H635" s="37"/>
      <c r="I635" s="103" t="s">
        <v>2222</v>
      </c>
      <c r="J635" s="39"/>
      <c r="K635" s="39"/>
      <c r="L635" s="40"/>
      <c r="M635" s="9" t="str">
        <f>IF($J635="AC",COUNTIF($J$5:$J635,"AC"),"")</f>
        <v/>
      </c>
      <c r="N635" s="9" t="str">
        <f>IF($J635="FB",COUNTIF($J$5:$J635,"FB"),"")</f>
        <v/>
      </c>
      <c r="O635" s="9" t="str">
        <f>IF($J635="PC",COUNTIF($J$5:$J635,"PC"),"")</f>
        <v/>
      </c>
      <c r="P635" s="28" t="s">
        <v>2627</v>
      </c>
      <c r="Q635" s="28" t="s">
        <v>2628</v>
      </c>
    </row>
    <row r="636" spans="1:17" ht="30.75" customHeight="1" x14ac:dyDescent="0.25">
      <c r="A636" s="41">
        <v>15</v>
      </c>
      <c r="B636" s="42" t="s">
        <v>2601</v>
      </c>
      <c r="C636" s="43" t="s">
        <v>2624</v>
      </c>
      <c r="D636" s="42" t="s">
        <v>2625</v>
      </c>
      <c r="E636" s="42" t="s">
        <v>2629</v>
      </c>
      <c r="F636" s="44" t="s">
        <v>92</v>
      </c>
      <c r="G636" s="102" t="s">
        <v>2221</v>
      </c>
      <c r="H636" s="37"/>
      <c r="I636" s="103" t="s">
        <v>2222</v>
      </c>
      <c r="J636" s="39"/>
      <c r="K636" s="39"/>
      <c r="L636" s="40"/>
      <c r="M636" s="9" t="str">
        <f>IF($J636="AC",COUNTIF($J$5:$J636,"AC"),"")</f>
        <v/>
      </c>
      <c r="N636" s="9" t="str">
        <f>IF($J636="FB",COUNTIF($J$5:$J636,"FB"),"")</f>
        <v/>
      </c>
      <c r="O636" s="9" t="str">
        <f>IF($J636="PC",COUNTIF($J$5:$J636,"PC"),"")</f>
        <v/>
      </c>
      <c r="P636" s="28" t="s">
        <v>2630</v>
      </c>
      <c r="Q636" s="28" t="s">
        <v>2631</v>
      </c>
    </row>
    <row r="637" spans="1:17" s="27" customFormat="1" ht="40.5" customHeight="1" x14ac:dyDescent="0.2">
      <c r="A637" s="107">
        <v>16</v>
      </c>
      <c r="B637" s="108" t="s">
        <v>2632</v>
      </c>
      <c r="C637" s="109" t="s">
        <v>2633</v>
      </c>
      <c r="D637" s="108" t="s">
        <v>2634</v>
      </c>
      <c r="E637" s="108" t="s">
        <v>2635</v>
      </c>
      <c r="F637" s="21" t="s">
        <v>53</v>
      </c>
      <c r="G637" s="110" t="s">
        <v>2221</v>
      </c>
      <c r="H637" s="23"/>
      <c r="I637" s="111" t="s">
        <v>2222</v>
      </c>
      <c r="J637" s="25"/>
      <c r="K637" s="25"/>
      <c r="L637" s="26"/>
      <c r="M637" s="27" t="str">
        <f>IF($J637="AC",COUNTIF($J$5:$J637,"AC"),"")</f>
        <v/>
      </c>
      <c r="N637" s="27" t="str">
        <f>IF($J637="FB",COUNTIF($J$5:$J637,"FB"),"")</f>
        <v/>
      </c>
      <c r="O637" s="27" t="str">
        <f>IF($J637="PC",COUNTIF($J$5:$J637,"PC"),"")</f>
        <v/>
      </c>
      <c r="P637" s="28" t="s">
        <v>2636</v>
      </c>
      <c r="Q637" s="28" t="s">
        <v>2637</v>
      </c>
    </row>
    <row r="638" spans="1:17" s="27" customFormat="1" ht="40.5" customHeight="1" x14ac:dyDescent="0.2">
      <c r="A638" s="18">
        <v>16</v>
      </c>
      <c r="B638" s="19" t="s">
        <v>2632</v>
      </c>
      <c r="C638" s="20" t="s">
        <v>2633</v>
      </c>
      <c r="D638" s="19" t="s">
        <v>2634</v>
      </c>
      <c r="E638" s="19" t="s">
        <v>2638</v>
      </c>
      <c r="F638" s="21" t="s">
        <v>53</v>
      </c>
      <c r="G638" s="110" t="s">
        <v>2221</v>
      </c>
      <c r="H638" s="23"/>
      <c r="I638" s="111" t="s">
        <v>2222</v>
      </c>
      <c r="J638" s="25"/>
      <c r="K638" s="25"/>
      <c r="L638" s="26"/>
      <c r="M638" s="27" t="str">
        <f>IF($J638="AC",COUNTIF($J$5:$J638,"AC"),"")</f>
        <v/>
      </c>
      <c r="N638" s="27" t="str">
        <f>IF($J638="FB",COUNTIF($J$5:$J638,"FB"),"")</f>
        <v/>
      </c>
      <c r="O638" s="27" t="str">
        <f>IF($J638="PC",COUNTIF($J$5:$J638,"PC"),"")</f>
        <v/>
      </c>
      <c r="P638" s="28" t="s">
        <v>2639</v>
      </c>
      <c r="Q638" s="28" t="s">
        <v>2640</v>
      </c>
    </row>
    <row r="639" spans="1:17" ht="45.75" customHeight="1" x14ac:dyDescent="0.25">
      <c r="A639" s="41">
        <v>16</v>
      </c>
      <c r="B639" s="42" t="s">
        <v>2632</v>
      </c>
      <c r="C639" s="43" t="s">
        <v>2633</v>
      </c>
      <c r="D639" s="42" t="s">
        <v>2634</v>
      </c>
      <c r="E639" s="42" t="s">
        <v>2641</v>
      </c>
      <c r="F639" s="35" t="s">
        <v>69</v>
      </c>
      <c r="G639" s="102" t="s">
        <v>2221</v>
      </c>
      <c r="H639" s="37"/>
      <c r="I639" s="103" t="s">
        <v>2222</v>
      </c>
      <c r="J639" s="39"/>
      <c r="K639" s="39"/>
      <c r="L639" s="40"/>
      <c r="M639" s="9" t="str">
        <f>IF($J639="AC",COUNTIF($J$5:$J639,"AC"),"")</f>
        <v/>
      </c>
      <c r="N639" s="9" t="str">
        <f>IF($J639="FB",COUNTIF($J$5:$J639,"FB"),"")</f>
        <v/>
      </c>
      <c r="O639" s="9" t="str">
        <f>IF($J639="PC",COUNTIF($J$5:$J639,"PC"),"")</f>
        <v/>
      </c>
      <c r="P639" s="28" t="s">
        <v>2642</v>
      </c>
      <c r="Q639" s="28" t="s">
        <v>2643</v>
      </c>
    </row>
    <row r="640" spans="1:17" s="27" customFormat="1" ht="40.5" customHeight="1" x14ac:dyDescent="0.2">
      <c r="A640" s="18">
        <v>16</v>
      </c>
      <c r="B640" s="19" t="s">
        <v>2632</v>
      </c>
      <c r="C640" s="20" t="s">
        <v>2644</v>
      </c>
      <c r="D640" s="19" t="s">
        <v>2645</v>
      </c>
      <c r="E640" s="19" t="s">
        <v>2646</v>
      </c>
      <c r="F640" s="21" t="s">
        <v>53</v>
      </c>
      <c r="G640" s="110" t="s">
        <v>2221</v>
      </c>
      <c r="H640" s="23"/>
      <c r="I640" s="111" t="s">
        <v>2222</v>
      </c>
      <c r="J640" s="25"/>
      <c r="K640" s="25"/>
      <c r="L640" s="26"/>
      <c r="M640" s="27" t="str">
        <f>IF($J640="AC",COUNTIF($J$5:$J640,"AC"),"")</f>
        <v/>
      </c>
      <c r="N640" s="27" t="str">
        <f>IF($J640="FB",COUNTIF($J$5:$J640,"FB"),"")</f>
        <v/>
      </c>
      <c r="O640" s="27" t="str">
        <f>IF($J640="PC",COUNTIF($J$5:$J640,"PC"),"")</f>
        <v/>
      </c>
      <c r="P640" s="28" t="s">
        <v>2647</v>
      </c>
      <c r="Q640" s="28" t="s">
        <v>2648</v>
      </c>
    </row>
    <row r="641" spans="1:17" s="27" customFormat="1" ht="40.5" customHeight="1" x14ac:dyDescent="0.2">
      <c r="A641" s="18">
        <v>16</v>
      </c>
      <c r="B641" s="19" t="s">
        <v>2632</v>
      </c>
      <c r="C641" s="20" t="s">
        <v>2644</v>
      </c>
      <c r="D641" s="19" t="s">
        <v>2645</v>
      </c>
      <c r="E641" s="19" t="s">
        <v>2649</v>
      </c>
      <c r="F641" s="21" t="s">
        <v>53</v>
      </c>
      <c r="G641" s="110" t="s">
        <v>2221</v>
      </c>
      <c r="H641" s="23"/>
      <c r="I641" s="111" t="s">
        <v>2222</v>
      </c>
      <c r="J641" s="25"/>
      <c r="K641" s="25"/>
      <c r="L641" s="26"/>
      <c r="M641" s="27" t="str">
        <f>IF($J641="AC",COUNTIF($J$5:$J641,"AC"),"")</f>
        <v/>
      </c>
      <c r="N641" s="27" t="str">
        <f>IF($J641="FB",COUNTIF($J$5:$J641,"FB"),"")</f>
        <v/>
      </c>
      <c r="O641" s="27" t="str">
        <f>IF($J641="PC",COUNTIF($J$5:$J641,"PC"),"")</f>
        <v/>
      </c>
      <c r="P641" s="28" t="s">
        <v>2650</v>
      </c>
      <c r="Q641" s="28" t="s">
        <v>2651</v>
      </c>
    </row>
    <row r="642" spans="1:17" ht="45.75" customHeight="1" x14ac:dyDescent="0.25">
      <c r="A642" s="41">
        <v>16</v>
      </c>
      <c r="B642" s="42" t="s">
        <v>2632</v>
      </c>
      <c r="C642" s="43" t="s">
        <v>2644</v>
      </c>
      <c r="D642" s="42" t="s">
        <v>2645</v>
      </c>
      <c r="E642" s="42" t="s">
        <v>2652</v>
      </c>
      <c r="F642" s="35" t="s">
        <v>69</v>
      </c>
      <c r="G642" s="102" t="s">
        <v>2221</v>
      </c>
      <c r="H642" s="37"/>
      <c r="I642" s="103" t="s">
        <v>2222</v>
      </c>
      <c r="J642" s="39"/>
      <c r="K642" s="39"/>
      <c r="L642" s="40"/>
      <c r="M642" s="9" t="str">
        <f>IF($J642="AC",COUNTIF($J$5:$J642,"AC"),"")</f>
        <v/>
      </c>
      <c r="N642" s="9" t="str">
        <f>IF($J642="FB",COUNTIF($J$5:$J642,"FB"),"")</f>
        <v/>
      </c>
      <c r="O642" s="9" t="str">
        <f>IF($J642="PC",COUNTIF($J$5:$J642,"PC"),"")</f>
        <v/>
      </c>
      <c r="P642" s="28" t="s">
        <v>2653</v>
      </c>
      <c r="Q642" s="28" t="s">
        <v>2654</v>
      </c>
    </row>
    <row r="643" spans="1:17" ht="45.75" customHeight="1" x14ac:dyDescent="0.25">
      <c r="A643" s="41">
        <v>16</v>
      </c>
      <c r="B643" s="42" t="s">
        <v>2632</v>
      </c>
      <c r="C643" s="43" t="s">
        <v>2655</v>
      </c>
      <c r="D643" s="42" t="s">
        <v>2656</v>
      </c>
      <c r="E643" s="42" t="s">
        <v>2657</v>
      </c>
      <c r="F643" s="35" t="s">
        <v>69</v>
      </c>
      <c r="G643" s="102" t="s">
        <v>2221</v>
      </c>
      <c r="H643" s="37"/>
      <c r="I643" s="103" t="s">
        <v>2222</v>
      </c>
      <c r="J643" s="39"/>
      <c r="K643" s="39"/>
      <c r="L643" s="40"/>
      <c r="M643" s="9" t="str">
        <f>IF($J643="AC",COUNTIF($J$5:$J643,"AC"),"")</f>
        <v/>
      </c>
      <c r="N643" s="9" t="str">
        <f>IF($J643="FB",COUNTIF($J$5:$J643,"FB"),"")</f>
        <v/>
      </c>
      <c r="O643" s="9" t="str">
        <f>IF($J643="PC",COUNTIF($J$5:$J643,"PC"),"")</f>
        <v/>
      </c>
      <c r="P643" s="28" t="s">
        <v>2658</v>
      </c>
      <c r="Q643" s="28" t="s">
        <v>2659</v>
      </c>
    </row>
    <row r="644" spans="1:17" ht="45.75" customHeight="1" x14ac:dyDescent="0.25">
      <c r="A644" s="41">
        <v>16</v>
      </c>
      <c r="B644" s="42" t="s">
        <v>2632</v>
      </c>
      <c r="C644" s="43" t="s">
        <v>2655</v>
      </c>
      <c r="D644" s="42" t="s">
        <v>2656</v>
      </c>
      <c r="E644" s="42" t="s">
        <v>2660</v>
      </c>
      <c r="F644" s="44" t="s">
        <v>92</v>
      </c>
      <c r="G644" s="102" t="s">
        <v>2221</v>
      </c>
      <c r="H644" s="37"/>
      <c r="I644" s="103" t="s">
        <v>2222</v>
      </c>
      <c r="J644" s="39"/>
      <c r="K644" s="39"/>
      <c r="L644" s="40"/>
      <c r="M644" s="9" t="str">
        <f>IF($J644="AC",COUNTIF($J$5:$J644,"AC"),"")</f>
        <v/>
      </c>
      <c r="N644" s="9" t="str">
        <f>IF($J644="FB",COUNTIF($J$5:$J644,"FB"),"")</f>
        <v/>
      </c>
      <c r="O644" s="9" t="str">
        <f>IF($J644="PC",COUNTIF($J$5:$J644,"PC"),"")</f>
        <v/>
      </c>
      <c r="P644" s="28" t="s">
        <v>2661</v>
      </c>
      <c r="Q644" s="28" t="s">
        <v>2662</v>
      </c>
    </row>
    <row r="645" spans="1:17" ht="45.75" customHeight="1" x14ac:dyDescent="0.25">
      <c r="A645" s="41">
        <v>16</v>
      </c>
      <c r="B645" s="42" t="s">
        <v>2632</v>
      </c>
      <c r="C645" s="43" t="s">
        <v>2655</v>
      </c>
      <c r="D645" s="42" t="s">
        <v>2656</v>
      </c>
      <c r="E645" s="42" t="s">
        <v>2663</v>
      </c>
      <c r="F645" s="44" t="s">
        <v>92</v>
      </c>
      <c r="G645" s="102" t="s">
        <v>2221</v>
      </c>
      <c r="H645" s="37"/>
      <c r="I645" s="103" t="s">
        <v>2222</v>
      </c>
      <c r="J645" s="39"/>
      <c r="K645" s="39"/>
      <c r="L645" s="40"/>
      <c r="M645" s="9" t="str">
        <f>IF($J645="AC",COUNTIF($J$5:$J645,"AC"),"")</f>
        <v/>
      </c>
      <c r="N645" s="9" t="str">
        <f>IF($J645="FB",COUNTIF($J$5:$J645,"FB"),"")</f>
        <v/>
      </c>
      <c r="O645" s="9" t="str">
        <f>IF($J645="PC",COUNTIF($J$5:$J645,"PC"),"")</f>
        <v/>
      </c>
      <c r="P645" s="28" t="s">
        <v>2664</v>
      </c>
      <c r="Q645" s="28" t="s">
        <v>2665</v>
      </c>
    </row>
    <row r="646" spans="1:17" ht="15" customHeight="1" x14ac:dyDescent="0.25">
      <c r="I646" s="112"/>
    </row>
    <row r="647" spans="1:17" ht="15" customHeight="1" x14ac:dyDescent="0.25">
      <c r="I647" s="112"/>
    </row>
    <row r="648" spans="1:17" ht="15" customHeight="1" x14ac:dyDescent="0.25">
      <c r="I648" s="112"/>
    </row>
    <row r="649" spans="1:17" ht="15" customHeight="1" x14ac:dyDescent="0.25">
      <c r="I649" s="112"/>
    </row>
    <row r="650" spans="1:17" ht="15" customHeight="1" x14ac:dyDescent="0.25">
      <c r="I650" s="112"/>
    </row>
    <row r="651" spans="1:17" ht="15" customHeight="1" x14ac:dyDescent="0.25">
      <c r="I651" s="112"/>
    </row>
    <row r="652" spans="1:17" ht="15" customHeight="1" x14ac:dyDescent="0.25">
      <c r="I652" s="112"/>
    </row>
    <row r="653" spans="1:17" ht="15" customHeight="1" x14ac:dyDescent="0.25">
      <c r="I653" s="112"/>
    </row>
    <row r="654" spans="1:17" ht="15" customHeight="1" x14ac:dyDescent="0.25">
      <c r="I654" s="112"/>
    </row>
    <row r="655" spans="1:17" ht="15" customHeight="1" x14ac:dyDescent="0.25">
      <c r="I655" s="112"/>
    </row>
    <row r="656" spans="1:17" ht="15" customHeight="1" x14ac:dyDescent="0.25">
      <c r="I656" s="112"/>
    </row>
    <row r="657" spans="9:9" ht="15" customHeight="1" x14ac:dyDescent="0.25">
      <c r="I657" s="112"/>
    </row>
    <row r="658" spans="9:9" ht="15" customHeight="1" x14ac:dyDescent="0.25">
      <c r="I658" s="112"/>
    </row>
    <row r="659" spans="9:9" ht="15" customHeight="1" x14ac:dyDescent="0.25">
      <c r="I659" s="112"/>
    </row>
    <row r="660" spans="9:9" ht="15" customHeight="1" x14ac:dyDescent="0.25">
      <c r="I660" s="112"/>
    </row>
    <row r="661" spans="9:9" ht="15" customHeight="1" x14ac:dyDescent="0.25">
      <c r="I661" s="112"/>
    </row>
    <row r="662" spans="9:9" ht="15" customHeight="1" x14ac:dyDescent="0.25">
      <c r="I662" s="112"/>
    </row>
    <row r="663" spans="9:9" ht="15" customHeight="1" x14ac:dyDescent="0.25">
      <c r="I663" s="112"/>
    </row>
    <row r="664" spans="9:9" ht="15" customHeight="1" x14ac:dyDescent="0.25">
      <c r="I664" s="112"/>
    </row>
    <row r="665" spans="9:9" ht="15" customHeight="1" x14ac:dyDescent="0.25">
      <c r="I665" s="112"/>
    </row>
    <row r="666" spans="9:9" ht="15" customHeight="1" x14ac:dyDescent="0.25">
      <c r="I666" s="112"/>
    </row>
    <row r="667" spans="9:9" ht="15" customHeight="1" x14ac:dyDescent="0.25">
      <c r="I667" s="112"/>
    </row>
    <row r="668" spans="9:9" ht="15" customHeight="1" x14ac:dyDescent="0.25">
      <c r="I668" s="112"/>
    </row>
    <row r="669" spans="9:9" ht="15" customHeight="1" x14ac:dyDescent="0.25">
      <c r="I669" s="112"/>
    </row>
    <row r="670" spans="9:9" ht="15" customHeight="1" x14ac:dyDescent="0.25">
      <c r="I670" s="112"/>
    </row>
    <row r="671" spans="9:9" ht="15" customHeight="1" x14ac:dyDescent="0.25">
      <c r="I671" s="112"/>
    </row>
    <row r="672" spans="9:9" ht="15" customHeight="1" x14ac:dyDescent="0.25">
      <c r="I672" s="112"/>
    </row>
    <row r="673" spans="9:9" ht="15" customHeight="1" x14ac:dyDescent="0.25">
      <c r="I673" s="112"/>
    </row>
    <row r="674" spans="9:9" ht="15" customHeight="1" x14ac:dyDescent="0.25">
      <c r="I674" s="112"/>
    </row>
    <row r="675" spans="9:9" ht="15" customHeight="1" x14ac:dyDescent="0.25">
      <c r="I675" s="112"/>
    </row>
    <row r="676" spans="9:9" ht="15" customHeight="1" x14ac:dyDescent="0.25">
      <c r="I676" s="112"/>
    </row>
    <row r="677" spans="9:9" ht="15" customHeight="1" x14ac:dyDescent="0.25">
      <c r="I677" s="112"/>
    </row>
    <row r="678" spans="9:9" ht="15" customHeight="1" x14ac:dyDescent="0.25">
      <c r="I678" s="112"/>
    </row>
    <row r="679" spans="9:9" ht="15" customHeight="1" x14ac:dyDescent="0.25">
      <c r="I679" s="112"/>
    </row>
    <row r="680" spans="9:9" ht="15" customHeight="1" x14ac:dyDescent="0.25">
      <c r="I680" s="112"/>
    </row>
    <row r="681" spans="9:9" ht="15" customHeight="1" x14ac:dyDescent="0.25">
      <c r="I681" s="112"/>
    </row>
    <row r="682" spans="9:9" ht="15" customHeight="1" x14ac:dyDescent="0.25">
      <c r="I682" s="112"/>
    </row>
    <row r="683" spans="9:9" ht="15" customHeight="1" x14ac:dyDescent="0.25">
      <c r="I683" s="112"/>
    </row>
    <row r="684" spans="9:9" ht="15" customHeight="1" x14ac:dyDescent="0.25">
      <c r="I684" s="112"/>
    </row>
    <row r="685" spans="9:9" ht="15" customHeight="1" x14ac:dyDescent="0.25">
      <c r="I685" s="112"/>
    </row>
    <row r="686" spans="9:9" ht="15" customHeight="1" x14ac:dyDescent="0.25">
      <c r="I686" s="112"/>
    </row>
    <row r="687" spans="9:9" ht="15" customHeight="1" x14ac:dyDescent="0.25">
      <c r="I687" s="112"/>
    </row>
    <row r="688" spans="9:9" ht="15" customHeight="1" x14ac:dyDescent="0.25">
      <c r="I688" s="112"/>
    </row>
    <row r="689" spans="9:9" ht="15" customHeight="1" x14ac:dyDescent="0.25">
      <c r="I689" s="112"/>
    </row>
    <row r="690" spans="9:9" ht="15" customHeight="1" x14ac:dyDescent="0.25">
      <c r="I690" s="112"/>
    </row>
    <row r="691" spans="9:9" ht="15" customHeight="1" x14ac:dyDescent="0.25">
      <c r="I691" s="112"/>
    </row>
    <row r="692" spans="9:9" ht="15" customHeight="1" x14ac:dyDescent="0.25">
      <c r="I692" s="112"/>
    </row>
    <row r="693" spans="9:9" ht="15" customHeight="1" x14ac:dyDescent="0.25">
      <c r="I693" s="112"/>
    </row>
    <row r="694" spans="9:9" ht="15" customHeight="1" x14ac:dyDescent="0.25">
      <c r="I694" s="112"/>
    </row>
    <row r="695" spans="9:9" ht="15" customHeight="1" x14ac:dyDescent="0.25">
      <c r="I695" s="112"/>
    </row>
    <row r="696" spans="9:9" ht="15" customHeight="1" x14ac:dyDescent="0.25">
      <c r="I696" s="112"/>
    </row>
    <row r="697" spans="9:9" ht="15" customHeight="1" x14ac:dyDescent="0.25">
      <c r="I697" s="112"/>
    </row>
    <row r="698" spans="9:9" ht="15" customHeight="1" x14ac:dyDescent="0.25">
      <c r="I698" s="112"/>
    </row>
    <row r="699" spans="9:9" ht="15" customHeight="1" x14ac:dyDescent="0.25">
      <c r="I699" s="112"/>
    </row>
    <row r="700" spans="9:9" ht="15" customHeight="1" x14ac:dyDescent="0.25">
      <c r="I700" s="112"/>
    </row>
    <row r="701" spans="9:9" ht="15" customHeight="1" x14ac:dyDescent="0.25">
      <c r="I701" s="112"/>
    </row>
    <row r="702" spans="9:9" ht="15" customHeight="1" x14ac:dyDescent="0.25">
      <c r="I702" s="112"/>
    </row>
    <row r="703" spans="9:9" ht="15" customHeight="1" x14ac:dyDescent="0.25">
      <c r="I703" s="112"/>
    </row>
    <row r="704" spans="9:9" ht="15" customHeight="1" x14ac:dyDescent="0.25">
      <c r="I704" s="112"/>
    </row>
    <row r="705" spans="9:9" ht="15" customHeight="1" x14ac:dyDescent="0.25">
      <c r="I705" s="112"/>
    </row>
    <row r="706" spans="9:9" ht="15" customHeight="1" x14ac:dyDescent="0.25">
      <c r="I706" s="112"/>
    </row>
    <row r="707" spans="9:9" ht="15" customHeight="1" x14ac:dyDescent="0.25">
      <c r="I707" s="112"/>
    </row>
    <row r="708" spans="9:9" ht="15" customHeight="1" x14ac:dyDescent="0.25">
      <c r="I708" s="112"/>
    </row>
    <row r="709" spans="9:9" ht="15" customHeight="1" x14ac:dyDescent="0.25">
      <c r="I709" s="112"/>
    </row>
    <row r="710" spans="9:9" ht="15" customHeight="1" x14ac:dyDescent="0.25">
      <c r="I710" s="112"/>
    </row>
    <row r="711" spans="9:9" ht="15" customHeight="1" x14ac:dyDescent="0.25">
      <c r="I711" s="112"/>
    </row>
    <row r="712" spans="9:9" ht="15" customHeight="1" x14ac:dyDescent="0.25">
      <c r="I712" s="112"/>
    </row>
    <row r="713" spans="9:9" ht="15" customHeight="1" x14ac:dyDescent="0.25">
      <c r="I713" s="112"/>
    </row>
    <row r="714" spans="9:9" ht="15" customHeight="1" x14ac:dyDescent="0.25">
      <c r="I714" s="112"/>
    </row>
    <row r="715" spans="9:9" ht="15" customHeight="1" x14ac:dyDescent="0.25">
      <c r="I715" s="112"/>
    </row>
    <row r="716" spans="9:9" ht="15" customHeight="1" x14ac:dyDescent="0.25">
      <c r="I716" s="112"/>
    </row>
    <row r="717" spans="9:9" ht="15" customHeight="1" x14ac:dyDescent="0.25">
      <c r="I717" s="112"/>
    </row>
    <row r="718" spans="9:9" ht="15" customHeight="1" x14ac:dyDescent="0.25">
      <c r="I718" s="112"/>
    </row>
    <row r="719" spans="9:9" ht="15" customHeight="1" x14ac:dyDescent="0.25">
      <c r="I719" s="112"/>
    </row>
    <row r="720" spans="9:9" ht="15" customHeight="1" x14ac:dyDescent="0.25">
      <c r="I720" s="112"/>
    </row>
    <row r="721" spans="9:9" ht="15" customHeight="1" x14ac:dyDescent="0.25">
      <c r="I721" s="112"/>
    </row>
    <row r="722" spans="9:9" ht="15" customHeight="1" x14ac:dyDescent="0.25">
      <c r="I722" s="112"/>
    </row>
    <row r="723" spans="9:9" ht="15" customHeight="1" x14ac:dyDescent="0.25">
      <c r="I723" s="112"/>
    </row>
    <row r="724" spans="9:9" ht="15" customHeight="1" x14ac:dyDescent="0.25">
      <c r="I724" s="112"/>
    </row>
    <row r="725" spans="9:9" ht="15" customHeight="1" x14ac:dyDescent="0.25">
      <c r="I725" s="112"/>
    </row>
    <row r="726" spans="9:9" ht="15" customHeight="1" x14ac:dyDescent="0.25">
      <c r="I726" s="112"/>
    </row>
    <row r="727" spans="9:9" ht="15" customHeight="1" x14ac:dyDescent="0.25">
      <c r="I727" s="112"/>
    </row>
    <row r="728" spans="9:9" ht="15" customHeight="1" x14ac:dyDescent="0.25">
      <c r="I728" s="112"/>
    </row>
    <row r="729" spans="9:9" ht="15" customHeight="1" x14ac:dyDescent="0.25">
      <c r="I729" s="112"/>
    </row>
    <row r="730" spans="9:9" ht="15" customHeight="1" x14ac:dyDescent="0.25">
      <c r="I730" s="112"/>
    </row>
  </sheetData>
  <autoFilter ref="A4:Q730" xr:uid="{00000000-0009-0000-0000-000001000000}"/>
  <mergeCells count="3">
    <mergeCell ref="A1:H1"/>
    <mergeCell ref="A2:H2"/>
    <mergeCell ref="A3:G3"/>
  </mergeCells>
  <conditionalFormatting sqref="I5:I208 J5:J285">
    <cfRule type="expression" dxfId="4" priority="2">
      <formula>I5="PC"</formula>
    </cfRule>
    <cfRule type="expression" dxfId="3" priority="3">
      <formula>I5="AC"</formula>
    </cfRule>
    <cfRule type="expression" dxfId="2" priority="4">
      <formula>I5="FB"</formula>
    </cfRule>
    <cfRule type="expression" dxfId="1" priority="5">
      <formula>I5="NA"</formula>
    </cfRule>
  </conditionalFormatting>
  <conditionalFormatting sqref="J5:J208 K5:K285">
    <cfRule type="expression" dxfId="0" priority="6">
      <formula>AND(I5="FG",J5="")</formula>
    </cfRule>
  </conditionalFormatting>
  <dataValidations count="3">
    <dataValidation type="list" allowBlank="1" errorTitle="Invalid entry" error="Enter PC, AC, FG, or NA" promptTitle="Classification" prompt="PC=Process Change | AC=Adoption/Config | FG=Feature Gap | NA=Not Applicable" sqref="I5:I285 J256:J285" xr:uid="{00000000-0002-0000-0100-000000000000}">
      <formula1>"PC,AC,FG,NA"</formula1>
      <formula2>0</formula2>
    </dataValidation>
    <dataValidation type="list" allowBlank="1" errorTitle="Invalid priority" error="Enter P0, P1, P2, or P3" sqref="K5:K285" xr:uid="{00000000-0002-0000-0100-000001000000}">
      <formula1>"P0,P1,P2,P3"</formula1>
      <formula2>0</formula2>
    </dataValidation>
    <dataValidation type="list" allowBlank="1" sqref="J5:J255" xr:uid="{00000000-0002-0000-0100-000002000000}">
      <formula1>"PC,AC,FB,NA"</formula1>
    </dataValidation>
  </dataValidations>
  <pageMargins left="0.75" right="0.75" top="1" bottom="1"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8"/>
  <sheetViews>
    <sheetView showGridLines="0" zoomScale="140" zoomScaleNormal="140" workbookViewId="0">
      <pane xSplit="1" ySplit="4" topLeftCell="F6" activePane="bottomRight" state="frozen"/>
      <selection pane="topRight" activeCell="B1" sqref="B1"/>
      <selection pane="bottomLeft" activeCell="A5" sqref="A5"/>
      <selection pane="bottomRight" activeCell="I10" sqref="I10"/>
    </sheetView>
  </sheetViews>
  <sheetFormatPr defaultColWidth="8.7109375" defaultRowHeight="15" x14ac:dyDescent="0.25"/>
  <cols>
    <col min="1" max="1" width="0.42578125" customWidth="1"/>
    <col min="2" max="2" width="22" customWidth="1"/>
    <col min="3" max="3" width="24" customWidth="1"/>
    <col min="4" max="4" width="28" customWidth="1"/>
    <col min="5" max="5" width="44" customWidth="1"/>
    <col min="6" max="6" width="38" customWidth="1"/>
    <col min="7" max="7" width="44" customWidth="1"/>
    <col min="8" max="8" width="34" customWidth="1"/>
    <col min="9" max="9" width="18" customWidth="1"/>
    <col min="10" max="10" width="14" customWidth="1"/>
  </cols>
  <sheetData>
    <row r="1" spans="1:10" ht="25.5" customHeight="1" x14ac:dyDescent="0.25">
      <c r="A1" s="155" t="s">
        <v>2666</v>
      </c>
      <c r="B1" s="155"/>
      <c r="C1" s="155"/>
      <c r="D1" s="155"/>
      <c r="E1" s="155"/>
      <c r="F1" s="155"/>
      <c r="G1" s="155"/>
      <c r="H1" s="155"/>
      <c r="I1" s="155"/>
      <c r="J1" s="155"/>
    </row>
    <row r="2" spans="1:10" ht="25.5" customHeight="1" x14ac:dyDescent="0.25">
      <c r="A2" s="155"/>
      <c r="B2" s="155"/>
      <c r="C2" s="155"/>
      <c r="D2" s="155"/>
      <c r="E2" s="155"/>
      <c r="F2" s="155"/>
      <c r="G2" s="155"/>
      <c r="H2" s="155"/>
      <c r="I2" s="155"/>
      <c r="J2" s="155"/>
    </row>
    <row r="3" spans="1:10" ht="39.75" customHeight="1" x14ac:dyDescent="0.25">
      <c r="A3" s="156" t="s">
        <v>2667</v>
      </c>
      <c r="B3" s="156"/>
      <c r="C3" s="156"/>
      <c r="D3" s="156"/>
      <c r="E3" s="156"/>
      <c r="F3" s="156"/>
      <c r="G3" s="156"/>
      <c r="H3" s="156"/>
      <c r="I3" s="156"/>
      <c r="J3" s="156"/>
    </row>
    <row r="4" spans="1:10" ht="33.75" customHeight="1" x14ac:dyDescent="0.25">
      <c r="A4" s="113" t="s">
        <v>2668</v>
      </c>
      <c r="B4" s="114" t="s">
        <v>36</v>
      </c>
      <c r="C4" s="114" t="s">
        <v>38</v>
      </c>
      <c r="D4" s="114" t="s">
        <v>39</v>
      </c>
      <c r="E4" s="114" t="s">
        <v>2669</v>
      </c>
      <c r="F4" s="114" t="s">
        <v>2670</v>
      </c>
      <c r="G4" s="115" t="s">
        <v>2671</v>
      </c>
      <c r="H4" s="114" t="s">
        <v>2672</v>
      </c>
      <c r="I4" s="114" t="s">
        <v>2673</v>
      </c>
      <c r="J4" s="114" t="s">
        <v>2674</v>
      </c>
    </row>
    <row r="5" spans="1:10" ht="48" customHeight="1" x14ac:dyDescent="0.25">
      <c r="A5" s="116" t="str">
        <f>IFERROR(MATCH(1,Assessment!$O:$O,0),"")</f>
        <v/>
      </c>
      <c r="B5" s="117" t="str">
        <f>IF($A5="","",INDEX(Assessment!$B:$B,$A5))</f>
        <v/>
      </c>
      <c r="C5" s="117" t="str">
        <f>IF($A5="","",INDEX(Assessment!$D:$D,$A5))</f>
        <v/>
      </c>
      <c r="D5" s="117" t="str">
        <f>IF($A5="","",INDEX(Assessment!$E:$E,$A5))</f>
        <v/>
      </c>
      <c r="E5" s="117" t="str">
        <f>IF($A5="","",INDEX(Assessment!$G:$G,$A5))</f>
        <v/>
      </c>
      <c r="F5" s="117" t="str">
        <f>IF($A5="","",INDEX(Assessment!$H:$H,$A5))</f>
        <v/>
      </c>
      <c r="G5" s="38" t="str">
        <f>IF($A5="","",INDEX(Assessment!$I:$I,$A5))</f>
        <v/>
      </c>
      <c r="H5" s="118"/>
      <c r="I5" s="118"/>
      <c r="J5" s="118"/>
    </row>
    <row r="6" spans="1:10" ht="48" customHeight="1" x14ac:dyDescent="0.25">
      <c r="A6" s="116" t="str">
        <f>IFERROR(MATCH(2,Assessment!$O:$O,0),"")</f>
        <v/>
      </c>
      <c r="B6" s="119" t="str">
        <f>IF($A6="","",INDEX(Assessment!$B:$B,$A6))</f>
        <v/>
      </c>
      <c r="C6" s="119" t="str">
        <f>IF($A6="","",INDEX(Assessment!$D:$D,$A6))</f>
        <v/>
      </c>
      <c r="D6" s="119" t="str">
        <f>IF($A6="","",INDEX(Assessment!$E:$E,$A6))</f>
        <v/>
      </c>
      <c r="E6" s="119" t="str">
        <f>IF($A6="","",INDEX(Assessment!$G:$G,$A6))</f>
        <v/>
      </c>
      <c r="F6" s="119" t="str">
        <f>IF($A6="","",INDEX(Assessment!$H:$H,$A6))</f>
        <v/>
      </c>
      <c r="G6" s="120" t="str">
        <f>IF($A6="","",INDEX(Assessment!$I:$I,$A6))</f>
        <v/>
      </c>
      <c r="H6" s="118"/>
      <c r="I6" s="118"/>
      <c r="J6" s="118"/>
    </row>
    <row r="7" spans="1:10" ht="48" customHeight="1" x14ac:dyDescent="0.25">
      <c r="A7" s="116" t="str">
        <f>IFERROR(MATCH(3,Assessment!$O:$O,0),"")</f>
        <v/>
      </c>
      <c r="B7" s="117" t="str">
        <f>IF($A7="","",INDEX(Assessment!$B:$B,$A7))</f>
        <v/>
      </c>
      <c r="C7" s="117" t="str">
        <f>IF($A7="","",INDEX(Assessment!$D:$D,$A7))</f>
        <v/>
      </c>
      <c r="D7" s="117" t="str">
        <f>IF($A7="","",INDEX(Assessment!$E:$E,$A7))</f>
        <v/>
      </c>
      <c r="E7" s="117" t="str">
        <f>IF($A7="","",INDEX(Assessment!$G:$G,$A7))</f>
        <v/>
      </c>
      <c r="F7" s="117" t="str">
        <f>IF($A7="","",INDEX(Assessment!$H:$H,$A7))</f>
        <v/>
      </c>
      <c r="G7" s="38" t="str">
        <f>IF($A7="","",INDEX(Assessment!$I:$I,$A7))</f>
        <v/>
      </c>
      <c r="H7" s="118"/>
      <c r="I7" s="118"/>
      <c r="J7" s="118"/>
    </row>
    <row r="8" spans="1:10" ht="48" customHeight="1" x14ac:dyDescent="0.25">
      <c r="A8" s="116" t="str">
        <f>IFERROR(MATCH(4,Assessment!$O:$O,0),"")</f>
        <v/>
      </c>
      <c r="B8" s="119" t="str">
        <f>IF($A8="","",INDEX(Assessment!$B:$B,$A8))</f>
        <v/>
      </c>
      <c r="C8" s="119" t="str">
        <f>IF($A8="","",INDEX(Assessment!$D:$D,$A8))</f>
        <v/>
      </c>
      <c r="D8" s="119" t="str">
        <f>IF($A8="","",INDEX(Assessment!$E:$E,$A8))</f>
        <v/>
      </c>
      <c r="E8" s="119" t="str">
        <f>IF($A8="","",INDEX(Assessment!$G:$G,$A8))</f>
        <v/>
      </c>
      <c r="F8" s="119" t="str">
        <f>IF($A8="","",INDEX(Assessment!$H:$H,$A8))</f>
        <v/>
      </c>
      <c r="G8" s="120" t="str">
        <f>IF($A8="","",INDEX(Assessment!$I:$I,$A8))</f>
        <v/>
      </c>
      <c r="H8" s="118"/>
      <c r="I8" s="118"/>
      <c r="J8" s="118"/>
    </row>
    <row r="9" spans="1:10" ht="48" customHeight="1" x14ac:dyDescent="0.25">
      <c r="A9" s="116" t="str">
        <f>IFERROR(MATCH(5,Assessment!$O:$O,0),"")</f>
        <v/>
      </c>
      <c r="B9" s="117" t="str">
        <f>IF($A9="","",INDEX(Assessment!$B:$B,$A9))</f>
        <v/>
      </c>
      <c r="C9" s="117" t="str">
        <f>IF($A9="","",INDEX(Assessment!$D:$D,$A9))</f>
        <v/>
      </c>
      <c r="D9" s="117" t="str">
        <f>IF($A9="","",INDEX(Assessment!$E:$E,$A9))</f>
        <v/>
      </c>
      <c r="E9" s="117" t="str">
        <f>IF($A9="","",INDEX(Assessment!$G:$G,$A9))</f>
        <v/>
      </c>
      <c r="F9" s="117" t="str">
        <f>IF($A9="","",INDEX(Assessment!$H:$H,$A9))</f>
        <v/>
      </c>
      <c r="G9" s="38" t="str">
        <f>IF($A9="","",INDEX(Assessment!$I:$I,$A9))</f>
        <v/>
      </c>
      <c r="H9" s="118"/>
      <c r="I9" s="118"/>
      <c r="J9" s="118"/>
    </row>
    <row r="10" spans="1:10" ht="48" customHeight="1" x14ac:dyDescent="0.25">
      <c r="A10" s="116" t="str">
        <f>IFERROR(MATCH(6,Assessment!$O:$O,0),"")</f>
        <v/>
      </c>
      <c r="B10" s="119" t="str">
        <f>IF($A10="","",INDEX(Assessment!$B:$B,$A10))</f>
        <v/>
      </c>
      <c r="C10" s="119" t="str">
        <f>IF($A10="","",INDEX(Assessment!$D:$D,$A10))</f>
        <v/>
      </c>
      <c r="D10" s="119" t="str">
        <f>IF($A10="","",INDEX(Assessment!$E:$E,$A10))</f>
        <v/>
      </c>
      <c r="E10" s="119" t="str">
        <f>IF($A10="","",INDEX(Assessment!$G:$G,$A10))</f>
        <v/>
      </c>
      <c r="F10" s="119" t="str">
        <f>IF($A10="","",INDEX(Assessment!$H:$H,$A10))</f>
        <v/>
      </c>
      <c r="G10" s="120" t="str">
        <f>IF($A10="","",INDEX(Assessment!$I:$I,$A10))</f>
        <v/>
      </c>
      <c r="H10" s="118"/>
      <c r="I10" s="118"/>
      <c r="J10" s="118"/>
    </row>
    <row r="11" spans="1:10" ht="48" customHeight="1" x14ac:dyDescent="0.25">
      <c r="A11" s="116" t="str">
        <f>IFERROR(MATCH(7,Assessment!$O:$O,0),"")</f>
        <v/>
      </c>
      <c r="B11" s="117" t="str">
        <f>IF($A11="","",INDEX(Assessment!$B:$B,$A11))</f>
        <v/>
      </c>
      <c r="C11" s="117" t="str">
        <f>IF($A11="","",INDEX(Assessment!$D:$D,$A11))</f>
        <v/>
      </c>
      <c r="D11" s="117" t="str">
        <f>IF($A11="","",INDEX(Assessment!$E:$E,$A11))</f>
        <v/>
      </c>
      <c r="E11" s="117" t="str">
        <f>IF($A11="","",INDEX(Assessment!$G:$G,$A11))</f>
        <v/>
      </c>
      <c r="F11" s="117" t="str">
        <f>IF($A11="","",INDEX(Assessment!$H:$H,$A11))</f>
        <v/>
      </c>
      <c r="G11" s="38" t="str">
        <f>IF($A11="","",INDEX(Assessment!$I:$I,$A11))</f>
        <v/>
      </c>
      <c r="H11" s="118"/>
      <c r="I11" s="118"/>
      <c r="J11" s="118"/>
    </row>
    <row r="12" spans="1:10" ht="48" customHeight="1" x14ac:dyDescent="0.25">
      <c r="A12" s="116" t="str">
        <f>IFERROR(MATCH(8,Assessment!$O:$O,0),"")</f>
        <v/>
      </c>
      <c r="B12" s="119" t="str">
        <f>IF($A12="","",INDEX(Assessment!$B:$B,$A12))</f>
        <v/>
      </c>
      <c r="C12" s="119" t="str">
        <f>IF($A12="","",INDEX(Assessment!$D:$D,$A12))</f>
        <v/>
      </c>
      <c r="D12" s="119" t="str">
        <f>IF($A12="","",INDEX(Assessment!$E:$E,$A12))</f>
        <v/>
      </c>
      <c r="E12" s="119" t="str">
        <f>IF($A12="","",INDEX(Assessment!$G:$G,$A12))</f>
        <v/>
      </c>
      <c r="F12" s="119" t="str">
        <f>IF($A12="","",INDEX(Assessment!$H:$H,$A12))</f>
        <v/>
      </c>
      <c r="G12" s="120" t="str">
        <f>IF($A12="","",INDEX(Assessment!$I:$I,$A12))</f>
        <v/>
      </c>
      <c r="H12" s="118"/>
      <c r="I12" s="118"/>
      <c r="J12" s="118"/>
    </row>
    <row r="13" spans="1:10" ht="48" customHeight="1" x14ac:dyDescent="0.25">
      <c r="A13" s="116" t="str">
        <f>IFERROR(MATCH(9,Assessment!$O:$O,0),"")</f>
        <v/>
      </c>
      <c r="B13" s="117" t="str">
        <f>IF($A13="","",INDEX(Assessment!$B:$B,$A13))</f>
        <v/>
      </c>
      <c r="C13" s="117" t="str">
        <f>IF($A13="","",INDEX(Assessment!$D:$D,$A13))</f>
        <v/>
      </c>
      <c r="D13" s="117" t="str">
        <f>IF($A13="","",INDEX(Assessment!$E:$E,$A13))</f>
        <v/>
      </c>
      <c r="E13" s="117" t="str">
        <f>IF($A13="","",INDEX(Assessment!$G:$G,$A13))</f>
        <v/>
      </c>
      <c r="F13" s="117" t="str">
        <f>IF($A13="","",INDEX(Assessment!$H:$H,$A13))</f>
        <v/>
      </c>
      <c r="G13" s="38" t="str">
        <f>IF($A13="","",INDEX(Assessment!$I:$I,$A13))</f>
        <v/>
      </c>
      <c r="H13" s="118"/>
      <c r="I13" s="118"/>
      <c r="J13" s="118"/>
    </row>
    <row r="14" spans="1:10" ht="48" customHeight="1" x14ac:dyDescent="0.25">
      <c r="A14" s="116" t="str">
        <f>IFERROR(MATCH(10,Assessment!$O:$O,0),"")</f>
        <v/>
      </c>
      <c r="B14" s="119" t="str">
        <f>IF($A14="","",INDEX(Assessment!$B:$B,$A14))</f>
        <v/>
      </c>
      <c r="C14" s="119" t="str">
        <f>IF($A14="","",INDEX(Assessment!$D:$D,$A14))</f>
        <v/>
      </c>
      <c r="D14" s="119" t="str">
        <f>IF($A14="","",INDEX(Assessment!$E:$E,$A14))</f>
        <v/>
      </c>
      <c r="E14" s="119" t="str">
        <f>IF($A14="","",INDEX(Assessment!$G:$G,$A14))</f>
        <v/>
      </c>
      <c r="F14" s="119" t="str">
        <f>IF($A14="","",INDEX(Assessment!$H:$H,$A14))</f>
        <v/>
      </c>
      <c r="G14" s="120" t="str">
        <f>IF($A14="","",INDEX(Assessment!$I:$I,$A14))</f>
        <v/>
      </c>
      <c r="H14" s="118"/>
      <c r="I14" s="118"/>
      <c r="J14" s="118"/>
    </row>
    <row r="15" spans="1:10" ht="48" customHeight="1" x14ac:dyDescent="0.25">
      <c r="A15" s="116" t="str">
        <f>IFERROR(MATCH(11,Assessment!$O:$O,0),"")</f>
        <v/>
      </c>
      <c r="B15" s="117" t="str">
        <f>IF($A15="","",INDEX(Assessment!$B:$B,$A15))</f>
        <v/>
      </c>
      <c r="C15" s="117" t="str">
        <f>IF($A15="","",INDEX(Assessment!$D:$D,$A15))</f>
        <v/>
      </c>
      <c r="D15" s="117" t="str">
        <f>IF($A15="","",INDEX(Assessment!$E:$E,$A15))</f>
        <v/>
      </c>
      <c r="E15" s="117" t="str">
        <f>IF($A15="","",INDEX(Assessment!$G:$G,$A15))</f>
        <v/>
      </c>
      <c r="F15" s="117" t="str">
        <f>IF($A15="","",INDEX(Assessment!$H:$H,$A15))</f>
        <v/>
      </c>
      <c r="G15" s="38" t="str">
        <f>IF($A15="","",INDEX(Assessment!$I:$I,$A15))</f>
        <v/>
      </c>
      <c r="H15" s="118"/>
      <c r="I15" s="118"/>
      <c r="J15" s="118"/>
    </row>
    <row r="16" spans="1:10" ht="48" customHeight="1" x14ac:dyDescent="0.25">
      <c r="A16" s="116" t="str">
        <f>IFERROR(MATCH(12,Assessment!$O:$O,0),"")</f>
        <v/>
      </c>
      <c r="B16" s="119" t="str">
        <f>IF($A16="","",INDEX(Assessment!$B:$B,$A16))</f>
        <v/>
      </c>
      <c r="C16" s="119" t="str">
        <f>IF($A16="","",INDEX(Assessment!$D:$D,$A16))</f>
        <v/>
      </c>
      <c r="D16" s="119" t="str">
        <f>IF($A16="","",INDEX(Assessment!$E:$E,$A16))</f>
        <v/>
      </c>
      <c r="E16" s="119" t="str">
        <f>IF($A16="","",INDEX(Assessment!$G:$G,$A16))</f>
        <v/>
      </c>
      <c r="F16" s="119" t="str">
        <f>IF($A16="","",INDEX(Assessment!$H:$H,$A16))</f>
        <v/>
      </c>
      <c r="G16" s="120" t="str">
        <f>IF($A16="","",INDEX(Assessment!$I:$I,$A16))</f>
        <v/>
      </c>
      <c r="H16" s="118"/>
      <c r="I16" s="118"/>
      <c r="J16" s="118"/>
    </row>
    <row r="17" spans="1:10" ht="48" customHeight="1" x14ac:dyDescent="0.25">
      <c r="A17" s="116" t="str">
        <f>IFERROR(MATCH(13,Assessment!$O:$O,0),"")</f>
        <v/>
      </c>
      <c r="B17" s="117" t="str">
        <f>IF($A17="","",INDEX(Assessment!$B:$B,$A17))</f>
        <v/>
      </c>
      <c r="C17" s="117" t="str">
        <f>IF($A17="","",INDEX(Assessment!$D:$D,$A17))</f>
        <v/>
      </c>
      <c r="D17" s="117" t="str">
        <f>IF($A17="","",INDEX(Assessment!$E:$E,$A17))</f>
        <v/>
      </c>
      <c r="E17" s="117" t="str">
        <f>IF($A17="","",INDEX(Assessment!$G:$G,$A17))</f>
        <v/>
      </c>
      <c r="F17" s="117" t="str">
        <f>IF($A17="","",INDEX(Assessment!$H:$H,$A17))</f>
        <v/>
      </c>
      <c r="G17" s="38" t="str">
        <f>IF($A17="","",INDEX(Assessment!$I:$I,$A17))</f>
        <v/>
      </c>
      <c r="H17" s="118"/>
      <c r="I17" s="118"/>
      <c r="J17" s="118"/>
    </row>
    <row r="18" spans="1:10" ht="48" customHeight="1" x14ac:dyDescent="0.25">
      <c r="A18" s="116" t="str">
        <f>IFERROR(MATCH(14,Assessment!$O:$O,0),"")</f>
        <v/>
      </c>
      <c r="B18" s="119" t="str">
        <f>IF($A18="","",INDEX(Assessment!$B:$B,$A18))</f>
        <v/>
      </c>
      <c r="C18" s="119" t="str">
        <f>IF($A18="","",INDEX(Assessment!$D:$D,$A18))</f>
        <v/>
      </c>
      <c r="D18" s="119" t="str">
        <f>IF($A18="","",INDEX(Assessment!$E:$E,$A18))</f>
        <v/>
      </c>
      <c r="E18" s="119" t="str">
        <f>IF($A18="","",INDEX(Assessment!$G:$G,$A18))</f>
        <v/>
      </c>
      <c r="F18" s="119" t="str">
        <f>IF($A18="","",INDEX(Assessment!$H:$H,$A18))</f>
        <v/>
      </c>
      <c r="G18" s="120" t="str">
        <f>IF($A18="","",INDEX(Assessment!$I:$I,$A18))</f>
        <v/>
      </c>
      <c r="H18" s="118"/>
      <c r="I18" s="118"/>
      <c r="J18" s="118"/>
    </row>
    <row r="19" spans="1:10" ht="48" customHeight="1" x14ac:dyDescent="0.25">
      <c r="A19" s="116" t="str">
        <f>IFERROR(MATCH(15,Assessment!$O:$O,0),"")</f>
        <v/>
      </c>
      <c r="B19" s="117" t="str">
        <f>IF($A19="","",INDEX(Assessment!$B:$B,$A19))</f>
        <v/>
      </c>
      <c r="C19" s="117" t="str">
        <f>IF($A19="","",INDEX(Assessment!$D:$D,$A19))</f>
        <v/>
      </c>
      <c r="D19" s="117" t="str">
        <f>IF($A19="","",INDEX(Assessment!$E:$E,$A19))</f>
        <v/>
      </c>
      <c r="E19" s="117" t="str">
        <f>IF($A19="","",INDEX(Assessment!$G:$G,$A19))</f>
        <v/>
      </c>
      <c r="F19" s="117" t="str">
        <f>IF($A19="","",INDEX(Assessment!$H:$H,$A19))</f>
        <v/>
      </c>
      <c r="G19" s="38" t="str">
        <f>IF($A19="","",INDEX(Assessment!$I:$I,$A19))</f>
        <v/>
      </c>
      <c r="H19" s="118"/>
      <c r="I19" s="118"/>
      <c r="J19" s="118"/>
    </row>
    <row r="20" spans="1:10" ht="48" customHeight="1" x14ac:dyDescent="0.25">
      <c r="A20" s="116" t="str">
        <f>IFERROR(MATCH(16,Assessment!$O:$O,0),"")</f>
        <v/>
      </c>
      <c r="B20" s="119" t="str">
        <f>IF($A20="","",INDEX(Assessment!$B:$B,$A20))</f>
        <v/>
      </c>
      <c r="C20" s="119" t="str">
        <f>IF($A20="","",INDEX(Assessment!$D:$D,$A20))</f>
        <v/>
      </c>
      <c r="D20" s="119" t="str">
        <f>IF($A20="","",INDEX(Assessment!$E:$E,$A20))</f>
        <v/>
      </c>
      <c r="E20" s="119" t="str">
        <f>IF($A20="","",INDEX(Assessment!$G:$G,$A20))</f>
        <v/>
      </c>
      <c r="F20" s="119" t="str">
        <f>IF($A20="","",INDEX(Assessment!$H:$H,$A20))</f>
        <v/>
      </c>
      <c r="G20" s="120" t="str">
        <f>IF($A20="","",INDEX(Assessment!$I:$I,$A20))</f>
        <v/>
      </c>
      <c r="H20" s="118"/>
      <c r="I20" s="118"/>
      <c r="J20" s="118"/>
    </row>
    <row r="21" spans="1:10" ht="48" customHeight="1" x14ac:dyDescent="0.25">
      <c r="A21" s="116" t="str">
        <f>IFERROR(MATCH(17,Assessment!$O:$O,0),"")</f>
        <v/>
      </c>
      <c r="B21" s="117" t="str">
        <f>IF($A21="","",INDEX(Assessment!$B:$B,$A21))</f>
        <v/>
      </c>
      <c r="C21" s="117" t="str">
        <f>IF($A21="","",INDEX(Assessment!$D:$D,$A21))</f>
        <v/>
      </c>
      <c r="D21" s="117" t="str">
        <f>IF($A21="","",INDEX(Assessment!$E:$E,$A21))</f>
        <v/>
      </c>
      <c r="E21" s="117" t="str">
        <f>IF($A21="","",INDEX(Assessment!$G:$G,$A21))</f>
        <v/>
      </c>
      <c r="F21" s="117" t="str">
        <f>IF($A21="","",INDEX(Assessment!$H:$H,$A21))</f>
        <v/>
      </c>
      <c r="G21" s="38" t="str">
        <f>IF($A21="","",INDEX(Assessment!$I:$I,$A21))</f>
        <v/>
      </c>
      <c r="H21" s="118"/>
      <c r="I21" s="118"/>
      <c r="J21" s="118"/>
    </row>
    <row r="22" spans="1:10" ht="48" customHeight="1" x14ac:dyDescent="0.25">
      <c r="A22" s="116" t="str">
        <f>IFERROR(MATCH(18,Assessment!$O:$O,0),"")</f>
        <v/>
      </c>
      <c r="B22" s="119" t="str">
        <f>IF($A22="","",INDEX(Assessment!$B:$B,$A22))</f>
        <v/>
      </c>
      <c r="C22" s="119" t="str">
        <f>IF($A22="","",INDEX(Assessment!$D:$D,$A22))</f>
        <v/>
      </c>
      <c r="D22" s="119" t="str">
        <f>IF($A22="","",INDEX(Assessment!$E:$E,$A22))</f>
        <v/>
      </c>
      <c r="E22" s="119" t="str">
        <f>IF($A22="","",INDEX(Assessment!$G:$G,$A22))</f>
        <v/>
      </c>
      <c r="F22" s="119" t="str">
        <f>IF($A22="","",INDEX(Assessment!$H:$H,$A22))</f>
        <v/>
      </c>
      <c r="G22" s="120" t="str">
        <f>IF($A22="","",INDEX(Assessment!$I:$I,$A22))</f>
        <v/>
      </c>
      <c r="H22" s="118"/>
      <c r="I22" s="118"/>
      <c r="J22" s="118"/>
    </row>
    <row r="23" spans="1:10" ht="48" customHeight="1" x14ac:dyDescent="0.25">
      <c r="A23" s="116" t="str">
        <f>IFERROR(MATCH(19,Assessment!$O:$O,0),"")</f>
        <v/>
      </c>
      <c r="B23" s="117" t="str">
        <f>IF($A23="","",INDEX(Assessment!$B:$B,$A23))</f>
        <v/>
      </c>
      <c r="C23" s="117" t="str">
        <f>IF($A23="","",INDEX(Assessment!$D:$D,$A23))</f>
        <v/>
      </c>
      <c r="D23" s="117" t="str">
        <f>IF($A23="","",INDEX(Assessment!$E:$E,$A23))</f>
        <v/>
      </c>
      <c r="E23" s="117" t="str">
        <f>IF($A23="","",INDEX(Assessment!$G:$G,$A23))</f>
        <v/>
      </c>
      <c r="F23" s="117" t="str">
        <f>IF($A23="","",INDEX(Assessment!$H:$H,$A23))</f>
        <v/>
      </c>
      <c r="G23" s="38" t="str">
        <f>IF($A23="","",INDEX(Assessment!$I:$I,$A23))</f>
        <v/>
      </c>
      <c r="H23" s="118"/>
      <c r="I23" s="118"/>
      <c r="J23" s="118"/>
    </row>
    <row r="24" spans="1:10" ht="48" customHeight="1" x14ac:dyDescent="0.25">
      <c r="A24" s="116" t="str">
        <f>IFERROR(MATCH(20,Assessment!$O:$O,0),"")</f>
        <v/>
      </c>
      <c r="B24" s="119" t="str">
        <f>IF($A24="","",INDEX(Assessment!$B:$B,$A24))</f>
        <v/>
      </c>
      <c r="C24" s="119" t="str">
        <f>IF($A24="","",INDEX(Assessment!$D:$D,$A24))</f>
        <v/>
      </c>
      <c r="D24" s="119" t="str">
        <f>IF($A24="","",INDEX(Assessment!$E:$E,$A24))</f>
        <v/>
      </c>
      <c r="E24" s="119" t="str">
        <f>IF($A24="","",INDEX(Assessment!$G:$G,$A24))</f>
        <v/>
      </c>
      <c r="F24" s="119" t="str">
        <f>IF($A24="","",INDEX(Assessment!$H:$H,$A24))</f>
        <v/>
      </c>
      <c r="G24" s="120" t="str">
        <f>IF($A24="","",INDEX(Assessment!$I:$I,$A24))</f>
        <v/>
      </c>
      <c r="H24" s="118"/>
      <c r="I24" s="118"/>
      <c r="J24" s="118"/>
    </row>
    <row r="25" spans="1:10" ht="48" customHeight="1" x14ac:dyDescent="0.25">
      <c r="A25" s="116" t="str">
        <f>IFERROR(MATCH(21,Assessment!$O:$O,0),"")</f>
        <v/>
      </c>
      <c r="B25" s="117" t="str">
        <f>IF($A25="","",INDEX(Assessment!$B:$B,$A25))</f>
        <v/>
      </c>
      <c r="C25" s="117" t="str">
        <f>IF($A25="","",INDEX(Assessment!$D:$D,$A25))</f>
        <v/>
      </c>
      <c r="D25" s="117" t="str">
        <f>IF($A25="","",INDEX(Assessment!$E:$E,$A25))</f>
        <v/>
      </c>
      <c r="E25" s="117" t="str">
        <f>IF($A25="","",INDEX(Assessment!$G:$G,$A25))</f>
        <v/>
      </c>
      <c r="F25" s="117" t="str">
        <f>IF($A25="","",INDEX(Assessment!$H:$H,$A25))</f>
        <v/>
      </c>
      <c r="G25" s="38" t="str">
        <f>IF($A25="","",INDEX(Assessment!$I:$I,$A25))</f>
        <v/>
      </c>
      <c r="H25" s="118"/>
      <c r="I25" s="118"/>
      <c r="J25" s="118"/>
    </row>
    <row r="26" spans="1:10" ht="48" customHeight="1" x14ac:dyDescent="0.25">
      <c r="A26" s="116" t="str">
        <f>IFERROR(MATCH(22,Assessment!$O:$O,0),"")</f>
        <v/>
      </c>
      <c r="B26" s="119" t="str">
        <f>IF($A26="","",INDEX(Assessment!$B:$B,$A26))</f>
        <v/>
      </c>
      <c r="C26" s="119" t="str">
        <f>IF($A26="","",INDEX(Assessment!$D:$D,$A26))</f>
        <v/>
      </c>
      <c r="D26" s="119" t="str">
        <f>IF($A26="","",INDEX(Assessment!$E:$E,$A26))</f>
        <v/>
      </c>
      <c r="E26" s="119" t="str">
        <f>IF($A26="","",INDEX(Assessment!$G:$G,$A26))</f>
        <v/>
      </c>
      <c r="F26" s="119" t="str">
        <f>IF($A26="","",INDEX(Assessment!$H:$H,$A26))</f>
        <v/>
      </c>
      <c r="G26" s="120" t="str">
        <f>IF($A26="","",INDEX(Assessment!$I:$I,$A26))</f>
        <v/>
      </c>
      <c r="H26" s="118"/>
      <c r="I26" s="118"/>
      <c r="J26" s="118"/>
    </row>
    <row r="27" spans="1:10" ht="48" customHeight="1" x14ac:dyDescent="0.25">
      <c r="A27" s="116" t="str">
        <f>IFERROR(MATCH(23,Assessment!$O:$O,0),"")</f>
        <v/>
      </c>
      <c r="B27" s="117" t="str">
        <f>IF($A27="","",INDEX(Assessment!$B:$B,$A27))</f>
        <v/>
      </c>
      <c r="C27" s="117" t="str">
        <f>IF($A27="","",INDEX(Assessment!$D:$D,$A27))</f>
        <v/>
      </c>
      <c r="D27" s="117" t="str">
        <f>IF($A27="","",INDEX(Assessment!$E:$E,$A27))</f>
        <v/>
      </c>
      <c r="E27" s="117" t="str">
        <f>IF($A27="","",INDEX(Assessment!$G:$G,$A27))</f>
        <v/>
      </c>
      <c r="F27" s="117" t="str">
        <f>IF($A27="","",INDEX(Assessment!$H:$H,$A27))</f>
        <v/>
      </c>
      <c r="G27" s="38" t="str">
        <f>IF($A27="","",INDEX(Assessment!$I:$I,$A27))</f>
        <v/>
      </c>
      <c r="H27" s="118"/>
      <c r="I27" s="118"/>
      <c r="J27" s="118"/>
    </row>
    <row r="28" spans="1:10" ht="48" customHeight="1" x14ac:dyDescent="0.25">
      <c r="A28" s="116" t="str">
        <f>IFERROR(MATCH(24,Assessment!$O:$O,0),"")</f>
        <v/>
      </c>
      <c r="B28" s="119" t="str">
        <f>IF($A28="","",INDEX(Assessment!$B:$B,$A28))</f>
        <v/>
      </c>
      <c r="C28" s="119" t="str">
        <f>IF($A28="","",INDEX(Assessment!$D:$D,$A28))</f>
        <v/>
      </c>
      <c r="D28" s="119" t="str">
        <f>IF($A28="","",INDEX(Assessment!$E:$E,$A28))</f>
        <v/>
      </c>
      <c r="E28" s="119" t="str">
        <f>IF($A28="","",INDEX(Assessment!$G:$G,$A28))</f>
        <v/>
      </c>
      <c r="F28" s="119" t="str">
        <f>IF($A28="","",INDEX(Assessment!$H:$H,$A28))</f>
        <v/>
      </c>
      <c r="G28" s="120" t="str">
        <f>IF($A28="","",INDEX(Assessment!$I:$I,$A28))</f>
        <v/>
      </c>
      <c r="H28" s="118"/>
      <c r="I28" s="118"/>
      <c r="J28" s="118"/>
    </row>
    <row r="29" spans="1:10" ht="48" customHeight="1" x14ac:dyDescent="0.25">
      <c r="A29" s="116" t="str">
        <f>IFERROR(MATCH(25,Assessment!$O:$O,0),"")</f>
        <v/>
      </c>
      <c r="B29" s="117" t="str">
        <f>IF($A29="","",INDEX(Assessment!$B:$B,$A29))</f>
        <v/>
      </c>
      <c r="C29" s="117" t="str">
        <f>IF($A29="","",INDEX(Assessment!$D:$D,$A29))</f>
        <v/>
      </c>
      <c r="D29" s="117" t="str">
        <f>IF($A29="","",INDEX(Assessment!$E:$E,$A29))</f>
        <v/>
      </c>
      <c r="E29" s="117" t="str">
        <f>IF($A29="","",INDEX(Assessment!$G:$G,$A29))</f>
        <v/>
      </c>
      <c r="F29" s="117" t="str">
        <f>IF($A29="","",INDEX(Assessment!$H:$H,$A29))</f>
        <v/>
      </c>
      <c r="G29" s="38" t="str">
        <f>IF($A29="","",INDEX(Assessment!$I:$I,$A29))</f>
        <v/>
      </c>
      <c r="H29" s="118"/>
      <c r="I29" s="118"/>
      <c r="J29" s="118"/>
    </row>
    <row r="30" spans="1:10" ht="48" customHeight="1" x14ac:dyDescent="0.25">
      <c r="A30" s="116" t="str">
        <f>IFERROR(MATCH(26,Assessment!$O:$O,0),"")</f>
        <v/>
      </c>
      <c r="B30" s="119" t="str">
        <f>IF($A30="","",INDEX(Assessment!$B:$B,$A30))</f>
        <v/>
      </c>
      <c r="C30" s="119" t="str">
        <f>IF($A30="","",INDEX(Assessment!$D:$D,$A30))</f>
        <v/>
      </c>
      <c r="D30" s="119" t="str">
        <f>IF($A30="","",INDEX(Assessment!$E:$E,$A30))</f>
        <v/>
      </c>
      <c r="E30" s="119" t="str">
        <f>IF($A30="","",INDEX(Assessment!$G:$G,$A30))</f>
        <v/>
      </c>
      <c r="F30" s="119" t="str">
        <f>IF($A30="","",INDEX(Assessment!$H:$H,$A30))</f>
        <v/>
      </c>
      <c r="G30" s="120" t="str">
        <f>IF($A30="","",INDEX(Assessment!$I:$I,$A30))</f>
        <v/>
      </c>
      <c r="H30" s="118"/>
      <c r="I30" s="118"/>
      <c r="J30" s="118"/>
    </row>
    <row r="31" spans="1:10" ht="48" customHeight="1" x14ac:dyDescent="0.25">
      <c r="A31" s="116" t="str">
        <f>IFERROR(MATCH(27,Assessment!$O:$O,0),"")</f>
        <v/>
      </c>
      <c r="B31" s="117" t="str">
        <f>IF($A31="","",INDEX(Assessment!$B:$B,$A31))</f>
        <v/>
      </c>
      <c r="C31" s="117" t="str">
        <f>IF($A31="","",INDEX(Assessment!$D:$D,$A31))</f>
        <v/>
      </c>
      <c r="D31" s="117" t="str">
        <f>IF($A31="","",INDEX(Assessment!$E:$E,$A31))</f>
        <v/>
      </c>
      <c r="E31" s="117" t="str">
        <f>IF($A31="","",INDEX(Assessment!$G:$G,$A31))</f>
        <v/>
      </c>
      <c r="F31" s="117" t="str">
        <f>IF($A31="","",INDEX(Assessment!$H:$H,$A31))</f>
        <v/>
      </c>
      <c r="G31" s="38" t="str">
        <f>IF($A31="","",INDEX(Assessment!$I:$I,$A31))</f>
        <v/>
      </c>
      <c r="H31" s="118"/>
      <c r="I31" s="118"/>
      <c r="J31" s="118"/>
    </row>
    <row r="32" spans="1:10" ht="48" customHeight="1" x14ac:dyDescent="0.25">
      <c r="A32" s="116" t="str">
        <f>IFERROR(MATCH(28,Assessment!$O:$O,0),"")</f>
        <v/>
      </c>
      <c r="B32" s="119" t="str">
        <f>IF($A32="","",INDEX(Assessment!$B:$B,$A32))</f>
        <v/>
      </c>
      <c r="C32" s="119" t="str">
        <f>IF($A32="","",INDEX(Assessment!$D:$D,$A32))</f>
        <v/>
      </c>
      <c r="D32" s="119" t="str">
        <f>IF($A32="","",INDEX(Assessment!$E:$E,$A32))</f>
        <v/>
      </c>
      <c r="E32" s="119" t="str">
        <f>IF($A32="","",INDEX(Assessment!$G:$G,$A32))</f>
        <v/>
      </c>
      <c r="F32" s="119" t="str">
        <f>IF($A32="","",INDEX(Assessment!$H:$H,$A32))</f>
        <v/>
      </c>
      <c r="G32" s="120" t="str">
        <f>IF($A32="","",INDEX(Assessment!$I:$I,$A32))</f>
        <v/>
      </c>
      <c r="H32" s="118"/>
      <c r="I32" s="118"/>
      <c r="J32" s="118"/>
    </row>
    <row r="33" spans="1:10" ht="48" customHeight="1" x14ac:dyDescent="0.25">
      <c r="A33" s="116" t="str">
        <f>IFERROR(MATCH(29,Assessment!$O:$O,0),"")</f>
        <v/>
      </c>
      <c r="B33" s="117" t="str">
        <f>IF($A33="","",INDEX(Assessment!$B:$B,$A33))</f>
        <v/>
      </c>
      <c r="C33" s="117" t="str">
        <f>IF($A33="","",INDEX(Assessment!$D:$D,$A33))</f>
        <v/>
      </c>
      <c r="D33" s="117" t="str">
        <f>IF($A33="","",INDEX(Assessment!$E:$E,$A33))</f>
        <v/>
      </c>
      <c r="E33" s="117" t="str">
        <f>IF($A33="","",INDEX(Assessment!$G:$G,$A33))</f>
        <v/>
      </c>
      <c r="F33" s="117" t="str">
        <f>IF($A33="","",INDEX(Assessment!$H:$H,$A33))</f>
        <v/>
      </c>
      <c r="G33" s="38" t="str">
        <f>IF($A33="","",INDEX(Assessment!$I:$I,$A33))</f>
        <v/>
      </c>
      <c r="H33" s="118"/>
      <c r="I33" s="118"/>
      <c r="J33" s="118"/>
    </row>
    <row r="34" spans="1:10" ht="48" customHeight="1" x14ac:dyDescent="0.25">
      <c r="A34" s="116" t="str">
        <f>IFERROR(MATCH(30,Assessment!$O:$O,0),"")</f>
        <v/>
      </c>
      <c r="B34" s="119" t="str">
        <f>IF($A34="","",INDEX(Assessment!$B:$B,$A34))</f>
        <v/>
      </c>
      <c r="C34" s="119" t="str">
        <f>IF($A34="","",INDEX(Assessment!$D:$D,$A34))</f>
        <v/>
      </c>
      <c r="D34" s="119" t="str">
        <f>IF($A34="","",INDEX(Assessment!$E:$E,$A34))</f>
        <v/>
      </c>
      <c r="E34" s="119" t="str">
        <f>IF($A34="","",INDEX(Assessment!$G:$G,$A34))</f>
        <v/>
      </c>
      <c r="F34" s="119" t="str">
        <f>IF($A34="","",INDEX(Assessment!$H:$H,$A34))</f>
        <v/>
      </c>
      <c r="G34" s="120" t="str">
        <f>IF($A34="","",INDEX(Assessment!$I:$I,$A34))</f>
        <v/>
      </c>
      <c r="H34" s="118"/>
      <c r="I34" s="118"/>
      <c r="J34" s="118"/>
    </row>
    <row r="35" spans="1:10" ht="48" customHeight="1" x14ac:dyDescent="0.25">
      <c r="A35" s="116" t="str">
        <f>IFERROR(MATCH(31,Assessment!$O:$O,0),"")</f>
        <v/>
      </c>
      <c r="B35" s="117" t="str">
        <f>IF($A35="","",INDEX(Assessment!$B:$B,$A35))</f>
        <v/>
      </c>
      <c r="C35" s="117" t="str">
        <f>IF($A35="","",INDEX(Assessment!$D:$D,$A35))</f>
        <v/>
      </c>
      <c r="D35" s="117" t="str">
        <f>IF($A35="","",INDEX(Assessment!$E:$E,$A35))</f>
        <v/>
      </c>
      <c r="E35" s="117" t="str">
        <f>IF($A35="","",INDEX(Assessment!$G:$G,$A35))</f>
        <v/>
      </c>
      <c r="F35" s="117" t="str">
        <f>IF($A35="","",INDEX(Assessment!$H:$H,$A35))</f>
        <v/>
      </c>
      <c r="G35" s="38" t="str">
        <f>IF($A35="","",INDEX(Assessment!$I:$I,$A35))</f>
        <v/>
      </c>
      <c r="H35" s="118"/>
      <c r="I35" s="118"/>
      <c r="J35" s="118"/>
    </row>
    <row r="36" spans="1:10" ht="48" customHeight="1" x14ac:dyDescent="0.25">
      <c r="A36" s="116" t="str">
        <f>IFERROR(MATCH(32,Assessment!$O:$O,0),"")</f>
        <v/>
      </c>
      <c r="B36" s="119" t="str">
        <f>IF($A36="","",INDEX(Assessment!$B:$B,$A36))</f>
        <v/>
      </c>
      <c r="C36" s="119" t="str">
        <f>IF($A36="","",INDEX(Assessment!$D:$D,$A36))</f>
        <v/>
      </c>
      <c r="D36" s="119" t="str">
        <f>IF($A36="","",INDEX(Assessment!$E:$E,$A36))</f>
        <v/>
      </c>
      <c r="E36" s="119" t="str">
        <f>IF($A36="","",INDEX(Assessment!$G:$G,$A36))</f>
        <v/>
      </c>
      <c r="F36" s="119" t="str">
        <f>IF($A36="","",INDEX(Assessment!$H:$H,$A36))</f>
        <v/>
      </c>
      <c r="G36" s="120" t="str">
        <f>IF($A36="","",INDEX(Assessment!$I:$I,$A36))</f>
        <v/>
      </c>
      <c r="H36" s="118"/>
      <c r="I36" s="118"/>
      <c r="J36" s="118"/>
    </row>
    <row r="37" spans="1:10" ht="48" customHeight="1" x14ac:dyDescent="0.25">
      <c r="A37" s="116" t="str">
        <f>IFERROR(MATCH(33,Assessment!$O:$O,0),"")</f>
        <v/>
      </c>
      <c r="B37" s="117" t="str">
        <f>IF($A37="","",INDEX(Assessment!$B:$B,$A37))</f>
        <v/>
      </c>
      <c r="C37" s="117" t="str">
        <f>IF($A37="","",INDEX(Assessment!$D:$D,$A37))</f>
        <v/>
      </c>
      <c r="D37" s="117" t="str">
        <f>IF($A37="","",INDEX(Assessment!$E:$E,$A37))</f>
        <v/>
      </c>
      <c r="E37" s="117" t="str">
        <f>IF($A37="","",INDEX(Assessment!$G:$G,$A37))</f>
        <v/>
      </c>
      <c r="F37" s="117" t="str">
        <f>IF($A37="","",INDEX(Assessment!$H:$H,$A37))</f>
        <v/>
      </c>
      <c r="G37" s="38" t="str">
        <f>IF($A37="","",INDEX(Assessment!$I:$I,$A37))</f>
        <v/>
      </c>
      <c r="H37" s="118"/>
      <c r="I37" s="118"/>
      <c r="J37" s="118"/>
    </row>
    <row r="38" spans="1:10" ht="48" customHeight="1" x14ac:dyDescent="0.25">
      <c r="A38" s="116" t="str">
        <f>IFERROR(MATCH(34,Assessment!$O:$O,0),"")</f>
        <v/>
      </c>
      <c r="B38" s="119" t="str">
        <f>IF($A38="","",INDEX(Assessment!$B:$B,$A38))</f>
        <v/>
      </c>
      <c r="C38" s="119" t="str">
        <f>IF($A38="","",INDEX(Assessment!$D:$D,$A38))</f>
        <v/>
      </c>
      <c r="D38" s="119" t="str">
        <f>IF($A38="","",INDEX(Assessment!$E:$E,$A38))</f>
        <v/>
      </c>
      <c r="E38" s="119" t="str">
        <f>IF($A38="","",INDEX(Assessment!$G:$G,$A38))</f>
        <v/>
      </c>
      <c r="F38" s="119" t="str">
        <f>IF($A38="","",INDEX(Assessment!$H:$H,$A38))</f>
        <v/>
      </c>
      <c r="G38" s="120" t="str">
        <f>IF($A38="","",INDEX(Assessment!$I:$I,$A38))</f>
        <v/>
      </c>
      <c r="H38" s="118"/>
      <c r="I38" s="118"/>
      <c r="J38" s="118"/>
    </row>
    <row r="39" spans="1:10" ht="48" customHeight="1" x14ac:dyDescent="0.25">
      <c r="A39" s="116" t="str">
        <f>IFERROR(MATCH(35,Assessment!$O:$O,0),"")</f>
        <v/>
      </c>
      <c r="B39" s="117" t="str">
        <f>IF($A39="","",INDEX(Assessment!$B:$B,$A39))</f>
        <v/>
      </c>
      <c r="C39" s="117" t="str">
        <f>IF($A39="","",INDEX(Assessment!$D:$D,$A39))</f>
        <v/>
      </c>
      <c r="D39" s="117" t="str">
        <f>IF($A39="","",INDEX(Assessment!$E:$E,$A39))</f>
        <v/>
      </c>
      <c r="E39" s="117" t="str">
        <f>IF($A39="","",INDEX(Assessment!$G:$G,$A39))</f>
        <v/>
      </c>
      <c r="F39" s="117" t="str">
        <f>IF($A39="","",INDEX(Assessment!$H:$H,$A39))</f>
        <v/>
      </c>
      <c r="G39" s="38" t="str">
        <f>IF($A39="","",INDEX(Assessment!$I:$I,$A39))</f>
        <v/>
      </c>
      <c r="H39" s="118"/>
      <c r="I39" s="118"/>
      <c r="J39" s="118"/>
    </row>
    <row r="40" spans="1:10" ht="48" customHeight="1" x14ac:dyDescent="0.25">
      <c r="A40" s="116" t="str">
        <f>IFERROR(MATCH(36,Assessment!$O:$O,0),"")</f>
        <v/>
      </c>
      <c r="B40" s="119" t="str">
        <f>IF($A40="","",INDEX(Assessment!$B:$B,$A40))</f>
        <v/>
      </c>
      <c r="C40" s="119" t="str">
        <f>IF($A40="","",INDEX(Assessment!$D:$D,$A40))</f>
        <v/>
      </c>
      <c r="D40" s="119" t="str">
        <f>IF($A40="","",INDEX(Assessment!$E:$E,$A40))</f>
        <v/>
      </c>
      <c r="E40" s="119" t="str">
        <f>IF($A40="","",INDEX(Assessment!$G:$G,$A40))</f>
        <v/>
      </c>
      <c r="F40" s="119" t="str">
        <f>IF($A40="","",INDEX(Assessment!$H:$H,$A40))</f>
        <v/>
      </c>
      <c r="G40" s="120" t="str">
        <f>IF($A40="","",INDEX(Assessment!$I:$I,$A40))</f>
        <v/>
      </c>
      <c r="H40" s="118"/>
      <c r="I40" s="118"/>
      <c r="J40" s="118"/>
    </row>
    <row r="41" spans="1:10" ht="48" customHeight="1" x14ac:dyDescent="0.25">
      <c r="A41" s="116" t="str">
        <f>IFERROR(MATCH(37,Assessment!$O:$O,0),"")</f>
        <v/>
      </c>
      <c r="B41" s="117" t="str">
        <f>IF($A41="","",INDEX(Assessment!$B:$B,$A41))</f>
        <v/>
      </c>
      <c r="C41" s="117" t="str">
        <f>IF($A41="","",INDEX(Assessment!$D:$D,$A41))</f>
        <v/>
      </c>
      <c r="D41" s="117" t="str">
        <f>IF($A41="","",INDEX(Assessment!$E:$E,$A41))</f>
        <v/>
      </c>
      <c r="E41" s="117" t="str">
        <f>IF($A41="","",INDEX(Assessment!$G:$G,$A41))</f>
        <v/>
      </c>
      <c r="F41" s="117" t="str">
        <f>IF($A41="","",INDEX(Assessment!$H:$H,$A41))</f>
        <v/>
      </c>
      <c r="G41" s="38" t="str">
        <f>IF($A41="","",INDEX(Assessment!$I:$I,$A41))</f>
        <v/>
      </c>
      <c r="H41" s="118"/>
      <c r="I41" s="118"/>
      <c r="J41" s="118"/>
    </row>
    <row r="42" spans="1:10" ht="48" customHeight="1" x14ac:dyDescent="0.25">
      <c r="A42" s="116" t="str">
        <f>IFERROR(MATCH(38,Assessment!$O:$O,0),"")</f>
        <v/>
      </c>
      <c r="B42" s="119" t="str">
        <f>IF($A42="","",INDEX(Assessment!$B:$B,$A42))</f>
        <v/>
      </c>
      <c r="C42" s="119" t="str">
        <f>IF($A42="","",INDEX(Assessment!$D:$D,$A42))</f>
        <v/>
      </c>
      <c r="D42" s="119" t="str">
        <f>IF($A42="","",INDEX(Assessment!$E:$E,$A42))</f>
        <v/>
      </c>
      <c r="E42" s="119" t="str">
        <f>IF($A42="","",INDEX(Assessment!$G:$G,$A42))</f>
        <v/>
      </c>
      <c r="F42" s="119" t="str">
        <f>IF($A42="","",INDEX(Assessment!$H:$H,$A42))</f>
        <v/>
      </c>
      <c r="G42" s="120" t="str">
        <f>IF($A42="","",INDEX(Assessment!$I:$I,$A42))</f>
        <v/>
      </c>
      <c r="H42" s="118"/>
      <c r="I42" s="118"/>
      <c r="J42" s="118"/>
    </row>
    <row r="43" spans="1:10" ht="48" customHeight="1" x14ac:dyDescent="0.25">
      <c r="A43" s="116" t="str">
        <f>IFERROR(MATCH(39,Assessment!$O:$O,0),"")</f>
        <v/>
      </c>
      <c r="B43" s="117" t="str">
        <f>IF($A43="","",INDEX(Assessment!$B:$B,$A43))</f>
        <v/>
      </c>
      <c r="C43" s="117" t="str">
        <f>IF($A43="","",INDEX(Assessment!$D:$D,$A43))</f>
        <v/>
      </c>
      <c r="D43" s="117" t="str">
        <f>IF($A43="","",INDEX(Assessment!$E:$E,$A43))</f>
        <v/>
      </c>
      <c r="E43" s="117" t="str">
        <f>IF($A43="","",INDEX(Assessment!$G:$G,$A43))</f>
        <v/>
      </c>
      <c r="F43" s="117" t="str">
        <f>IF($A43="","",INDEX(Assessment!$H:$H,$A43))</f>
        <v/>
      </c>
      <c r="G43" s="38" t="str">
        <f>IF($A43="","",INDEX(Assessment!$I:$I,$A43))</f>
        <v/>
      </c>
      <c r="H43" s="118"/>
      <c r="I43" s="118"/>
      <c r="J43" s="118"/>
    </row>
    <row r="44" spans="1:10" ht="48" customHeight="1" x14ac:dyDescent="0.25">
      <c r="A44" s="116" t="str">
        <f>IFERROR(MATCH(40,Assessment!$O:$O,0),"")</f>
        <v/>
      </c>
      <c r="B44" s="119" t="str">
        <f>IF($A44="","",INDEX(Assessment!$B:$B,$A44))</f>
        <v/>
      </c>
      <c r="C44" s="119" t="str">
        <f>IF($A44="","",INDEX(Assessment!$D:$D,$A44))</f>
        <v/>
      </c>
      <c r="D44" s="119" t="str">
        <f>IF($A44="","",INDEX(Assessment!$E:$E,$A44))</f>
        <v/>
      </c>
      <c r="E44" s="119" t="str">
        <f>IF($A44="","",INDEX(Assessment!$G:$G,$A44))</f>
        <v/>
      </c>
      <c r="F44" s="119" t="str">
        <f>IF($A44="","",INDEX(Assessment!$H:$H,$A44))</f>
        <v/>
      </c>
      <c r="G44" s="120" t="str">
        <f>IF($A44="","",INDEX(Assessment!$I:$I,$A44))</f>
        <v/>
      </c>
      <c r="H44" s="118"/>
      <c r="I44" s="118"/>
      <c r="J44" s="118"/>
    </row>
    <row r="45" spans="1:10" ht="48" customHeight="1" x14ac:dyDescent="0.25">
      <c r="A45" s="116" t="str">
        <f>IFERROR(MATCH(41,Assessment!$O:$O,0),"")</f>
        <v/>
      </c>
      <c r="B45" s="117" t="str">
        <f>IF($A45="","",INDEX(Assessment!$B:$B,$A45))</f>
        <v/>
      </c>
      <c r="C45" s="117" t="str">
        <f>IF($A45="","",INDEX(Assessment!$D:$D,$A45))</f>
        <v/>
      </c>
      <c r="D45" s="117" t="str">
        <f>IF($A45="","",INDEX(Assessment!$E:$E,$A45))</f>
        <v/>
      </c>
      <c r="E45" s="117" t="str">
        <f>IF($A45="","",INDEX(Assessment!$G:$G,$A45))</f>
        <v/>
      </c>
      <c r="F45" s="117" t="str">
        <f>IF($A45="","",INDEX(Assessment!$H:$H,$A45))</f>
        <v/>
      </c>
      <c r="G45" s="38" t="str">
        <f>IF($A45="","",INDEX(Assessment!$I:$I,$A45))</f>
        <v/>
      </c>
      <c r="H45" s="118"/>
      <c r="I45" s="118"/>
      <c r="J45" s="118"/>
    </row>
    <row r="46" spans="1:10" ht="48" customHeight="1" x14ac:dyDescent="0.25">
      <c r="A46" s="116" t="str">
        <f>IFERROR(MATCH(42,Assessment!$O:$O,0),"")</f>
        <v/>
      </c>
      <c r="B46" s="119" t="str">
        <f>IF($A46="","",INDEX(Assessment!$B:$B,$A46))</f>
        <v/>
      </c>
      <c r="C46" s="119" t="str">
        <f>IF($A46="","",INDEX(Assessment!$D:$D,$A46))</f>
        <v/>
      </c>
      <c r="D46" s="119" t="str">
        <f>IF($A46="","",INDEX(Assessment!$E:$E,$A46))</f>
        <v/>
      </c>
      <c r="E46" s="119" t="str">
        <f>IF($A46="","",INDEX(Assessment!$G:$G,$A46))</f>
        <v/>
      </c>
      <c r="F46" s="119" t="str">
        <f>IF($A46="","",INDEX(Assessment!$H:$H,$A46))</f>
        <v/>
      </c>
      <c r="G46" s="120" t="str">
        <f>IF($A46="","",INDEX(Assessment!$I:$I,$A46))</f>
        <v/>
      </c>
      <c r="H46" s="118"/>
      <c r="I46" s="118"/>
      <c r="J46" s="118"/>
    </row>
    <row r="47" spans="1:10" ht="48" customHeight="1" x14ac:dyDescent="0.25">
      <c r="A47" s="116" t="str">
        <f>IFERROR(MATCH(43,Assessment!$O:$O,0),"")</f>
        <v/>
      </c>
      <c r="B47" s="117" t="str">
        <f>IF($A47="","",INDEX(Assessment!$B:$B,$A47))</f>
        <v/>
      </c>
      <c r="C47" s="117" t="str">
        <f>IF($A47="","",INDEX(Assessment!$D:$D,$A47))</f>
        <v/>
      </c>
      <c r="D47" s="117" t="str">
        <f>IF($A47="","",INDEX(Assessment!$E:$E,$A47))</f>
        <v/>
      </c>
      <c r="E47" s="117" t="str">
        <f>IF($A47="","",INDEX(Assessment!$G:$G,$A47))</f>
        <v/>
      </c>
      <c r="F47" s="117" t="str">
        <f>IF($A47="","",INDEX(Assessment!$H:$H,$A47))</f>
        <v/>
      </c>
      <c r="G47" s="38" t="str">
        <f>IF($A47="","",INDEX(Assessment!$I:$I,$A47))</f>
        <v/>
      </c>
      <c r="H47" s="118"/>
      <c r="I47" s="118"/>
      <c r="J47" s="118"/>
    </row>
    <row r="48" spans="1:10" ht="48" customHeight="1" x14ac:dyDescent="0.25">
      <c r="A48" s="116" t="str">
        <f>IFERROR(MATCH(44,Assessment!$O:$O,0),"")</f>
        <v/>
      </c>
      <c r="B48" s="119" t="str">
        <f>IF($A48="","",INDEX(Assessment!$B:$B,$A48))</f>
        <v/>
      </c>
      <c r="C48" s="119" t="str">
        <f>IF($A48="","",INDEX(Assessment!$D:$D,$A48))</f>
        <v/>
      </c>
      <c r="D48" s="119" t="str">
        <f>IF($A48="","",INDEX(Assessment!$E:$E,$A48))</f>
        <v/>
      </c>
      <c r="E48" s="119" t="str">
        <f>IF($A48="","",INDEX(Assessment!$G:$G,$A48))</f>
        <v/>
      </c>
      <c r="F48" s="119" t="str">
        <f>IF($A48="","",INDEX(Assessment!$H:$H,$A48))</f>
        <v/>
      </c>
      <c r="G48" s="120" t="str">
        <f>IF($A48="","",INDEX(Assessment!$I:$I,$A48))</f>
        <v/>
      </c>
      <c r="H48" s="118"/>
      <c r="I48" s="118"/>
      <c r="J48" s="118"/>
    </row>
    <row r="49" spans="1:10" ht="48" customHeight="1" x14ac:dyDescent="0.25">
      <c r="A49" s="116" t="str">
        <f>IFERROR(MATCH(45,Assessment!$O:$O,0),"")</f>
        <v/>
      </c>
      <c r="B49" s="117" t="str">
        <f>IF($A49="","",INDEX(Assessment!$B:$B,$A49))</f>
        <v/>
      </c>
      <c r="C49" s="117" t="str">
        <f>IF($A49="","",INDEX(Assessment!$D:$D,$A49))</f>
        <v/>
      </c>
      <c r="D49" s="117" t="str">
        <f>IF($A49="","",INDEX(Assessment!$E:$E,$A49))</f>
        <v/>
      </c>
      <c r="E49" s="117" t="str">
        <f>IF($A49="","",INDEX(Assessment!$G:$G,$A49))</f>
        <v/>
      </c>
      <c r="F49" s="117" t="str">
        <f>IF($A49="","",INDEX(Assessment!$H:$H,$A49))</f>
        <v/>
      </c>
      <c r="G49" s="38" t="str">
        <f>IF($A49="","",INDEX(Assessment!$I:$I,$A49))</f>
        <v/>
      </c>
      <c r="H49" s="118"/>
      <c r="I49" s="118"/>
      <c r="J49" s="118"/>
    </row>
    <row r="50" spans="1:10" ht="48" customHeight="1" x14ac:dyDescent="0.25">
      <c r="A50" s="116" t="str">
        <f>IFERROR(MATCH(46,Assessment!$O:$O,0),"")</f>
        <v/>
      </c>
      <c r="B50" s="119" t="str">
        <f>IF($A50="","",INDEX(Assessment!$B:$B,$A50))</f>
        <v/>
      </c>
      <c r="C50" s="119" t="str">
        <f>IF($A50="","",INDEX(Assessment!$D:$D,$A50))</f>
        <v/>
      </c>
      <c r="D50" s="119" t="str">
        <f>IF($A50="","",INDEX(Assessment!$E:$E,$A50))</f>
        <v/>
      </c>
      <c r="E50" s="119" t="str">
        <f>IF($A50="","",INDEX(Assessment!$G:$G,$A50))</f>
        <v/>
      </c>
      <c r="F50" s="119" t="str">
        <f>IF($A50="","",INDEX(Assessment!$H:$H,$A50))</f>
        <v/>
      </c>
      <c r="G50" s="120" t="str">
        <f>IF($A50="","",INDEX(Assessment!$I:$I,$A50))</f>
        <v/>
      </c>
      <c r="H50" s="118"/>
      <c r="I50" s="118"/>
      <c r="J50" s="118"/>
    </row>
    <row r="51" spans="1:10" ht="48" customHeight="1" x14ac:dyDescent="0.25">
      <c r="A51" s="116" t="str">
        <f>IFERROR(MATCH(47,Assessment!$O:$O,0),"")</f>
        <v/>
      </c>
      <c r="B51" s="117" t="str">
        <f>IF($A51="","",INDEX(Assessment!$B:$B,$A51))</f>
        <v/>
      </c>
      <c r="C51" s="117" t="str">
        <f>IF($A51="","",INDEX(Assessment!$D:$D,$A51))</f>
        <v/>
      </c>
      <c r="D51" s="117" t="str">
        <f>IF($A51="","",INDEX(Assessment!$E:$E,$A51))</f>
        <v/>
      </c>
      <c r="E51" s="117" t="str">
        <f>IF($A51="","",INDEX(Assessment!$G:$G,$A51))</f>
        <v/>
      </c>
      <c r="F51" s="117" t="str">
        <f>IF($A51="","",INDEX(Assessment!$H:$H,$A51))</f>
        <v/>
      </c>
      <c r="G51" s="38" t="str">
        <f>IF($A51="","",INDEX(Assessment!$I:$I,$A51))</f>
        <v/>
      </c>
      <c r="H51" s="118"/>
      <c r="I51" s="118"/>
      <c r="J51" s="118"/>
    </row>
    <row r="52" spans="1:10" ht="48" customHeight="1" x14ac:dyDescent="0.25">
      <c r="A52" s="116" t="str">
        <f>IFERROR(MATCH(48,Assessment!$O:$O,0),"")</f>
        <v/>
      </c>
      <c r="B52" s="119" t="str">
        <f>IF($A52="","",INDEX(Assessment!$B:$B,$A52))</f>
        <v/>
      </c>
      <c r="C52" s="119" t="str">
        <f>IF($A52="","",INDEX(Assessment!$D:$D,$A52))</f>
        <v/>
      </c>
      <c r="D52" s="119" t="str">
        <f>IF($A52="","",INDEX(Assessment!$E:$E,$A52))</f>
        <v/>
      </c>
      <c r="E52" s="119" t="str">
        <f>IF($A52="","",INDEX(Assessment!$G:$G,$A52))</f>
        <v/>
      </c>
      <c r="F52" s="119" t="str">
        <f>IF($A52="","",INDEX(Assessment!$H:$H,$A52))</f>
        <v/>
      </c>
      <c r="G52" s="120" t="str">
        <f>IF($A52="","",INDEX(Assessment!$I:$I,$A52))</f>
        <v/>
      </c>
      <c r="H52" s="118"/>
      <c r="I52" s="118"/>
      <c r="J52" s="118"/>
    </row>
    <row r="53" spans="1:10" ht="48" customHeight="1" x14ac:dyDescent="0.25">
      <c r="A53" s="116" t="str">
        <f>IFERROR(MATCH(49,Assessment!$O:$O,0),"")</f>
        <v/>
      </c>
      <c r="B53" s="117" t="str">
        <f>IF($A53="","",INDEX(Assessment!$B:$B,$A53))</f>
        <v/>
      </c>
      <c r="C53" s="117" t="str">
        <f>IF($A53="","",INDEX(Assessment!$D:$D,$A53))</f>
        <v/>
      </c>
      <c r="D53" s="117" t="str">
        <f>IF($A53="","",INDEX(Assessment!$E:$E,$A53))</f>
        <v/>
      </c>
      <c r="E53" s="117" t="str">
        <f>IF($A53="","",INDEX(Assessment!$G:$G,$A53))</f>
        <v/>
      </c>
      <c r="F53" s="117" t="str">
        <f>IF($A53="","",INDEX(Assessment!$H:$H,$A53))</f>
        <v/>
      </c>
      <c r="G53" s="38" t="str">
        <f>IF($A53="","",INDEX(Assessment!$I:$I,$A53))</f>
        <v/>
      </c>
      <c r="H53" s="118"/>
      <c r="I53" s="118"/>
      <c r="J53" s="118"/>
    </row>
    <row r="54" spans="1:10" ht="48" customHeight="1" x14ac:dyDescent="0.25">
      <c r="A54" s="116" t="str">
        <f>IFERROR(MATCH(50,Assessment!$O:$O,0),"")</f>
        <v/>
      </c>
      <c r="B54" s="119" t="str">
        <f>IF($A54="","",INDEX(Assessment!$B:$B,$A54))</f>
        <v/>
      </c>
      <c r="C54" s="119" t="str">
        <f>IF($A54="","",INDEX(Assessment!$D:$D,$A54))</f>
        <v/>
      </c>
      <c r="D54" s="119" t="str">
        <f>IF($A54="","",INDEX(Assessment!$E:$E,$A54))</f>
        <v/>
      </c>
      <c r="E54" s="119" t="str">
        <f>IF($A54="","",INDEX(Assessment!$G:$G,$A54))</f>
        <v/>
      </c>
      <c r="F54" s="119" t="str">
        <f>IF($A54="","",INDEX(Assessment!$H:$H,$A54))</f>
        <v/>
      </c>
      <c r="G54" s="120" t="str">
        <f>IF($A54="","",INDEX(Assessment!$I:$I,$A54))</f>
        <v/>
      </c>
      <c r="H54" s="118"/>
      <c r="I54" s="118"/>
      <c r="J54" s="118"/>
    </row>
    <row r="55" spans="1:10" ht="48" customHeight="1" x14ac:dyDescent="0.25">
      <c r="A55" s="116" t="str">
        <f>IFERROR(MATCH(51,Assessment!$O:$O,0),"")</f>
        <v/>
      </c>
      <c r="B55" s="117" t="str">
        <f>IF($A55="","",INDEX(Assessment!$B:$B,$A55))</f>
        <v/>
      </c>
      <c r="C55" s="117" t="str">
        <f>IF($A55="","",INDEX(Assessment!$D:$D,$A55))</f>
        <v/>
      </c>
      <c r="D55" s="117" t="str">
        <f>IF($A55="","",INDEX(Assessment!$E:$E,$A55))</f>
        <v/>
      </c>
      <c r="E55" s="117" t="str">
        <f>IF($A55="","",INDEX(Assessment!$G:$G,$A55))</f>
        <v/>
      </c>
      <c r="F55" s="117" t="str">
        <f>IF($A55="","",INDEX(Assessment!$H:$H,$A55))</f>
        <v/>
      </c>
      <c r="G55" s="38" t="str">
        <f>IF($A55="","",INDEX(Assessment!$I:$I,$A55))</f>
        <v/>
      </c>
      <c r="H55" s="118"/>
      <c r="I55" s="118"/>
      <c r="J55" s="118"/>
    </row>
    <row r="56" spans="1:10" ht="48" customHeight="1" x14ac:dyDescent="0.25">
      <c r="A56" s="116" t="str">
        <f>IFERROR(MATCH(52,Assessment!$O:$O,0),"")</f>
        <v/>
      </c>
      <c r="B56" s="119" t="str">
        <f>IF($A56="","",INDEX(Assessment!$B:$B,$A56))</f>
        <v/>
      </c>
      <c r="C56" s="119" t="str">
        <f>IF($A56="","",INDEX(Assessment!$D:$D,$A56))</f>
        <v/>
      </c>
      <c r="D56" s="119" t="str">
        <f>IF($A56="","",INDEX(Assessment!$E:$E,$A56))</f>
        <v/>
      </c>
      <c r="E56" s="119" t="str">
        <f>IF($A56="","",INDEX(Assessment!$G:$G,$A56))</f>
        <v/>
      </c>
      <c r="F56" s="119" t="str">
        <f>IF($A56="","",INDEX(Assessment!$H:$H,$A56))</f>
        <v/>
      </c>
      <c r="G56" s="120" t="str">
        <f>IF($A56="","",INDEX(Assessment!$I:$I,$A56))</f>
        <v/>
      </c>
      <c r="H56" s="118"/>
      <c r="I56" s="118"/>
      <c r="J56" s="118"/>
    </row>
    <row r="57" spans="1:10" ht="48" customHeight="1" x14ac:dyDescent="0.25">
      <c r="A57" s="116" t="str">
        <f>IFERROR(MATCH(53,Assessment!$O:$O,0),"")</f>
        <v/>
      </c>
      <c r="B57" s="117" t="str">
        <f>IF($A57="","",INDEX(Assessment!$B:$B,$A57))</f>
        <v/>
      </c>
      <c r="C57" s="117" t="str">
        <f>IF($A57="","",INDEX(Assessment!$D:$D,$A57))</f>
        <v/>
      </c>
      <c r="D57" s="117" t="str">
        <f>IF($A57="","",INDEX(Assessment!$E:$E,$A57))</f>
        <v/>
      </c>
      <c r="E57" s="117" t="str">
        <f>IF($A57="","",INDEX(Assessment!$G:$G,$A57))</f>
        <v/>
      </c>
      <c r="F57" s="117" t="str">
        <f>IF($A57="","",INDEX(Assessment!$H:$H,$A57))</f>
        <v/>
      </c>
      <c r="G57" s="38" t="str">
        <f>IF($A57="","",INDEX(Assessment!$I:$I,$A57))</f>
        <v/>
      </c>
      <c r="H57" s="118"/>
      <c r="I57" s="118"/>
      <c r="J57" s="118"/>
    </row>
    <row r="58" spans="1:10" ht="48" customHeight="1" x14ac:dyDescent="0.25">
      <c r="A58" s="116" t="str">
        <f>IFERROR(MATCH(54,Assessment!$O:$O,0),"")</f>
        <v/>
      </c>
      <c r="B58" s="119" t="str">
        <f>IF($A58="","",INDEX(Assessment!$B:$B,$A58))</f>
        <v/>
      </c>
      <c r="C58" s="119" t="str">
        <f>IF($A58="","",INDEX(Assessment!$D:$D,$A58))</f>
        <v/>
      </c>
      <c r="D58" s="119" t="str">
        <f>IF($A58="","",INDEX(Assessment!$E:$E,$A58))</f>
        <v/>
      </c>
      <c r="E58" s="119" t="str">
        <f>IF($A58="","",INDEX(Assessment!$G:$G,$A58))</f>
        <v/>
      </c>
      <c r="F58" s="119" t="str">
        <f>IF($A58="","",INDEX(Assessment!$H:$H,$A58))</f>
        <v/>
      </c>
      <c r="G58" s="120" t="str">
        <f>IF($A58="","",INDEX(Assessment!$I:$I,$A58))</f>
        <v/>
      </c>
      <c r="H58" s="118"/>
      <c r="I58" s="118"/>
      <c r="J58" s="118"/>
    </row>
    <row r="59" spans="1:10" ht="48" customHeight="1" x14ac:dyDescent="0.25">
      <c r="A59" s="116" t="str">
        <f>IFERROR(MATCH(55,Assessment!$O:$O,0),"")</f>
        <v/>
      </c>
      <c r="B59" s="117" t="str">
        <f>IF($A59="","",INDEX(Assessment!$B:$B,$A59))</f>
        <v/>
      </c>
      <c r="C59" s="117" t="str">
        <f>IF($A59="","",INDEX(Assessment!$D:$D,$A59))</f>
        <v/>
      </c>
      <c r="D59" s="117" t="str">
        <f>IF($A59="","",INDEX(Assessment!$E:$E,$A59))</f>
        <v/>
      </c>
      <c r="E59" s="117" t="str">
        <f>IF($A59="","",INDEX(Assessment!$G:$G,$A59))</f>
        <v/>
      </c>
      <c r="F59" s="117" t="str">
        <f>IF($A59="","",INDEX(Assessment!$H:$H,$A59))</f>
        <v/>
      </c>
      <c r="G59" s="38" t="str">
        <f>IF($A59="","",INDEX(Assessment!$I:$I,$A59))</f>
        <v/>
      </c>
      <c r="H59" s="118"/>
      <c r="I59" s="118"/>
      <c r="J59" s="118"/>
    </row>
    <row r="60" spans="1:10" ht="48" customHeight="1" x14ac:dyDescent="0.25">
      <c r="A60" s="116" t="str">
        <f>IFERROR(MATCH(56,Assessment!$O:$O,0),"")</f>
        <v/>
      </c>
      <c r="B60" s="119" t="str">
        <f>IF($A60="","",INDEX(Assessment!$B:$B,$A60))</f>
        <v/>
      </c>
      <c r="C60" s="119" t="str">
        <f>IF($A60="","",INDEX(Assessment!$D:$D,$A60))</f>
        <v/>
      </c>
      <c r="D60" s="119" t="str">
        <f>IF($A60="","",INDEX(Assessment!$E:$E,$A60))</f>
        <v/>
      </c>
      <c r="E60" s="119" t="str">
        <f>IF($A60="","",INDEX(Assessment!$G:$G,$A60))</f>
        <v/>
      </c>
      <c r="F60" s="119" t="str">
        <f>IF($A60="","",INDEX(Assessment!$H:$H,$A60))</f>
        <v/>
      </c>
      <c r="G60" s="120" t="str">
        <f>IF($A60="","",INDEX(Assessment!$I:$I,$A60))</f>
        <v/>
      </c>
      <c r="H60" s="118"/>
      <c r="I60" s="118"/>
      <c r="J60" s="118"/>
    </row>
    <row r="61" spans="1:10" ht="48" customHeight="1" x14ac:dyDescent="0.25">
      <c r="A61" s="116" t="str">
        <f>IFERROR(MATCH(57,Assessment!$O:$O,0),"")</f>
        <v/>
      </c>
      <c r="B61" s="117" t="str">
        <f>IF($A61="","",INDEX(Assessment!$B:$B,$A61))</f>
        <v/>
      </c>
      <c r="C61" s="117" t="str">
        <f>IF($A61="","",INDEX(Assessment!$D:$D,$A61))</f>
        <v/>
      </c>
      <c r="D61" s="117" t="str">
        <f>IF($A61="","",INDEX(Assessment!$E:$E,$A61))</f>
        <v/>
      </c>
      <c r="E61" s="117" t="str">
        <f>IF($A61="","",INDEX(Assessment!$G:$G,$A61))</f>
        <v/>
      </c>
      <c r="F61" s="117" t="str">
        <f>IF($A61="","",INDEX(Assessment!$H:$H,$A61))</f>
        <v/>
      </c>
      <c r="G61" s="38" t="str">
        <f>IF($A61="","",INDEX(Assessment!$I:$I,$A61))</f>
        <v/>
      </c>
      <c r="H61" s="118"/>
      <c r="I61" s="118"/>
      <c r="J61" s="118"/>
    </row>
    <row r="62" spans="1:10" ht="48" customHeight="1" x14ac:dyDescent="0.25">
      <c r="A62" s="116" t="str">
        <f>IFERROR(MATCH(58,Assessment!$O:$O,0),"")</f>
        <v/>
      </c>
      <c r="B62" s="119" t="str">
        <f>IF($A62="","",INDEX(Assessment!$B:$B,$A62))</f>
        <v/>
      </c>
      <c r="C62" s="119" t="str">
        <f>IF($A62="","",INDEX(Assessment!$D:$D,$A62))</f>
        <v/>
      </c>
      <c r="D62" s="119" t="str">
        <f>IF($A62="","",INDEX(Assessment!$E:$E,$A62))</f>
        <v/>
      </c>
      <c r="E62" s="119" t="str">
        <f>IF($A62="","",INDEX(Assessment!$G:$G,$A62))</f>
        <v/>
      </c>
      <c r="F62" s="119" t="str">
        <f>IF($A62="","",INDEX(Assessment!$H:$H,$A62))</f>
        <v/>
      </c>
      <c r="G62" s="120" t="str">
        <f>IF($A62="","",INDEX(Assessment!$I:$I,$A62))</f>
        <v/>
      </c>
      <c r="H62" s="118"/>
      <c r="I62" s="118"/>
      <c r="J62" s="118"/>
    </row>
    <row r="63" spans="1:10" ht="48" customHeight="1" x14ac:dyDescent="0.25">
      <c r="A63" s="116" t="str">
        <f>IFERROR(MATCH(59,Assessment!$O:$O,0),"")</f>
        <v/>
      </c>
      <c r="B63" s="117" t="str">
        <f>IF($A63="","",INDEX(Assessment!$B:$B,$A63))</f>
        <v/>
      </c>
      <c r="C63" s="117" t="str">
        <f>IF($A63="","",INDEX(Assessment!$D:$D,$A63))</f>
        <v/>
      </c>
      <c r="D63" s="117" t="str">
        <f>IF($A63="","",INDEX(Assessment!$E:$E,$A63))</f>
        <v/>
      </c>
      <c r="E63" s="117" t="str">
        <f>IF($A63="","",INDEX(Assessment!$G:$G,$A63))</f>
        <v/>
      </c>
      <c r="F63" s="117" t="str">
        <f>IF($A63="","",INDEX(Assessment!$H:$H,$A63))</f>
        <v/>
      </c>
      <c r="G63" s="38" t="str">
        <f>IF($A63="","",INDEX(Assessment!$I:$I,$A63))</f>
        <v/>
      </c>
      <c r="H63" s="118"/>
      <c r="I63" s="118"/>
      <c r="J63" s="118"/>
    </row>
    <row r="64" spans="1:10" ht="48" customHeight="1" x14ac:dyDescent="0.25">
      <c r="A64" s="116" t="str">
        <f>IFERROR(MATCH(60,Assessment!$O:$O,0),"")</f>
        <v/>
      </c>
      <c r="B64" s="119" t="str">
        <f>IF($A64="","",INDEX(Assessment!$B:$B,$A64))</f>
        <v/>
      </c>
      <c r="C64" s="119" t="str">
        <f>IF($A64="","",INDEX(Assessment!$D:$D,$A64))</f>
        <v/>
      </c>
      <c r="D64" s="119" t="str">
        <f>IF($A64="","",INDEX(Assessment!$E:$E,$A64))</f>
        <v/>
      </c>
      <c r="E64" s="119" t="str">
        <f>IF($A64="","",INDEX(Assessment!$G:$G,$A64))</f>
        <v/>
      </c>
      <c r="F64" s="119" t="str">
        <f>IF($A64="","",INDEX(Assessment!$H:$H,$A64))</f>
        <v/>
      </c>
      <c r="G64" s="120" t="str">
        <f>IF($A64="","",INDEX(Assessment!$I:$I,$A64))</f>
        <v/>
      </c>
      <c r="H64" s="118"/>
      <c r="I64" s="118"/>
      <c r="J64" s="118"/>
    </row>
    <row r="65" spans="1:10" ht="48" customHeight="1" x14ac:dyDescent="0.25">
      <c r="A65" s="116" t="str">
        <f>IFERROR(MATCH(61,Assessment!$O:$O,0),"")</f>
        <v/>
      </c>
      <c r="B65" s="117" t="str">
        <f>IF($A65="","",INDEX(Assessment!$B:$B,$A65))</f>
        <v/>
      </c>
      <c r="C65" s="117" t="str">
        <f>IF($A65="","",INDEX(Assessment!$D:$D,$A65))</f>
        <v/>
      </c>
      <c r="D65" s="117" t="str">
        <f>IF($A65="","",INDEX(Assessment!$E:$E,$A65))</f>
        <v/>
      </c>
      <c r="E65" s="117" t="str">
        <f>IF($A65="","",INDEX(Assessment!$G:$G,$A65))</f>
        <v/>
      </c>
      <c r="F65" s="117" t="str">
        <f>IF($A65="","",INDEX(Assessment!$H:$H,$A65))</f>
        <v/>
      </c>
      <c r="G65" s="38" t="str">
        <f>IF($A65="","",INDEX(Assessment!$I:$I,$A65))</f>
        <v/>
      </c>
      <c r="H65" s="118"/>
      <c r="I65" s="118"/>
      <c r="J65" s="118"/>
    </row>
    <row r="66" spans="1:10" ht="48" customHeight="1" x14ac:dyDescent="0.25">
      <c r="A66" s="116" t="str">
        <f>IFERROR(MATCH(62,Assessment!$O:$O,0),"")</f>
        <v/>
      </c>
      <c r="B66" s="119" t="str">
        <f>IF($A66="","",INDEX(Assessment!$B:$B,$A66))</f>
        <v/>
      </c>
      <c r="C66" s="119" t="str">
        <f>IF($A66="","",INDEX(Assessment!$D:$D,$A66))</f>
        <v/>
      </c>
      <c r="D66" s="119" t="str">
        <f>IF($A66="","",INDEX(Assessment!$E:$E,$A66))</f>
        <v/>
      </c>
      <c r="E66" s="119" t="str">
        <f>IF($A66="","",INDEX(Assessment!$G:$G,$A66))</f>
        <v/>
      </c>
      <c r="F66" s="119" t="str">
        <f>IF($A66="","",INDEX(Assessment!$H:$H,$A66))</f>
        <v/>
      </c>
      <c r="G66" s="120" t="str">
        <f>IF($A66="","",INDEX(Assessment!$I:$I,$A66))</f>
        <v/>
      </c>
      <c r="H66" s="118"/>
      <c r="I66" s="118"/>
      <c r="J66" s="118"/>
    </row>
    <row r="67" spans="1:10" ht="48" customHeight="1" x14ac:dyDescent="0.25">
      <c r="A67" s="116" t="str">
        <f>IFERROR(MATCH(63,Assessment!$O:$O,0),"")</f>
        <v/>
      </c>
      <c r="B67" s="117" t="str">
        <f>IF($A67="","",INDEX(Assessment!$B:$B,$A67))</f>
        <v/>
      </c>
      <c r="C67" s="117" t="str">
        <f>IF($A67="","",INDEX(Assessment!$D:$D,$A67))</f>
        <v/>
      </c>
      <c r="D67" s="117" t="str">
        <f>IF($A67="","",INDEX(Assessment!$E:$E,$A67))</f>
        <v/>
      </c>
      <c r="E67" s="117" t="str">
        <f>IF($A67="","",INDEX(Assessment!$G:$G,$A67))</f>
        <v/>
      </c>
      <c r="F67" s="117" t="str">
        <f>IF($A67="","",INDEX(Assessment!$H:$H,$A67))</f>
        <v/>
      </c>
      <c r="G67" s="38" t="str">
        <f>IF($A67="","",INDEX(Assessment!$I:$I,$A67))</f>
        <v/>
      </c>
      <c r="H67" s="118"/>
      <c r="I67" s="118"/>
      <c r="J67" s="118"/>
    </row>
    <row r="68" spans="1:10" ht="48" customHeight="1" x14ac:dyDescent="0.25">
      <c r="A68" s="116" t="str">
        <f>IFERROR(MATCH(64,Assessment!$O:$O,0),"")</f>
        <v/>
      </c>
      <c r="B68" s="119" t="str">
        <f>IF($A68="","",INDEX(Assessment!$B:$B,$A68))</f>
        <v/>
      </c>
      <c r="C68" s="119" t="str">
        <f>IF($A68="","",INDEX(Assessment!$D:$D,$A68))</f>
        <v/>
      </c>
      <c r="D68" s="119" t="str">
        <f>IF($A68="","",INDEX(Assessment!$E:$E,$A68))</f>
        <v/>
      </c>
      <c r="E68" s="119" t="str">
        <f>IF($A68="","",INDEX(Assessment!$G:$G,$A68))</f>
        <v/>
      </c>
      <c r="F68" s="119" t="str">
        <f>IF($A68="","",INDEX(Assessment!$H:$H,$A68))</f>
        <v/>
      </c>
      <c r="G68" s="120" t="str">
        <f>IF($A68="","",INDEX(Assessment!$I:$I,$A68))</f>
        <v/>
      </c>
      <c r="H68" s="118"/>
      <c r="I68" s="118"/>
      <c r="J68" s="118"/>
    </row>
    <row r="69" spans="1:10" ht="48" customHeight="1" x14ac:dyDescent="0.25">
      <c r="A69" s="116" t="str">
        <f>IFERROR(MATCH(65,Assessment!$O:$O,0),"")</f>
        <v/>
      </c>
      <c r="B69" s="117" t="str">
        <f>IF($A69="","",INDEX(Assessment!$B:$B,$A69))</f>
        <v/>
      </c>
      <c r="C69" s="117" t="str">
        <f>IF($A69="","",INDEX(Assessment!$D:$D,$A69))</f>
        <v/>
      </c>
      <c r="D69" s="117" t="str">
        <f>IF($A69="","",INDEX(Assessment!$E:$E,$A69))</f>
        <v/>
      </c>
      <c r="E69" s="117" t="str">
        <f>IF($A69="","",INDEX(Assessment!$G:$G,$A69))</f>
        <v/>
      </c>
      <c r="F69" s="117" t="str">
        <f>IF($A69="","",INDEX(Assessment!$H:$H,$A69))</f>
        <v/>
      </c>
      <c r="G69" s="38" t="str">
        <f>IF($A69="","",INDEX(Assessment!$I:$I,$A69))</f>
        <v/>
      </c>
      <c r="H69" s="118"/>
      <c r="I69" s="118"/>
      <c r="J69" s="118"/>
    </row>
    <row r="70" spans="1:10" ht="48" customHeight="1" x14ac:dyDescent="0.25">
      <c r="A70" s="116" t="str">
        <f>IFERROR(MATCH(66,Assessment!$O:$O,0),"")</f>
        <v/>
      </c>
      <c r="B70" s="119" t="str">
        <f>IF($A70="","",INDEX(Assessment!$B:$B,$A70))</f>
        <v/>
      </c>
      <c r="C70" s="119" t="str">
        <f>IF($A70="","",INDEX(Assessment!$D:$D,$A70))</f>
        <v/>
      </c>
      <c r="D70" s="119" t="str">
        <f>IF($A70="","",INDEX(Assessment!$E:$E,$A70))</f>
        <v/>
      </c>
      <c r="E70" s="119" t="str">
        <f>IF($A70="","",INDEX(Assessment!$G:$G,$A70))</f>
        <v/>
      </c>
      <c r="F70" s="119" t="str">
        <f>IF($A70="","",INDEX(Assessment!$H:$H,$A70))</f>
        <v/>
      </c>
      <c r="G70" s="120" t="str">
        <f>IF($A70="","",INDEX(Assessment!$I:$I,$A70))</f>
        <v/>
      </c>
      <c r="H70" s="118"/>
      <c r="I70" s="118"/>
      <c r="J70" s="118"/>
    </row>
    <row r="71" spans="1:10" ht="48" customHeight="1" x14ac:dyDescent="0.25">
      <c r="A71" s="116" t="str">
        <f>IFERROR(MATCH(67,Assessment!$O:$O,0),"")</f>
        <v/>
      </c>
      <c r="B71" s="117" t="str">
        <f>IF($A71="","",INDEX(Assessment!$B:$B,$A71))</f>
        <v/>
      </c>
      <c r="C71" s="117" t="str">
        <f>IF($A71="","",INDEX(Assessment!$D:$D,$A71))</f>
        <v/>
      </c>
      <c r="D71" s="117" t="str">
        <f>IF($A71="","",INDEX(Assessment!$E:$E,$A71))</f>
        <v/>
      </c>
      <c r="E71" s="117" t="str">
        <f>IF($A71="","",INDEX(Assessment!$G:$G,$A71))</f>
        <v/>
      </c>
      <c r="F71" s="117" t="str">
        <f>IF($A71="","",INDEX(Assessment!$H:$H,$A71))</f>
        <v/>
      </c>
      <c r="G71" s="38" t="str">
        <f>IF($A71="","",INDEX(Assessment!$I:$I,$A71))</f>
        <v/>
      </c>
      <c r="H71" s="118"/>
      <c r="I71" s="118"/>
      <c r="J71" s="118"/>
    </row>
    <row r="72" spans="1:10" ht="48" customHeight="1" x14ac:dyDescent="0.25">
      <c r="A72" s="116" t="str">
        <f>IFERROR(MATCH(68,Assessment!$O:$O,0),"")</f>
        <v/>
      </c>
      <c r="B72" s="119" t="str">
        <f>IF($A72="","",INDEX(Assessment!$B:$B,$A72))</f>
        <v/>
      </c>
      <c r="C72" s="119" t="str">
        <f>IF($A72="","",INDEX(Assessment!$D:$D,$A72))</f>
        <v/>
      </c>
      <c r="D72" s="119" t="str">
        <f>IF($A72="","",INDEX(Assessment!$E:$E,$A72))</f>
        <v/>
      </c>
      <c r="E72" s="119" t="str">
        <f>IF($A72="","",INDEX(Assessment!$G:$G,$A72))</f>
        <v/>
      </c>
      <c r="F72" s="119" t="str">
        <f>IF($A72="","",INDEX(Assessment!$H:$H,$A72))</f>
        <v/>
      </c>
      <c r="G72" s="120" t="str">
        <f>IF($A72="","",INDEX(Assessment!$I:$I,$A72))</f>
        <v/>
      </c>
      <c r="H72" s="118"/>
      <c r="I72" s="118"/>
      <c r="J72" s="118"/>
    </row>
    <row r="73" spans="1:10" ht="48" customHeight="1" x14ac:dyDescent="0.25">
      <c r="A73" s="116" t="str">
        <f>IFERROR(MATCH(69,Assessment!$O:$O,0),"")</f>
        <v/>
      </c>
      <c r="B73" s="117" t="str">
        <f>IF($A73="","",INDEX(Assessment!$B:$B,$A73))</f>
        <v/>
      </c>
      <c r="C73" s="117" t="str">
        <f>IF($A73="","",INDEX(Assessment!$D:$D,$A73))</f>
        <v/>
      </c>
      <c r="D73" s="117" t="str">
        <f>IF($A73="","",INDEX(Assessment!$E:$E,$A73))</f>
        <v/>
      </c>
      <c r="E73" s="117" t="str">
        <f>IF($A73="","",INDEX(Assessment!$G:$G,$A73))</f>
        <v/>
      </c>
      <c r="F73" s="117" t="str">
        <f>IF($A73="","",INDEX(Assessment!$H:$H,$A73))</f>
        <v/>
      </c>
      <c r="G73" s="38" t="str">
        <f>IF($A73="","",INDEX(Assessment!$I:$I,$A73))</f>
        <v/>
      </c>
      <c r="H73" s="118"/>
      <c r="I73" s="118"/>
      <c r="J73" s="118"/>
    </row>
    <row r="74" spans="1:10" ht="48" customHeight="1" x14ac:dyDescent="0.25">
      <c r="A74" s="116" t="str">
        <f>IFERROR(MATCH(70,Assessment!$O:$O,0),"")</f>
        <v/>
      </c>
      <c r="B74" s="119" t="str">
        <f>IF($A74="","",INDEX(Assessment!$B:$B,$A74))</f>
        <v/>
      </c>
      <c r="C74" s="119" t="str">
        <f>IF($A74="","",INDEX(Assessment!$D:$D,$A74))</f>
        <v/>
      </c>
      <c r="D74" s="119" t="str">
        <f>IF($A74="","",INDEX(Assessment!$E:$E,$A74))</f>
        <v/>
      </c>
      <c r="E74" s="119" t="str">
        <f>IF($A74="","",INDEX(Assessment!$G:$G,$A74))</f>
        <v/>
      </c>
      <c r="F74" s="119" t="str">
        <f>IF($A74="","",INDEX(Assessment!$H:$H,$A74))</f>
        <v/>
      </c>
      <c r="G74" s="120" t="str">
        <f>IF($A74="","",INDEX(Assessment!$I:$I,$A74))</f>
        <v/>
      </c>
      <c r="H74" s="118"/>
      <c r="I74" s="118"/>
      <c r="J74" s="118"/>
    </row>
    <row r="75" spans="1:10" ht="48" customHeight="1" x14ac:dyDescent="0.25">
      <c r="A75" s="116" t="str">
        <f>IFERROR(MATCH(71,Assessment!$O:$O,0),"")</f>
        <v/>
      </c>
      <c r="B75" s="117" t="str">
        <f>IF($A75="","",INDEX(Assessment!$B:$B,$A75))</f>
        <v/>
      </c>
      <c r="C75" s="117" t="str">
        <f>IF($A75="","",INDEX(Assessment!$D:$D,$A75))</f>
        <v/>
      </c>
      <c r="D75" s="117" t="str">
        <f>IF($A75="","",INDEX(Assessment!$E:$E,$A75))</f>
        <v/>
      </c>
      <c r="E75" s="117" t="str">
        <f>IF($A75="","",INDEX(Assessment!$G:$G,$A75))</f>
        <v/>
      </c>
      <c r="F75" s="117" t="str">
        <f>IF($A75="","",INDEX(Assessment!$H:$H,$A75))</f>
        <v/>
      </c>
      <c r="G75" s="38" t="str">
        <f>IF($A75="","",INDEX(Assessment!$I:$I,$A75))</f>
        <v/>
      </c>
      <c r="H75" s="118"/>
      <c r="I75" s="118"/>
      <c r="J75" s="118"/>
    </row>
    <row r="76" spans="1:10" ht="48" customHeight="1" x14ac:dyDescent="0.25">
      <c r="A76" s="116" t="str">
        <f>IFERROR(MATCH(72,Assessment!$O:$O,0),"")</f>
        <v/>
      </c>
      <c r="B76" s="119" t="str">
        <f>IF($A76="","",INDEX(Assessment!$B:$B,$A76))</f>
        <v/>
      </c>
      <c r="C76" s="119" t="str">
        <f>IF($A76="","",INDEX(Assessment!$D:$D,$A76))</f>
        <v/>
      </c>
      <c r="D76" s="119" t="str">
        <f>IF($A76="","",INDEX(Assessment!$E:$E,$A76))</f>
        <v/>
      </c>
      <c r="E76" s="119" t="str">
        <f>IF($A76="","",INDEX(Assessment!$G:$G,$A76))</f>
        <v/>
      </c>
      <c r="F76" s="119" t="str">
        <f>IF($A76="","",INDEX(Assessment!$H:$H,$A76))</f>
        <v/>
      </c>
      <c r="G76" s="120" t="str">
        <f>IF($A76="","",INDEX(Assessment!$I:$I,$A76))</f>
        <v/>
      </c>
      <c r="H76" s="118"/>
      <c r="I76" s="118"/>
      <c r="J76" s="118"/>
    </row>
    <row r="77" spans="1:10" ht="48" customHeight="1" x14ac:dyDescent="0.25">
      <c r="A77" s="116" t="str">
        <f>IFERROR(MATCH(73,Assessment!$O:$O,0),"")</f>
        <v/>
      </c>
      <c r="B77" s="117" t="str">
        <f>IF($A77="","",INDEX(Assessment!$B:$B,$A77))</f>
        <v/>
      </c>
      <c r="C77" s="117" t="str">
        <f>IF($A77="","",INDEX(Assessment!$D:$D,$A77))</f>
        <v/>
      </c>
      <c r="D77" s="117" t="str">
        <f>IF($A77="","",INDEX(Assessment!$E:$E,$A77))</f>
        <v/>
      </c>
      <c r="E77" s="117" t="str">
        <f>IF($A77="","",INDEX(Assessment!$G:$G,$A77))</f>
        <v/>
      </c>
      <c r="F77" s="117" t="str">
        <f>IF($A77="","",INDEX(Assessment!$H:$H,$A77))</f>
        <v/>
      </c>
      <c r="G77" s="38" t="str">
        <f>IF($A77="","",INDEX(Assessment!$I:$I,$A77))</f>
        <v/>
      </c>
      <c r="H77" s="118"/>
      <c r="I77" s="118"/>
      <c r="J77" s="118"/>
    </row>
    <row r="78" spans="1:10" ht="48" customHeight="1" x14ac:dyDescent="0.25">
      <c r="A78" s="116" t="str">
        <f>IFERROR(MATCH(74,Assessment!$O:$O,0),"")</f>
        <v/>
      </c>
      <c r="B78" s="119" t="str">
        <f>IF($A78="","",INDEX(Assessment!$B:$B,$A78))</f>
        <v/>
      </c>
      <c r="C78" s="119" t="str">
        <f>IF($A78="","",INDEX(Assessment!$D:$D,$A78))</f>
        <v/>
      </c>
      <c r="D78" s="119" t="str">
        <f>IF($A78="","",INDEX(Assessment!$E:$E,$A78))</f>
        <v/>
      </c>
      <c r="E78" s="119" t="str">
        <f>IF($A78="","",INDEX(Assessment!$G:$G,$A78))</f>
        <v/>
      </c>
      <c r="F78" s="119" t="str">
        <f>IF($A78="","",INDEX(Assessment!$H:$H,$A78))</f>
        <v/>
      </c>
      <c r="G78" s="120" t="str">
        <f>IF($A78="","",INDEX(Assessment!$I:$I,$A78))</f>
        <v/>
      </c>
      <c r="H78" s="118"/>
      <c r="I78" s="118"/>
      <c r="J78" s="118"/>
    </row>
    <row r="79" spans="1:10" ht="48" customHeight="1" x14ac:dyDescent="0.25">
      <c r="A79" s="116" t="str">
        <f>IFERROR(MATCH(75,Assessment!$O:$O,0),"")</f>
        <v/>
      </c>
      <c r="B79" s="117" t="str">
        <f>IF($A79="","",INDEX(Assessment!$B:$B,$A79))</f>
        <v/>
      </c>
      <c r="C79" s="117" t="str">
        <f>IF($A79="","",INDEX(Assessment!$D:$D,$A79))</f>
        <v/>
      </c>
      <c r="D79" s="117" t="str">
        <f>IF($A79="","",INDEX(Assessment!$E:$E,$A79))</f>
        <v/>
      </c>
      <c r="E79" s="117" t="str">
        <f>IF($A79="","",INDEX(Assessment!$G:$G,$A79))</f>
        <v/>
      </c>
      <c r="F79" s="117" t="str">
        <f>IF($A79="","",INDEX(Assessment!$H:$H,$A79))</f>
        <v/>
      </c>
      <c r="G79" s="38" t="str">
        <f>IF($A79="","",INDEX(Assessment!$I:$I,$A79))</f>
        <v/>
      </c>
      <c r="H79" s="118"/>
      <c r="I79" s="118"/>
      <c r="J79" s="118"/>
    </row>
    <row r="80" spans="1:10" ht="48" customHeight="1" x14ac:dyDescent="0.25">
      <c r="A80" s="116" t="str">
        <f>IFERROR(MATCH(76,Assessment!$O:$O,0),"")</f>
        <v/>
      </c>
      <c r="B80" s="119" t="str">
        <f>IF($A80="","",INDEX(Assessment!$B:$B,$A80))</f>
        <v/>
      </c>
      <c r="C80" s="119" t="str">
        <f>IF($A80="","",INDEX(Assessment!$D:$D,$A80))</f>
        <v/>
      </c>
      <c r="D80" s="119" t="str">
        <f>IF($A80="","",INDEX(Assessment!$E:$E,$A80))</f>
        <v/>
      </c>
      <c r="E80" s="119" t="str">
        <f>IF($A80="","",INDEX(Assessment!$G:$G,$A80))</f>
        <v/>
      </c>
      <c r="F80" s="119" t="str">
        <f>IF($A80="","",INDEX(Assessment!$H:$H,$A80))</f>
        <v/>
      </c>
      <c r="G80" s="120" t="str">
        <f>IF($A80="","",INDEX(Assessment!$I:$I,$A80))</f>
        <v/>
      </c>
      <c r="H80" s="118"/>
      <c r="I80" s="118"/>
      <c r="J80" s="118"/>
    </row>
    <row r="81" spans="1:10" ht="48" customHeight="1" x14ac:dyDescent="0.25">
      <c r="A81" s="116" t="str">
        <f>IFERROR(MATCH(77,Assessment!$O:$O,0),"")</f>
        <v/>
      </c>
      <c r="B81" s="117" t="str">
        <f>IF($A81="","",INDEX(Assessment!$B:$B,$A81))</f>
        <v/>
      </c>
      <c r="C81" s="117" t="str">
        <f>IF($A81="","",INDEX(Assessment!$D:$D,$A81))</f>
        <v/>
      </c>
      <c r="D81" s="117" t="str">
        <f>IF($A81="","",INDEX(Assessment!$E:$E,$A81))</f>
        <v/>
      </c>
      <c r="E81" s="117" t="str">
        <f>IF($A81="","",INDEX(Assessment!$G:$G,$A81))</f>
        <v/>
      </c>
      <c r="F81" s="117" t="str">
        <f>IF($A81="","",INDEX(Assessment!$H:$H,$A81))</f>
        <v/>
      </c>
      <c r="G81" s="38" t="str">
        <f>IF($A81="","",INDEX(Assessment!$I:$I,$A81))</f>
        <v/>
      </c>
      <c r="H81" s="118"/>
      <c r="I81" s="118"/>
      <c r="J81" s="118"/>
    </row>
    <row r="82" spans="1:10" ht="48" customHeight="1" x14ac:dyDescent="0.25">
      <c r="A82" s="116" t="str">
        <f>IFERROR(MATCH(78,Assessment!$O:$O,0),"")</f>
        <v/>
      </c>
      <c r="B82" s="119" t="str">
        <f>IF($A82="","",INDEX(Assessment!$B:$B,$A82))</f>
        <v/>
      </c>
      <c r="C82" s="119" t="str">
        <f>IF($A82="","",INDEX(Assessment!$D:$D,$A82))</f>
        <v/>
      </c>
      <c r="D82" s="119" t="str">
        <f>IF($A82="","",INDEX(Assessment!$E:$E,$A82))</f>
        <v/>
      </c>
      <c r="E82" s="119" t="str">
        <f>IF($A82="","",INDEX(Assessment!$G:$G,$A82))</f>
        <v/>
      </c>
      <c r="F82" s="119" t="str">
        <f>IF($A82="","",INDEX(Assessment!$H:$H,$A82))</f>
        <v/>
      </c>
      <c r="G82" s="120" t="str">
        <f>IF($A82="","",INDEX(Assessment!$I:$I,$A82))</f>
        <v/>
      </c>
      <c r="H82" s="118"/>
      <c r="I82" s="118"/>
      <c r="J82" s="118"/>
    </row>
    <row r="83" spans="1:10" ht="48" customHeight="1" x14ac:dyDescent="0.25">
      <c r="A83" s="116" t="str">
        <f>IFERROR(MATCH(79,Assessment!$O:$O,0),"")</f>
        <v/>
      </c>
      <c r="B83" s="117" t="str">
        <f>IF($A83="","",INDEX(Assessment!$B:$B,$A83))</f>
        <v/>
      </c>
      <c r="C83" s="117" t="str">
        <f>IF($A83="","",INDEX(Assessment!$D:$D,$A83))</f>
        <v/>
      </c>
      <c r="D83" s="117" t="str">
        <f>IF($A83="","",INDEX(Assessment!$E:$E,$A83))</f>
        <v/>
      </c>
      <c r="E83" s="117" t="str">
        <f>IF($A83="","",INDEX(Assessment!$G:$G,$A83))</f>
        <v/>
      </c>
      <c r="F83" s="117" t="str">
        <f>IF($A83="","",INDEX(Assessment!$H:$H,$A83))</f>
        <v/>
      </c>
      <c r="G83" s="38" t="str">
        <f>IF($A83="","",INDEX(Assessment!$I:$I,$A83))</f>
        <v/>
      </c>
      <c r="H83" s="118"/>
      <c r="I83" s="118"/>
      <c r="J83" s="118"/>
    </row>
    <row r="84" spans="1:10" ht="48" customHeight="1" x14ac:dyDescent="0.25">
      <c r="A84" s="116" t="str">
        <f>IFERROR(MATCH(80,Assessment!$O:$O,0),"")</f>
        <v/>
      </c>
      <c r="B84" s="119" t="str">
        <f>IF($A84="","",INDEX(Assessment!$B:$B,$A84))</f>
        <v/>
      </c>
      <c r="C84" s="119" t="str">
        <f>IF($A84="","",INDEX(Assessment!$D:$D,$A84))</f>
        <v/>
      </c>
      <c r="D84" s="119" t="str">
        <f>IF($A84="","",INDEX(Assessment!$E:$E,$A84))</f>
        <v/>
      </c>
      <c r="E84" s="119" t="str">
        <f>IF($A84="","",INDEX(Assessment!$G:$G,$A84))</f>
        <v/>
      </c>
      <c r="F84" s="119" t="str">
        <f>IF($A84="","",INDEX(Assessment!$H:$H,$A84))</f>
        <v/>
      </c>
      <c r="G84" s="120" t="str">
        <f>IF($A84="","",INDEX(Assessment!$I:$I,$A84))</f>
        <v/>
      </c>
      <c r="H84" s="118"/>
      <c r="I84" s="118"/>
      <c r="J84" s="118"/>
    </row>
    <row r="85" spans="1:10" ht="48" customHeight="1" x14ac:dyDescent="0.25">
      <c r="A85" s="116" t="str">
        <f>IFERROR(MATCH(81,Assessment!$O:$O,0),"")</f>
        <v/>
      </c>
      <c r="B85" s="117" t="str">
        <f>IF($A85="","",INDEX(Assessment!$B:$B,$A85))</f>
        <v/>
      </c>
      <c r="C85" s="117" t="str">
        <f>IF($A85="","",INDEX(Assessment!$D:$D,$A85))</f>
        <v/>
      </c>
      <c r="D85" s="117" t="str">
        <f>IF($A85="","",INDEX(Assessment!$E:$E,$A85))</f>
        <v/>
      </c>
      <c r="E85" s="117" t="str">
        <f>IF($A85="","",INDEX(Assessment!$G:$G,$A85))</f>
        <v/>
      </c>
      <c r="F85" s="117" t="str">
        <f>IF($A85="","",INDEX(Assessment!$H:$H,$A85))</f>
        <v/>
      </c>
      <c r="G85" s="38" t="str">
        <f>IF($A85="","",INDEX(Assessment!$I:$I,$A85))</f>
        <v/>
      </c>
      <c r="H85" s="118"/>
      <c r="I85" s="118"/>
      <c r="J85" s="118"/>
    </row>
    <row r="86" spans="1:10" ht="48" customHeight="1" x14ac:dyDescent="0.25">
      <c r="A86" s="116" t="str">
        <f>IFERROR(MATCH(82,Assessment!$O:$O,0),"")</f>
        <v/>
      </c>
      <c r="B86" s="119" t="str">
        <f>IF($A86="","",INDEX(Assessment!$B:$B,$A86))</f>
        <v/>
      </c>
      <c r="C86" s="119" t="str">
        <f>IF($A86="","",INDEX(Assessment!$D:$D,$A86))</f>
        <v/>
      </c>
      <c r="D86" s="119" t="str">
        <f>IF($A86="","",INDEX(Assessment!$E:$E,$A86))</f>
        <v/>
      </c>
      <c r="E86" s="119" t="str">
        <f>IF($A86="","",INDEX(Assessment!$G:$G,$A86))</f>
        <v/>
      </c>
      <c r="F86" s="119" t="str">
        <f>IF($A86="","",INDEX(Assessment!$H:$H,$A86))</f>
        <v/>
      </c>
      <c r="G86" s="120" t="str">
        <f>IF($A86="","",INDEX(Assessment!$I:$I,$A86))</f>
        <v/>
      </c>
      <c r="H86" s="118"/>
      <c r="I86" s="118"/>
      <c r="J86" s="118"/>
    </row>
    <row r="87" spans="1:10" ht="48" customHeight="1" x14ac:dyDescent="0.25">
      <c r="A87" s="116" t="str">
        <f>IFERROR(MATCH(83,Assessment!$O:$O,0),"")</f>
        <v/>
      </c>
      <c r="B87" s="117" t="str">
        <f>IF($A87="","",INDEX(Assessment!$B:$B,$A87))</f>
        <v/>
      </c>
      <c r="C87" s="117" t="str">
        <f>IF($A87="","",INDEX(Assessment!$D:$D,$A87))</f>
        <v/>
      </c>
      <c r="D87" s="117" t="str">
        <f>IF($A87="","",INDEX(Assessment!$E:$E,$A87))</f>
        <v/>
      </c>
      <c r="E87" s="117" t="str">
        <f>IF($A87="","",INDEX(Assessment!$G:$G,$A87))</f>
        <v/>
      </c>
      <c r="F87" s="117" t="str">
        <f>IF($A87="","",INDEX(Assessment!$H:$H,$A87))</f>
        <v/>
      </c>
      <c r="G87" s="38" t="str">
        <f>IF($A87="","",INDEX(Assessment!$I:$I,$A87))</f>
        <v/>
      </c>
      <c r="H87" s="118"/>
      <c r="I87" s="118"/>
      <c r="J87" s="118"/>
    </row>
    <row r="88" spans="1:10" ht="48" customHeight="1" x14ac:dyDescent="0.25">
      <c r="A88" s="116" t="str">
        <f>IFERROR(MATCH(84,Assessment!$O:$O,0),"")</f>
        <v/>
      </c>
      <c r="B88" s="119" t="str">
        <f>IF($A88="","",INDEX(Assessment!$B:$B,$A88))</f>
        <v/>
      </c>
      <c r="C88" s="119" t="str">
        <f>IF($A88="","",INDEX(Assessment!$D:$D,$A88))</f>
        <v/>
      </c>
      <c r="D88" s="119" t="str">
        <f>IF($A88="","",INDEX(Assessment!$E:$E,$A88))</f>
        <v/>
      </c>
      <c r="E88" s="119" t="str">
        <f>IF($A88="","",INDEX(Assessment!$G:$G,$A88))</f>
        <v/>
      </c>
      <c r="F88" s="119" t="str">
        <f>IF($A88="","",INDEX(Assessment!$H:$H,$A88))</f>
        <v/>
      </c>
      <c r="G88" s="120" t="str">
        <f>IF($A88="","",INDEX(Assessment!$I:$I,$A88))</f>
        <v/>
      </c>
      <c r="H88" s="118"/>
      <c r="I88" s="118"/>
      <c r="J88" s="118"/>
    </row>
    <row r="89" spans="1:10" ht="48" customHeight="1" x14ac:dyDescent="0.25">
      <c r="A89" s="116" t="str">
        <f>IFERROR(MATCH(85,Assessment!$O:$O,0),"")</f>
        <v/>
      </c>
      <c r="B89" s="117" t="str">
        <f>IF($A89="","",INDEX(Assessment!$B:$B,$A89))</f>
        <v/>
      </c>
      <c r="C89" s="117" t="str">
        <f>IF($A89="","",INDEX(Assessment!$D:$D,$A89))</f>
        <v/>
      </c>
      <c r="D89" s="117" t="str">
        <f>IF($A89="","",INDEX(Assessment!$E:$E,$A89))</f>
        <v/>
      </c>
      <c r="E89" s="117" t="str">
        <f>IF($A89="","",INDEX(Assessment!$G:$G,$A89))</f>
        <v/>
      </c>
      <c r="F89" s="117" t="str">
        <f>IF($A89="","",INDEX(Assessment!$H:$H,$A89))</f>
        <v/>
      </c>
      <c r="G89" s="38" t="str">
        <f>IF($A89="","",INDEX(Assessment!$I:$I,$A89))</f>
        <v/>
      </c>
      <c r="H89" s="118"/>
      <c r="I89" s="118"/>
      <c r="J89" s="118"/>
    </row>
    <row r="90" spans="1:10" ht="48" customHeight="1" x14ac:dyDescent="0.25">
      <c r="A90" s="116" t="str">
        <f>IFERROR(MATCH(86,Assessment!$O:$O,0),"")</f>
        <v/>
      </c>
      <c r="B90" s="119" t="str">
        <f>IF($A90="","",INDEX(Assessment!$B:$B,$A90))</f>
        <v/>
      </c>
      <c r="C90" s="119" t="str">
        <f>IF($A90="","",INDEX(Assessment!$D:$D,$A90))</f>
        <v/>
      </c>
      <c r="D90" s="119" t="str">
        <f>IF($A90="","",INDEX(Assessment!$E:$E,$A90))</f>
        <v/>
      </c>
      <c r="E90" s="119" t="str">
        <f>IF($A90="","",INDEX(Assessment!$G:$G,$A90))</f>
        <v/>
      </c>
      <c r="F90" s="119" t="str">
        <f>IF($A90="","",INDEX(Assessment!$H:$H,$A90))</f>
        <v/>
      </c>
      <c r="G90" s="120" t="str">
        <f>IF($A90="","",INDEX(Assessment!$I:$I,$A90))</f>
        <v/>
      </c>
      <c r="H90" s="118"/>
      <c r="I90" s="118"/>
      <c r="J90" s="118"/>
    </row>
    <row r="91" spans="1:10" ht="48" customHeight="1" x14ac:dyDescent="0.25">
      <c r="A91" s="116" t="str">
        <f>IFERROR(MATCH(87,Assessment!$O:$O,0),"")</f>
        <v/>
      </c>
      <c r="B91" s="117" t="str">
        <f>IF($A91="","",INDEX(Assessment!$B:$B,$A91))</f>
        <v/>
      </c>
      <c r="C91" s="117" t="str">
        <f>IF($A91="","",INDEX(Assessment!$D:$D,$A91))</f>
        <v/>
      </c>
      <c r="D91" s="117" t="str">
        <f>IF($A91="","",INDEX(Assessment!$E:$E,$A91))</f>
        <v/>
      </c>
      <c r="E91" s="117" t="str">
        <f>IF($A91="","",INDEX(Assessment!$G:$G,$A91))</f>
        <v/>
      </c>
      <c r="F91" s="117" t="str">
        <f>IF($A91="","",INDEX(Assessment!$H:$H,$A91))</f>
        <v/>
      </c>
      <c r="G91" s="38" t="str">
        <f>IF($A91="","",INDEX(Assessment!$I:$I,$A91))</f>
        <v/>
      </c>
      <c r="H91" s="118"/>
      <c r="I91" s="118"/>
      <c r="J91" s="118"/>
    </row>
    <row r="92" spans="1:10" ht="48" customHeight="1" x14ac:dyDescent="0.25">
      <c r="A92" s="116" t="str">
        <f>IFERROR(MATCH(88,Assessment!$O:$O,0),"")</f>
        <v/>
      </c>
      <c r="B92" s="119" t="str">
        <f>IF($A92="","",INDEX(Assessment!$B:$B,$A92))</f>
        <v/>
      </c>
      <c r="C92" s="119" t="str">
        <f>IF($A92="","",INDEX(Assessment!$D:$D,$A92))</f>
        <v/>
      </c>
      <c r="D92" s="119" t="str">
        <f>IF($A92="","",INDEX(Assessment!$E:$E,$A92))</f>
        <v/>
      </c>
      <c r="E92" s="119" t="str">
        <f>IF($A92="","",INDEX(Assessment!$G:$G,$A92))</f>
        <v/>
      </c>
      <c r="F92" s="119" t="str">
        <f>IF($A92="","",INDEX(Assessment!$H:$H,$A92))</f>
        <v/>
      </c>
      <c r="G92" s="120" t="str">
        <f>IF($A92="","",INDEX(Assessment!$I:$I,$A92))</f>
        <v/>
      </c>
      <c r="H92" s="118"/>
      <c r="I92" s="118"/>
      <c r="J92" s="118"/>
    </row>
    <row r="93" spans="1:10" ht="48" customHeight="1" x14ac:dyDescent="0.25">
      <c r="A93" s="116" t="str">
        <f>IFERROR(MATCH(89,Assessment!$O:$O,0),"")</f>
        <v/>
      </c>
      <c r="B93" s="117" t="str">
        <f>IF($A93="","",INDEX(Assessment!$B:$B,$A93))</f>
        <v/>
      </c>
      <c r="C93" s="117" t="str">
        <f>IF($A93="","",INDEX(Assessment!$D:$D,$A93))</f>
        <v/>
      </c>
      <c r="D93" s="117" t="str">
        <f>IF($A93="","",INDEX(Assessment!$E:$E,$A93))</f>
        <v/>
      </c>
      <c r="E93" s="117" t="str">
        <f>IF($A93="","",INDEX(Assessment!$G:$G,$A93))</f>
        <v/>
      </c>
      <c r="F93" s="117" t="str">
        <f>IF($A93="","",INDEX(Assessment!$H:$H,$A93))</f>
        <v/>
      </c>
      <c r="G93" s="38" t="str">
        <f>IF($A93="","",INDEX(Assessment!$I:$I,$A93))</f>
        <v/>
      </c>
      <c r="H93" s="118"/>
      <c r="I93" s="118"/>
      <c r="J93" s="118"/>
    </row>
    <row r="94" spans="1:10" ht="48" customHeight="1" x14ac:dyDescent="0.25">
      <c r="A94" s="116" t="str">
        <f>IFERROR(MATCH(90,Assessment!$O:$O,0),"")</f>
        <v/>
      </c>
      <c r="B94" s="119" t="str">
        <f>IF($A94="","",INDEX(Assessment!$B:$B,$A94))</f>
        <v/>
      </c>
      <c r="C94" s="119" t="str">
        <f>IF($A94="","",INDEX(Assessment!$D:$D,$A94))</f>
        <v/>
      </c>
      <c r="D94" s="119" t="str">
        <f>IF($A94="","",INDEX(Assessment!$E:$E,$A94))</f>
        <v/>
      </c>
      <c r="E94" s="119" t="str">
        <f>IF($A94="","",INDEX(Assessment!$G:$G,$A94))</f>
        <v/>
      </c>
      <c r="F94" s="119" t="str">
        <f>IF($A94="","",INDEX(Assessment!$H:$H,$A94))</f>
        <v/>
      </c>
      <c r="G94" s="120" t="str">
        <f>IF($A94="","",INDEX(Assessment!$I:$I,$A94))</f>
        <v/>
      </c>
      <c r="H94" s="118"/>
      <c r="I94" s="118"/>
      <c r="J94" s="118"/>
    </row>
    <row r="95" spans="1:10" ht="48" customHeight="1" x14ac:dyDescent="0.25">
      <c r="A95" s="116" t="str">
        <f>IFERROR(MATCH(91,Assessment!$O:$O,0),"")</f>
        <v/>
      </c>
      <c r="B95" s="117" t="str">
        <f>IF($A95="","",INDEX(Assessment!$B:$B,$A95))</f>
        <v/>
      </c>
      <c r="C95" s="117" t="str">
        <f>IF($A95="","",INDEX(Assessment!$D:$D,$A95))</f>
        <v/>
      </c>
      <c r="D95" s="117" t="str">
        <f>IF($A95="","",INDEX(Assessment!$E:$E,$A95))</f>
        <v/>
      </c>
      <c r="E95" s="117" t="str">
        <f>IF($A95="","",INDEX(Assessment!$G:$G,$A95))</f>
        <v/>
      </c>
      <c r="F95" s="117" t="str">
        <f>IF($A95="","",INDEX(Assessment!$H:$H,$A95))</f>
        <v/>
      </c>
      <c r="G95" s="38" t="str">
        <f>IF($A95="","",INDEX(Assessment!$I:$I,$A95))</f>
        <v/>
      </c>
      <c r="H95" s="118"/>
      <c r="I95" s="118"/>
      <c r="J95" s="118"/>
    </row>
    <row r="96" spans="1:10" ht="48" customHeight="1" x14ac:dyDescent="0.25">
      <c r="A96" s="116" t="str">
        <f>IFERROR(MATCH(92,Assessment!$O:$O,0),"")</f>
        <v/>
      </c>
      <c r="B96" s="119" t="str">
        <f>IF($A96="","",INDEX(Assessment!$B:$B,$A96))</f>
        <v/>
      </c>
      <c r="C96" s="119" t="str">
        <f>IF($A96="","",INDEX(Assessment!$D:$D,$A96))</f>
        <v/>
      </c>
      <c r="D96" s="119" t="str">
        <f>IF($A96="","",INDEX(Assessment!$E:$E,$A96))</f>
        <v/>
      </c>
      <c r="E96" s="119" t="str">
        <f>IF($A96="","",INDEX(Assessment!$G:$G,$A96))</f>
        <v/>
      </c>
      <c r="F96" s="119" t="str">
        <f>IF($A96="","",INDEX(Assessment!$H:$H,$A96))</f>
        <v/>
      </c>
      <c r="G96" s="120" t="str">
        <f>IF($A96="","",INDEX(Assessment!$I:$I,$A96))</f>
        <v/>
      </c>
      <c r="H96" s="118"/>
      <c r="I96" s="118"/>
      <c r="J96" s="118"/>
    </row>
    <row r="97" spans="1:10" ht="48" customHeight="1" x14ac:dyDescent="0.25">
      <c r="A97" s="116" t="str">
        <f>IFERROR(MATCH(93,Assessment!$O:$O,0),"")</f>
        <v/>
      </c>
      <c r="B97" s="117" t="str">
        <f>IF($A97="","",INDEX(Assessment!$B:$B,$A97))</f>
        <v/>
      </c>
      <c r="C97" s="117" t="str">
        <f>IF($A97="","",INDEX(Assessment!$D:$D,$A97))</f>
        <v/>
      </c>
      <c r="D97" s="117" t="str">
        <f>IF($A97="","",INDEX(Assessment!$E:$E,$A97))</f>
        <v/>
      </c>
      <c r="E97" s="117" t="str">
        <f>IF($A97="","",INDEX(Assessment!$G:$G,$A97))</f>
        <v/>
      </c>
      <c r="F97" s="117" t="str">
        <f>IF($A97="","",INDEX(Assessment!$H:$H,$A97))</f>
        <v/>
      </c>
      <c r="G97" s="38" t="str">
        <f>IF($A97="","",INDEX(Assessment!$I:$I,$A97))</f>
        <v/>
      </c>
      <c r="H97" s="118"/>
      <c r="I97" s="118"/>
      <c r="J97" s="118"/>
    </row>
    <row r="98" spans="1:10" ht="48" customHeight="1" x14ac:dyDescent="0.25">
      <c r="A98" s="116" t="str">
        <f>IFERROR(MATCH(94,Assessment!$O:$O,0),"")</f>
        <v/>
      </c>
      <c r="B98" s="119" t="str">
        <f>IF($A98="","",INDEX(Assessment!$B:$B,$A98))</f>
        <v/>
      </c>
      <c r="C98" s="119" t="str">
        <f>IF($A98="","",INDEX(Assessment!$D:$D,$A98))</f>
        <v/>
      </c>
      <c r="D98" s="119" t="str">
        <f>IF($A98="","",INDEX(Assessment!$E:$E,$A98))</f>
        <v/>
      </c>
      <c r="E98" s="119" t="str">
        <f>IF($A98="","",INDEX(Assessment!$G:$G,$A98))</f>
        <v/>
      </c>
      <c r="F98" s="119" t="str">
        <f>IF($A98="","",INDEX(Assessment!$H:$H,$A98))</f>
        <v/>
      </c>
      <c r="G98" s="120" t="str">
        <f>IF($A98="","",INDEX(Assessment!$I:$I,$A98))</f>
        <v/>
      </c>
      <c r="H98" s="118"/>
      <c r="I98" s="118"/>
      <c r="J98" s="118"/>
    </row>
    <row r="99" spans="1:10" ht="48" customHeight="1" x14ac:dyDescent="0.25">
      <c r="A99" s="116" t="str">
        <f>IFERROR(MATCH(95,Assessment!$O:$O,0),"")</f>
        <v/>
      </c>
      <c r="B99" s="117" t="str">
        <f>IF($A99="","",INDEX(Assessment!$B:$B,$A99))</f>
        <v/>
      </c>
      <c r="C99" s="117" t="str">
        <f>IF($A99="","",INDEX(Assessment!$D:$D,$A99))</f>
        <v/>
      </c>
      <c r="D99" s="117" t="str">
        <f>IF($A99="","",INDEX(Assessment!$E:$E,$A99))</f>
        <v/>
      </c>
      <c r="E99" s="117" t="str">
        <f>IF($A99="","",INDEX(Assessment!$G:$G,$A99))</f>
        <v/>
      </c>
      <c r="F99" s="117" t="str">
        <f>IF($A99="","",INDEX(Assessment!$H:$H,$A99))</f>
        <v/>
      </c>
      <c r="G99" s="38" t="str">
        <f>IF($A99="","",INDEX(Assessment!$I:$I,$A99))</f>
        <v/>
      </c>
      <c r="H99" s="118"/>
      <c r="I99" s="118"/>
      <c r="J99" s="118"/>
    </row>
    <row r="100" spans="1:10" ht="48" customHeight="1" x14ac:dyDescent="0.25">
      <c r="A100" s="116" t="str">
        <f>IFERROR(MATCH(96,Assessment!$O:$O,0),"")</f>
        <v/>
      </c>
      <c r="B100" s="119" t="str">
        <f>IF($A100="","",INDEX(Assessment!$B:$B,$A100))</f>
        <v/>
      </c>
      <c r="C100" s="119" t="str">
        <f>IF($A100="","",INDEX(Assessment!$D:$D,$A100))</f>
        <v/>
      </c>
      <c r="D100" s="119" t="str">
        <f>IF($A100="","",INDEX(Assessment!$E:$E,$A100))</f>
        <v/>
      </c>
      <c r="E100" s="119" t="str">
        <f>IF($A100="","",INDEX(Assessment!$G:$G,$A100))</f>
        <v/>
      </c>
      <c r="F100" s="119" t="str">
        <f>IF($A100="","",INDEX(Assessment!$H:$H,$A100))</f>
        <v/>
      </c>
      <c r="G100" s="120" t="str">
        <f>IF($A100="","",INDEX(Assessment!$I:$I,$A100))</f>
        <v/>
      </c>
      <c r="H100" s="118"/>
      <c r="I100" s="118"/>
      <c r="J100" s="118"/>
    </row>
    <row r="101" spans="1:10" ht="48" customHeight="1" x14ac:dyDescent="0.25">
      <c r="A101" s="116" t="str">
        <f>IFERROR(MATCH(97,Assessment!$O:$O,0),"")</f>
        <v/>
      </c>
      <c r="B101" s="117" t="str">
        <f>IF($A101="","",INDEX(Assessment!$B:$B,$A101))</f>
        <v/>
      </c>
      <c r="C101" s="117" t="str">
        <f>IF($A101="","",INDEX(Assessment!$D:$D,$A101))</f>
        <v/>
      </c>
      <c r="D101" s="117" t="str">
        <f>IF($A101="","",INDEX(Assessment!$E:$E,$A101))</f>
        <v/>
      </c>
      <c r="E101" s="117" t="str">
        <f>IF($A101="","",INDEX(Assessment!$G:$G,$A101))</f>
        <v/>
      </c>
      <c r="F101" s="117" t="str">
        <f>IF($A101="","",INDEX(Assessment!$H:$H,$A101))</f>
        <v/>
      </c>
      <c r="G101" s="38" t="str">
        <f>IF($A101="","",INDEX(Assessment!$I:$I,$A101))</f>
        <v/>
      </c>
      <c r="H101" s="118"/>
      <c r="I101" s="118"/>
      <c r="J101" s="118"/>
    </row>
    <row r="102" spans="1:10" ht="48" customHeight="1" x14ac:dyDescent="0.25">
      <c r="A102" s="116" t="str">
        <f>IFERROR(MATCH(98,Assessment!$O:$O,0),"")</f>
        <v/>
      </c>
      <c r="B102" s="119" t="str">
        <f>IF($A102="","",INDEX(Assessment!$B:$B,$A102))</f>
        <v/>
      </c>
      <c r="C102" s="119" t="str">
        <f>IF($A102="","",INDEX(Assessment!$D:$D,$A102))</f>
        <v/>
      </c>
      <c r="D102" s="119" t="str">
        <f>IF($A102="","",INDEX(Assessment!$E:$E,$A102))</f>
        <v/>
      </c>
      <c r="E102" s="119" t="str">
        <f>IF($A102="","",INDEX(Assessment!$G:$G,$A102))</f>
        <v/>
      </c>
      <c r="F102" s="119" t="str">
        <f>IF($A102="","",INDEX(Assessment!$H:$H,$A102))</f>
        <v/>
      </c>
      <c r="G102" s="120" t="str">
        <f>IF($A102="","",INDEX(Assessment!$I:$I,$A102))</f>
        <v/>
      </c>
      <c r="H102" s="118"/>
      <c r="I102" s="118"/>
      <c r="J102" s="118"/>
    </row>
    <row r="103" spans="1:10" ht="48" customHeight="1" x14ac:dyDescent="0.25">
      <c r="A103" s="116" t="str">
        <f>IFERROR(MATCH(99,Assessment!$O:$O,0),"")</f>
        <v/>
      </c>
      <c r="B103" s="117" t="str">
        <f>IF($A103="","",INDEX(Assessment!$B:$B,$A103))</f>
        <v/>
      </c>
      <c r="C103" s="117" t="str">
        <f>IF($A103="","",INDEX(Assessment!$D:$D,$A103))</f>
        <v/>
      </c>
      <c r="D103" s="117" t="str">
        <f>IF($A103="","",INDEX(Assessment!$E:$E,$A103))</f>
        <v/>
      </c>
      <c r="E103" s="117" t="str">
        <f>IF($A103="","",INDEX(Assessment!$G:$G,$A103))</f>
        <v/>
      </c>
      <c r="F103" s="117" t="str">
        <f>IF($A103="","",INDEX(Assessment!$H:$H,$A103))</f>
        <v/>
      </c>
      <c r="G103" s="38" t="str">
        <f>IF($A103="","",INDEX(Assessment!$I:$I,$A103))</f>
        <v/>
      </c>
      <c r="H103" s="118"/>
      <c r="I103" s="118"/>
      <c r="J103" s="118"/>
    </row>
    <row r="104" spans="1:10" ht="48" customHeight="1" x14ac:dyDescent="0.25">
      <c r="A104" s="116" t="str">
        <f>IFERROR(MATCH(100,Assessment!$O:$O,0),"")</f>
        <v/>
      </c>
      <c r="B104" s="119" t="str">
        <f>IF($A104="","",INDEX(Assessment!$B:$B,$A104))</f>
        <v/>
      </c>
      <c r="C104" s="119" t="str">
        <f>IF($A104="","",INDEX(Assessment!$D:$D,$A104))</f>
        <v/>
      </c>
      <c r="D104" s="119" t="str">
        <f>IF($A104="","",INDEX(Assessment!$E:$E,$A104))</f>
        <v/>
      </c>
      <c r="E104" s="119" t="str">
        <f>IF($A104="","",INDEX(Assessment!$G:$G,$A104))</f>
        <v/>
      </c>
      <c r="F104" s="119" t="str">
        <f>IF($A104="","",INDEX(Assessment!$H:$H,$A104))</f>
        <v/>
      </c>
      <c r="G104" s="120" t="str">
        <f>IF($A104="","",INDEX(Assessment!$I:$I,$A104))</f>
        <v/>
      </c>
      <c r="H104" s="118"/>
      <c r="I104" s="118"/>
      <c r="J104" s="118"/>
    </row>
    <row r="105" spans="1:10" ht="48" customHeight="1" x14ac:dyDescent="0.25">
      <c r="A105" s="116" t="str">
        <f>IFERROR(MATCH(101,Assessment!$O:$O,0),"")</f>
        <v/>
      </c>
      <c r="B105" s="117" t="str">
        <f>IF($A105="","",INDEX(Assessment!$B:$B,$A105))</f>
        <v/>
      </c>
      <c r="C105" s="117" t="str">
        <f>IF($A105="","",INDEX(Assessment!$D:$D,$A105))</f>
        <v/>
      </c>
      <c r="D105" s="117" t="str">
        <f>IF($A105="","",INDEX(Assessment!$E:$E,$A105))</f>
        <v/>
      </c>
      <c r="E105" s="117" t="str">
        <f>IF($A105="","",INDEX(Assessment!$G:$G,$A105))</f>
        <v/>
      </c>
      <c r="F105" s="117" t="str">
        <f>IF($A105="","",INDEX(Assessment!$H:$H,$A105))</f>
        <v/>
      </c>
      <c r="G105" s="38" t="str">
        <f>IF($A105="","",INDEX(Assessment!$I:$I,$A105))</f>
        <v/>
      </c>
      <c r="H105" s="118"/>
      <c r="I105" s="118"/>
      <c r="J105" s="118"/>
    </row>
    <row r="106" spans="1:10" ht="48" customHeight="1" x14ac:dyDescent="0.25">
      <c r="A106" s="116" t="str">
        <f>IFERROR(MATCH(102,Assessment!$O:$O,0),"")</f>
        <v/>
      </c>
      <c r="B106" s="119" t="str">
        <f>IF($A106="","",INDEX(Assessment!$B:$B,$A106))</f>
        <v/>
      </c>
      <c r="C106" s="119" t="str">
        <f>IF($A106="","",INDEX(Assessment!$D:$D,$A106))</f>
        <v/>
      </c>
      <c r="D106" s="119" t="str">
        <f>IF($A106="","",INDEX(Assessment!$E:$E,$A106))</f>
        <v/>
      </c>
      <c r="E106" s="119" t="str">
        <f>IF($A106="","",INDEX(Assessment!$G:$G,$A106))</f>
        <v/>
      </c>
      <c r="F106" s="119" t="str">
        <f>IF($A106="","",INDEX(Assessment!$H:$H,$A106))</f>
        <v/>
      </c>
      <c r="G106" s="120" t="str">
        <f>IF($A106="","",INDEX(Assessment!$I:$I,$A106))</f>
        <v/>
      </c>
      <c r="H106" s="118"/>
      <c r="I106" s="118"/>
      <c r="J106" s="118"/>
    </row>
    <row r="107" spans="1:10" ht="48" customHeight="1" x14ac:dyDescent="0.25">
      <c r="A107" s="116" t="str">
        <f>IFERROR(MATCH(103,Assessment!$O:$O,0),"")</f>
        <v/>
      </c>
      <c r="B107" s="117" t="str">
        <f>IF($A107="","",INDEX(Assessment!$B:$B,$A107))</f>
        <v/>
      </c>
      <c r="C107" s="117" t="str">
        <f>IF($A107="","",INDEX(Assessment!$D:$D,$A107))</f>
        <v/>
      </c>
      <c r="D107" s="117" t="str">
        <f>IF($A107="","",INDEX(Assessment!$E:$E,$A107))</f>
        <v/>
      </c>
      <c r="E107" s="117" t="str">
        <f>IF($A107="","",INDEX(Assessment!$G:$G,$A107))</f>
        <v/>
      </c>
      <c r="F107" s="117" t="str">
        <f>IF($A107="","",INDEX(Assessment!$H:$H,$A107))</f>
        <v/>
      </c>
      <c r="G107" s="38" t="str">
        <f>IF($A107="","",INDEX(Assessment!$I:$I,$A107))</f>
        <v/>
      </c>
      <c r="H107" s="118"/>
      <c r="I107" s="118"/>
      <c r="J107" s="118"/>
    </row>
    <row r="108" spans="1:10" ht="48" customHeight="1" x14ac:dyDescent="0.25">
      <c r="A108" s="116" t="str">
        <f>IFERROR(MATCH(104,Assessment!$O:$O,0),"")</f>
        <v/>
      </c>
      <c r="B108" s="119" t="str">
        <f>IF($A108="","",INDEX(Assessment!$B:$B,$A108))</f>
        <v/>
      </c>
      <c r="C108" s="119" t="str">
        <f>IF($A108="","",INDEX(Assessment!$D:$D,$A108))</f>
        <v/>
      </c>
      <c r="D108" s="119" t="str">
        <f>IF($A108="","",INDEX(Assessment!$E:$E,$A108))</f>
        <v/>
      </c>
      <c r="E108" s="119" t="str">
        <f>IF($A108="","",INDEX(Assessment!$G:$G,$A108))</f>
        <v/>
      </c>
      <c r="F108" s="119" t="str">
        <f>IF($A108="","",INDEX(Assessment!$H:$H,$A108))</f>
        <v/>
      </c>
      <c r="G108" s="120" t="str">
        <f>IF($A108="","",INDEX(Assessment!$I:$I,$A108))</f>
        <v/>
      </c>
      <c r="H108" s="118"/>
      <c r="I108" s="118"/>
      <c r="J108" s="118"/>
    </row>
    <row r="109" spans="1:10" ht="48" customHeight="1" x14ac:dyDescent="0.25">
      <c r="A109" s="116" t="str">
        <f>IFERROR(MATCH(105,Assessment!$O:$O,0),"")</f>
        <v/>
      </c>
      <c r="B109" s="117" t="str">
        <f>IF($A109="","",INDEX(Assessment!$B:$B,$A109))</f>
        <v/>
      </c>
      <c r="C109" s="117" t="str">
        <f>IF($A109="","",INDEX(Assessment!$D:$D,$A109))</f>
        <v/>
      </c>
      <c r="D109" s="117" t="str">
        <f>IF($A109="","",INDEX(Assessment!$E:$E,$A109))</f>
        <v/>
      </c>
      <c r="E109" s="117" t="str">
        <f>IF($A109="","",INDEX(Assessment!$G:$G,$A109))</f>
        <v/>
      </c>
      <c r="F109" s="117" t="str">
        <f>IF($A109="","",INDEX(Assessment!$H:$H,$A109))</f>
        <v/>
      </c>
      <c r="G109" s="38" t="str">
        <f>IF($A109="","",INDEX(Assessment!$I:$I,$A109))</f>
        <v/>
      </c>
      <c r="H109" s="118"/>
      <c r="I109" s="118"/>
      <c r="J109" s="118"/>
    </row>
    <row r="110" spans="1:10" ht="48" customHeight="1" x14ac:dyDescent="0.25">
      <c r="A110" s="116" t="str">
        <f>IFERROR(MATCH(106,Assessment!$O:$O,0),"")</f>
        <v/>
      </c>
      <c r="B110" s="119" t="str">
        <f>IF($A110="","",INDEX(Assessment!$B:$B,$A110))</f>
        <v/>
      </c>
      <c r="C110" s="119" t="str">
        <f>IF($A110="","",INDEX(Assessment!$D:$D,$A110))</f>
        <v/>
      </c>
      <c r="D110" s="119" t="str">
        <f>IF($A110="","",INDEX(Assessment!$E:$E,$A110))</f>
        <v/>
      </c>
      <c r="E110" s="119" t="str">
        <f>IF($A110="","",INDEX(Assessment!$G:$G,$A110))</f>
        <v/>
      </c>
      <c r="F110" s="119" t="str">
        <f>IF($A110="","",INDEX(Assessment!$H:$H,$A110))</f>
        <v/>
      </c>
      <c r="G110" s="120" t="str">
        <f>IF($A110="","",INDEX(Assessment!$I:$I,$A110))</f>
        <v/>
      </c>
      <c r="H110" s="118"/>
      <c r="I110" s="118"/>
      <c r="J110" s="118"/>
    </row>
    <row r="111" spans="1:10" ht="48" customHeight="1" x14ac:dyDescent="0.25">
      <c r="A111" s="116" t="str">
        <f>IFERROR(MATCH(107,Assessment!$O:$O,0),"")</f>
        <v/>
      </c>
      <c r="B111" s="117" t="str">
        <f>IF($A111="","",INDEX(Assessment!$B:$B,$A111))</f>
        <v/>
      </c>
      <c r="C111" s="117" t="str">
        <f>IF($A111="","",INDEX(Assessment!$D:$D,$A111))</f>
        <v/>
      </c>
      <c r="D111" s="117" t="str">
        <f>IF($A111="","",INDEX(Assessment!$E:$E,$A111))</f>
        <v/>
      </c>
      <c r="E111" s="117" t="str">
        <f>IF($A111="","",INDEX(Assessment!$G:$G,$A111))</f>
        <v/>
      </c>
      <c r="F111" s="117" t="str">
        <f>IF($A111="","",INDEX(Assessment!$H:$H,$A111))</f>
        <v/>
      </c>
      <c r="G111" s="38" t="str">
        <f>IF($A111="","",INDEX(Assessment!$I:$I,$A111))</f>
        <v/>
      </c>
      <c r="H111" s="118"/>
      <c r="I111" s="118"/>
      <c r="J111" s="118"/>
    </row>
    <row r="112" spans="1:10" ht="48" customHeight="1" x14ac:dyDescent="0.25">
      <c r="A112" s="116" t="str">
        <f>IFERROR(MATCH(108,Assessment!$O:$O,0),"")</f>
        <v/>
      </c>
      <c r="B112" s="119" t="str">
        <f>IF($A112="","",INDEX(Assessment!$B:$B,$A112))</f>
        <v/>
      </c>
      <c r="C112" s="119" t="str">
        <f>IF($A112="","",INDEX(Assessment!$D:$D,$A112))</f>
        <v/>
      </c>
      <c r="D112" s="119" t="str">
        <f>IF($A112="","",INDEX(Assessment!$E:$E,$A112))</f>
        <v/>
      </c>
      <c r="E112" s="119" t="str">
        <f>IF($A112="","",INDEX(Assessment!$G:$G,$A112))</f>
        <v/>
      </c>
      <c r="F112" s="119" t="str">
        <f>IF($A112="","",INDEX(Assessment!$H:$H,$A112))</f>
        <v/>
      </c>
      <c r="G112" s="120" t="str">
        <f>IF($A112="","",INDEX(Assessment!$I:$I,$A112))</f>
        <v/>
      </c>
      <c r="H112" s="118"/>
      <c r="I112" s="118"/>
      <c r="J112" s="118"/>
    </row>
    <row r="113" spans="1:10" ht="48" customHeight="1" x14ac:dyDescent="0.25">
      <c r="A113" s="116" t="str">
        <f>IFERROR(MATCH(109,Assessment!$O:$O,0),"")</f>
        <v/>
      </c>
      <c r="B113" s="117" t="str">
        <f>IF($A113="","",INDEX(Assessment!$B:$B,$A113))</f>
        <v/>
      </c>
      <c r="C113" s="117" t="str">
        <f>IF($A113="","",INDEX(Assessment!$D:$D,$A113))</f>
        <v/>
      </c>
      <c r="D113" s="117" t="str">
        <f>IF($A113="","",INDEX(Assessment!$E:$E,$A113))</f>
        <v/>
      </c>
      <c r="E113" s="117" t="str">
        <f>IF($A113="","",INDEX(Assessment!$G:$G,$A113))</f>
        <v/>
      </c>
      <c r="F113" s="117" t="str">
        <f>IF($A113="","",INDEX(Assessment!$H:$H,$A113))</f>
        <v/>
      </c>
      <c r="G113" s="38" t="str">
        <f>IF($A113="","",INDEX(Assessment!$I:$I,$A113))</f>
        <v/>
      </c>
      <c r="H113" s="118"/>
      <c r="I113" s="118"/>
      <c r="J113" s="118"/>
    </row>
    <row r="114" spans="1:10" ht="48" customHeight="1" x14ac:dyDescent="0.25">
      <c r="A114" s="116" t="str">
        <f>IFERROR(MATCH(110,Assessment!$O:$O,0),"")</f>
        <v/>
      </c>
      <c r="B114" s="119" t="str">
        <f>IF($A114="","",INDEX(Assessment!$B:$B,$A114))</f>
        <v/>
      </c>
      <c r="C114" s="119" t="str">
        <f>IF($A114="","",INDEX(Assessment!$D:$D,$A114))</f>
        <v/>
      </c>
      <c r="D114" s="119" t="str">
        <f>IF($A114="","",INDEX(Assessment!$E:$E,$A114))</f>
        <v/>
      </c>
      <c r="E114" s="119" t="str">
        <f>IF($A114="","",INDEX(Assessment!$G:$G,$A114))</f>
        <v/>
      </c>
      <c r="F114" s="119" t="str">
        <f>IF($A114="","",INDEX(Assessment!$H:$H,$A114))</f>
        <v/>
      </c>
      <c r="G114" s="120" t="str">
        <f>IF($A114="","",INDEX(Assessment!$I:$I,$A114))</f>
        <v/>
      </c>
      <c r="H114" s="118"/>
      <c r="I114" s="118"/>
      <c r="J114" s="118"/>
    </row>
    <row r="115" spans="1:10" ht="48" customHeight="1" x14ac:dyDescent="0.25">
      <c r="A115" s="116" t="str">
        <f>IFERROR(MATCH(111,Assessment!$O:$O,0),"")</f>
        <v/>
      </c>
      <c r="B115" s="117" t="str">
        <f>IF($A115="","",INDEX(Assessment!$B:$B,$A115))</f>
        <v/>
      </c>
      <c r="C115" s="117" t="str">
        <f>IF($A115="","",INDEX(Assessment!$D:$D,$A115))</f>
        <v/>
      </c>
      <c r="D115" s="117" t="str">
        <f>IF($A115="","",INDEX(Assessment!$E:$E,$A115))</f>
        <v/>
      </c>
      <c r="E115" s="117" t="str">
        <f>IF($A115="","",INDEX(Assessment!$G:$G,$A115))</f>
        <v/>
      </c>
      <c r="F115" s="117" t="str">
        <f>IF($A115="","",INDEX(Assessment!$H:$H,$A115))</f>
        <v/>
      </c>
      <c r="G115" s="38" t="str">
        <f>IF($A115="","",INDEX(Assessment!$I:$I,$A115))</f>
        <v/>
      </c>
      <c r="H115" s="118"/>
      <c r="I115" s="118"/>
      <c r="J115" s="118"/>
    </row>
    <row r="116" spans="1:10" ht="48" customHeight="1" x14ac:dyDescent="0.25">
      <c r="A116" s="116" t="str">
        <f>IFERROR(MATCH(112,Assessment!$O:$O,0),"")</f>
        <v/>
      </c>
      <c r="B116" s="119" t="str">
        <f>IF($A116="","",INDEX(Assessment!$B:$B,$A116))</f>
        <v/>
      </c>
      <c r="C116" s="119" t="str">
        <f>IF($A116="","",INDEX(Assessment!$D:$D,$A116))</f>
        <v/>
      </c>
      <c r="D116" s="119" t="str">
        <f>IF($A116="","",INDEX(Assessment!$E:$E,$A116))</f>
        <v/>
      </c>
      <c r="E116" s="119" t="str">
        <f>IF($A116="","",INDEX(Assessment!$G:$G,$A116))</f>
        <v/>
      </c>
      <c r="F116" s="119" t="str">
        <f>IF($A116="","",INDEX(Assessment!$H:$H,$A116))</f>
        <v/>
      </c>
      <c r="G116" s="120" t="str">
        <f>IF($A116="","",INDEX(Assessment!$I:$I,$A116))</f>
        <v/>
      </c>
      <c r="H116" s="118"/>
      <c r="I116" s="118"/>
      <c r="J116" s="118"/>
    </row>
    <row r="117" spans="1:10" ht="48" customHeight="1" x14ac:dyDescent="0.25">
      <c r="A117" s="116" t="str">
        <f>IFERROR(MATCH(113,Assessment!$O:$O,0),"")</f>
        <v/>
      </c>
      <c r="B117" s="117" t="str">
        <f>IF($A117="","",INDEX(Assessment!$B:$B,$A117))</f>
        <v/>
      </c>
      <c r="C117" s="117" t="str">
        <f>IF($A117="","",INDEX(Assessment!$D:$D,$A117))</f>
        <v/>
      </c>
      <c r="D117" s="117" t="str">
        <f>IF($A117="","",INDEX(Assessment!$E:$E,$A117))</f>
        <v/>
      </c>
      <c r="E117" s="117" t="str">
        <f>IF($A117="","",INDEX(Assessment!$G:$G,$A117))</f>
        <v/>
      </c>
      <c r="F117" s="117" t="str">
        <f>IF($A117="","",INDEX(Assessment!$H:$H,$A117))</f>
        <v/>
      </c>
      <c r="G117" s="38" t="str">
        <f>IF($A117="","",INDEX(Assessment!$I:$I,$A117))</f>
        <v/>
      </c>
      <c r="H117" s="118"/>
      <c r="I117" s="118"/>
      <c r="J117" s="118"/>
    </row>
    <row r="118" spans="1:10" ht="48" customHeight="1" x14ac:dyDescent="0.25">
      <c r="A118" s="116" t="str">
        <f>IFERROR(MATCH(114,Assessment!$O:$O,0),"")</f>
        <v/>
      </c>
      <c r="B118" s="119" t="str">
        <f>IF($A118="","",INDEX(Assessment!$B:$B,$A118))</f>
        <v/>
      </c>
      <c r="C118" s="119" t="str">
        <f>IF($A118="","",INDEX(Assessment!$D:$D,$A118))</f>
        <v/>
      </c>
      <c r="D118" s="119" t="str">
        <f>IF($A118="","",INDEX(Assessment!$E:$E,$A118))</f>
        <v/>
      </c>
      <c r="E118" s="119" t="str">
        <f>IF($A118="","",INDEX(Assessment!$G:$G,$A118))</f>
        <v/>
      </c>
      <c r="F118" s="119" t="str">
        <f>IF($A118="","",INDEX(Assessment!$H:$H,$A118))</f>
        <v/>
      </c>
      <c r="G118" s="120" t="str">
        <f>IF($A118="","",INDEX(Assessment!$I:$I,$A118))</f>
        <v/>
      </c>
      <c r="H118" s="118"/>
      <c r="I118" s="118"/>
      <c r="J118" s="118"/>
    </row>
    <row r="119" spans="1:10" ht="48" customHeight="1" x14ac:dyDescent="0.25">
      <c r="A119" s="116" t="str">
        <f>IFERROR(MATCH(115,Assessment!$O:$O,0),"")</f>
        <v/>
      </c>
      <c r="B119" s="117" t="str">
        <f>IF($A119="","",INDEX(Assessment!$B:$B,$A119))</f>
        <v/>
      </c>
      <c r="C119" s="117" t="str">
        <f>IF($A119="","",INDEX(Assessment!$D:$D,$A119))</f>
        <v/>
      </c>
      <c r="D119" s="117" t="str">
        <f>IF($A119="","",INDEX(Assessment!$E:$E,$A119))</f>
        <v/>
      </c>
      <c r="E119" s="117" t="str">
        <f>IF($A119="","",INDEX(Assessment!$G:$G,$A119))</f>
        <v/>
      </c>
      <c r="F119" s="117" t="str">
        <f>IF($A119="","",INDEX(Assessment!$H:$H,$A119))</f>
        <v/>
      </c>
      <c r="G119" s="38" t="str">
        <f>IF($A119="","",INDEX(Assessment!$I:$I,$A119))</f>
        <v/>
      </c>
      <c r="H119" s="118"/>
      <c r="I119" s="118"/>
      <c r="J119" s="118"/>
    </row>
    <row r="120" spans="1:10" ht="48" customHeight="1" x14ac:dyDescent="0.25">
      <c r="A120" s="116" t="str">
        <f>IFERROR(MATCH(116,Assessment!$O:$O,0),"")</f>
        <v/>
      </c>
      <c r="B120" s="119" t="str">
        <f>IF($A120="","",INDEX(Assessment!$B:$B,$A120))</f>
        <v/>
      </c>
      <c r="C120" s="119" t="str">
        <f>IF($A120="","",INDEX(Assessment!$D:$D,$A120))</f>
        <v/>
      </c>
      <c r="D120" s="119" t="str">
        <f>IF($A120="","",INDEX(Assessment!$E:$E,$A120))</f>
        <v/>
      </c>
      <c r="E120" s="119" t="str">
        <f>IF($A120="","",INDEX(Assessment!$G:$G,$A120))</f>
        <v/>
      </c>
      <c r="F120" s="119" t="str">
        <f>IF($A120="","",INDEX(Assessment!$H:$H,$A120))</f>
        <v/>
      </c>
      <c r="G120" s="120" t="str">
        <f>IF($A120="","",INDEX(Assessment!$I:$I,$A120))</f>
        <v/>
      </c>
      <c r="H120" s="118"/>
      <c r="I120" s="118"/>
      <c r="J120" s="118"/>
    </row>
    <row r="121" spans="1:10" ht="48" customHeight="1" x14ac:dyDescent="0.25">
      <c r="A121" s="116" t="str">
        <f>IFERROR(MATCH(117,Assessment!$O:$O,0),"")</f>
        <v/>
      </c>
      <c r="B121" s="117" t="str">
        <f>IF($A121="","",INDEX(Assessment!$B:$B,$A121))</f>
        <v/>
      </c>
      <c r="C121" s="117" t="str">
        <f>IF($A121="","",INDEX(Assessment!$D:$D,$A121))</f>
        <v/>
      </c>
      <c r="D121" s="117" t="str">
        <f>IF($A121="","",INDEX(Assessment!$E:$E,$A121))</f>
        <v/>
      </c>
      <c r="E121" s="117" t="str">
        <f>IF($A121="","",INDEX(Assessment!$G:$G,$A121))</f>
        <v/>
      </c>
      <c r="F121" s="117" t="str">
        <f>IF($A121="","",INDEX(Assessment!$H:$H,$A121))</f>
        <v/>
      </c>
      <c r="G121" s="38" t="str">
        <f>IF($A121="","",INDEX(Assessment!$I:$I,$A121))</f>
        <v/>
      </c>
      <c r="H121" s="118"/>
      <c r="I121" s="118"/>
      <c r="J121" s="118"/>
    </row>
    <row r="122" spans="1:10" ht="48" customHeight="1" x14ac:dyDescent="0.25">
      <c r="A122" s="116" t="str">
        <f>IFERROR(MATCH(118,Assessment!$O:$O,0),"")</f>
        <v/>
      </c>
      <c r="B122" s="119" t="str">
        <f>IF($A122="","",INDEX(Assessment!$B:$B,$A122))</f>
        <v/>
      </c>
      <c r="C122" s="119" t="str">
        <f>IF($A122="","",INDEX(Assessment!$D:$D,$A122))</f>
        <v/>
      </c>
      <c r="D122" s="119" t="str">
        <f>IF($A122="","",INDEX(Assessment!$E:$E,$A122))</f>
        <v/>
      </c>
      <c r="E122" s="119" t="str">
        <f>IF($A122="","",INDEX(Assessment!$G:$G,$A122))</f>
        <v/>
      </c>
      <c r="F122" s="119" t="str">
        <f>IF($A122="","",INDEX(Assessment!$H:$H,$A122))</f>
        <v/>
      </c>
      <c r="G122" s="120" t="str">
        <f>IF($A122="","",INDEX(Assessment!$I:$I,$A122))</f>
        <v/>
      </c>
      <c r="H122" s="118"/>
      <c r="I122" s="118"/>
      <c r="J122" s="118"/>
    </row>
    <row r="123" spans="1:10" ht="48" customHeight="1" x14ac:dyDescent="0.25">
      <c r="A123" s="116" t="str">
        <f>IFERROR(MATCH(119,Assessment!$O:$O,0),"")</f>
        <v/>
      </c>
      <c r="B123" s="117" t="str">
        <f>IF($A123="","",INDEX(Assessment!$B:$B,$A123))</f>
        <v/>
      </c>
      <c r="C123" s="117" t="str">
        <f>IF($A123="","",INDEX(Assessment!$D:$D,$A123))</f>
        <v/>
      </c>
      <c r="D123" s="117" t="str">
        <f>IF($A123="","",INDEX(Assessment!$E:$E,$A123))</f>
        <v/>
      </c>
      <c r="E123" s="117" t="str">
        <f>IF($A123="","",INDEX(Assessment!$G:$G,$A123))</f>
        <v/>
      </c>
      <c r="F123" s="117" t="str">
        <f>IF($A123="","",INDEX(Assessment!$H:$H,$A123))</f>
        <v/>
      </c>
      <c r="G123" s="38" t="str">
        <f>IF($A123="","",INDEX(Assessment!$I:$I,$A123))</f>
        <v/>
      </c>
      <c r="H123" s="118"/>
      <c r="I123" s="118"/>
      <c r="J123" s="118"/>
    </row>
    <row r="124" spans="1:10" ht="48" customHeight="1" x14ac:dyDescent="0.25">
      <c r="A124" s="116" t="str">
        <f>IFERROR(MATCH(120,Assessment!$O:$O,0),"")</f>
        <v/>
      </c>
      <c r="B124" s="119" t="str">
        <f>IF($A124="","",INDEX(Assessment!$B:$B,$A124))</f>
        <v/>
      </c>
      <c r="C124" s="119" t="str">
        <f>IF($A124="","",INDEX(Assessment!$D:$D,$A124))</f>
        <v/>
      </c>
      <c r="D124" s="119" t="str">
        <f>IF($A124="","",INDEX(Assessment!$E:$E,$A124))</f>
        <v/>
      </c>
      <c r="E124" s="119" t="str">
        <f>IF($A124="","",INDEX(Assessment!$G:$G,$A124))</f>
        <v/>
      </c>
      <c r="F124" s="119" t="str">
        <f>IF($A124="","",INDEX(Assessment!$H:$H,$A124))</f>
        <v/>
      </c>
      <c r="G124" s="120" t="str">
        <f>IF($A124="","",INDEX(Assessment!$I:$I,$A124))</f>
        <v/>
      </c>
      <c r="H124" s="118"/>
      <c r="I124" s="118"/>
      <c r="J124" s="118"/>
    </row>
    <row r="125" spans="1:10" ht="48" customHeight="1" x14ac:dyDescent="0.25">
      <c r="A125" s="116" t="str">
        <f>IFERROR(MATCH(121,Assessment!$O:$O,0),"")</f>
        <v/>
      </c>
      <c r="B125" s="117" t="str">
        <f>IF($A125="","",INDEX(Assessment!$B:$B,$A125))</f>
        <v/>
      </c>
      <c r="C125" s="117" t="str">
        <f>IF($A125="","",INDEX(Assessment!$D:$D,$A125))</f>
        <v/>
      </c>
      <c r="D125" s="117" t="str">
        <f>IF($A125="","",INDEX(Assessment!$E:$E,$A125))</f>
        <v/>
      </c>
      <c r="E125" s="117" t="str">
        <f>IF($A125="","",INDEX(Assessment!$G:$G,$A125))</f>
        <v/>
      </c>
      <c r="F125" s="117" t="str">
        <f>IF($A125="","",INDEX(Assessment!$H:$H,$A125))</f>
        <v/>
      </c>
      <c r="G125" s="38" t="str">
        <f>IF($A125="","",INDEX(Assessment!$I:$I,$A125))</f>
        <v/>
      </c>
      <c r="H125" s="118"/>
      <c r="I125" s="118"/>
      <c r="J125" s="118"/>
    </row>
    <row r="126" spans="1:10" ht="48" customHeight="1" x14ac:dyDescent="0.25">
      <c r="A126" s="116" t="str">
        <f>IFERROR(MATCH(122,Assessment!$O:$O,0),"")</f>
        <v/>
      </c>
      <c r="B126" s="119" t="str">
        <f>IF($A126="","",INDEX(Assessment!$B:$B,$A126))</f>
        <v/>
      </c>
      <c r="C126" s="119" t="str">
        <f>IF($A126="","",INDEX(Assessment!$D:$D,$A126))</f>
        <v/>
      </c>
      <c r="D126" s="119" t="str">
        <f>IF($A126="","",INDEX(Assessment!$E:$E,$A126))</f>
        <v/>
      </c>
      <c r="E126" s="119" t="str">
        <f>IF($A126="","",INDEX(Assessment!$G:$G,$A126))</f>
        <v/>
      </c>
      <c r="F126" s="119" t="str">
        <f>IF($A126="","",INDEX(Assessment!$H:$H,$A126))</f>
        <v/>
      </c>
      <c r="G126" s="120" t="str">
        <f>IF($A126="","",INDEX(Assessment!$I:$I,$A126))</f>
        <v/>
      </c>
      <c r="H126" s="118"/>
      <c r="I126" s="118"/>
      <c r="J126" s="118"/>
    </row>
    <row r="127" spans="1:10" ht="48" customHeight="1" x14ac:dyDescent="0.25">
      <c r="A127" s="116" t="str">
        <f>IFERROR(MATCH(123,Assessment!$O:$O,0),"")</f>
        <v/>
      </c>
      <c r="B127" s="117" t="str">
        <f>IF($A127="","",INDEX(Assessment!$B:$B,$A127))</f>
        <v/>
      </c>
      <c r="C127" s="117" t="str">
        <f>IF($A127="","",INDEX(Assessment!$D:$D,$A127))</f>
        <v/>
      </c>
      <c r="D127" s="117" t="str">
        <f>IF($A127="","",INDEX(Assessment!$E:$E,$A127))</f>
        <v/>
      </c>
      <c r="E127" s="117" t="str">
        <f>IF($A127="","",INDEX(Assessment!$G:$G,$A127))</f>
        <v/>
      </c>
      <c r="F127" s="117" t="str">
        <f>IF($A127="","",INDEX(Assessment!$H:$H,$A127))</f>
        <v/>
      </c>
      <c r="G127" s="38" t="str">
        <f>IF($A127="","",INDEX(Assessment!$I:$I,$A127))</f>
        <v/>
      </c>
      <c r="H127" s="118"/>
      <c r="I127" s="118"/>
      <c r="J127" s="118"/>
    </row>
    <row r="128" spans="1:10" ht="48" customHeight="1" x14ac:dyDescent="0.25">
      <c r="A128" s="116" t="str">
        <f>IFERROR(MATCH(124,Assessment!$O:$O,0),"")</f>
        <v/>
      </c>
      <c r="B128" s="119" t="str">
        <f>IF($A128="","",INDEX(Assessment!$B:$B,$A128))</f>
        <v/>
      </c>
      <c r="C128" s="119" t="str">
        <f>IF($A128="","",INDEX(Assessment!$D:$D,$A128))</f>
        <v/>
      </c>
      <c r="D128" s="119" t="str">
        <f>IF($A128="","",INDEX(Assessment!$E:$E,$A128))</f>
        <v/>
      </c>
      <c r="E128" s="119" t="str">
        <f>IF($A128="","",INDEX(Assessment!$G:$G,$A128))</f>
        <v/>
      </c>
      <c r="F128" s="119" t="str">
        <f>IF($A128="","",INDEX(Assessment!$H:$H,$A128))</f>
        <v/>
      </c>
      <c r="G128" s="120" t="str">
        <f>IF($A128="","",INDEX(Assessment!$I:$I,$A128))</f>
        <v/>
      </c>
      <c r="H128" s="118"/>
      <c r="I128" s="118"/>
      <c r="J128" s="118"/>
    </row>
    <row r="129" spans="1:10" ht="48" customHeight="1" x14ac:dyDescent="0.25">
      <c r="A129" s="116" t="str">
        <f>IFERROR(MATCH(125,Assessment!$O:$O,0),"")</f>
        <v/>
      </c>
      <c r="B129" s="117" t="str">
        <f>IF($A129="","",INDEX(Assessment!$B:$B,$A129))</f>
        <v/>
      </c>
      <c r="C129" s="117" t="str">
        <f>IF($A129="","",INDEX(Assessment!$D:$D,$A129))</f>
        <v/>
      </c>
      <c r="D129" s="117" t="str">
        <f>IF($A129="","",INDEX(Assessment!$E:$E,$A129))</f>
        <v/>
      </c>
      <c r="E129" s="117" t="str">
        <f>IF($A129="","",INDEX(Assessment!$G:$G,$A129))</f>
        <v/>
      </c>
      <c r="F129" s="117" t="str">
        <f>IF($A129="","",INDEX(Assessment!$H:$H,$A129))</f>
        <v/>
      </c>
      <c r="G129" s="38" t="str">
        <f>IF($A129="","",INDEX(Assessment!$I:$I,$A129))</f>
        <v/>
      </c>
      <c r="H129" s="118"/>
      <c r="I129" s="118"/>
      <c r="J129" s="118"/>
    </row>
    <row r="130" spans="1:10" ht="48" customHeight="1" x14ac:dyDescent="0.25">
      <c r="A130" s="116" t="str">
        <f>IFERROR(MATCH(126,Assessment!$O:$O,0),"")</f>
        <v/>
      </c>
      <c r="B130" s="119" t="str">
        <f>IF($A130="","",INDEX(Assessment!$B:$B,$A130))</f>
        <v/>
      </c>
      <c r="C130" s="119" t="str">
        <f>IF($A130="","",INDEX(Assessment!$D:$D,$A130))</f>
        <v/>
      </c>
      <c r="D130" s="119" t="str">
        <f>IF($A130="","",INDEX(Assessment!$E:$E,$A130))</f>
        <v/>
      </c>
      <c r="E130" s="119" t="str">
        <f>IF($A130="","",INDEX(Assessment!$G:$G,$A130))</f>
        <v/>
      </c>
      <c r="F130" s="119" t="str">
        <f>IF($A130="","",INDEX(Assessment!$H:$H,$A130))</f>
        <v/>
      </c>
      <c r="G130" s="120" t="str">
        <f>IF($A130="","",INDEX(Assessment!$I:$I,$A130))</f>
        <v/>
      </c>
      <c r="H130" s="118"/>
      <c r="I130" s="118"/>
      <c r="J130" s="118"/>
    </row>
    <row r="131" spans="1:10" ht="48" customHeight="1" x14ac:dyDescent="0.25">
      <c r="A131" s="116" t="str">
        <f>IFERROR(MATCH(127,Assessment!$O:$O,0),"")</f>
        <v/>
      </c>
      <c r="B131" s="117" t="str">
        <f>IF($A131="","",INDEX(Assessment!$B:$B,$A131))</f>
        <v/>
      </c>
      <c r="C131" s="117" t="str">
        <f>IF($A131="","",INDEX(Assessment!$D:$D,$A131))</f>
        <v/>
      </c>
      <c r="D131" s="117" t="str">
        <f>IF($A131="","",INDEX(Assessment!$E:$E,$A131))</f>
        <v/>
      </c>
      <c r="E131" s="117" t="str">
        <f>IF($A131="","",INDEX(Assessment!$G:$G,$A131))</f>
        <v/>
      </c>
      <c r="F131" s="117" t="str">
        <f>IF($A131="","",INDEX(Assessment!$H:$H,$A131))</f>
        <v/>
      </c>
      <c r="G131" s="38" t="str">
        <f>IF($A131="","",INDEX(Assessment!$I:$I,$A131))</f>
        <v/>
      </c>
      <c r="H131" s="118"/>
      <c r="I131" s="118"/>
      <c r="J131" s="118"/>
    </row>
    <row r="132" spans="1:10" ht="48" customHeight="1" x14ac:dyDescent="0.25">
      <c r="A132" s="116" t="str">
        <f>IFERROR(MATCH(128,Assessment!$O:$O,0),"")</f>
        <v/>
      </c>
      <c r="B132" s="119" t="str">
        <f>IF($A132="","",INDEX(Assessment!$B:$B,$A132))</f>
        <v/>
      </c>
      <c r="C132" s="119" t="str">
        <f>IF($A132="","",INDEX(Assessment!$D:$D,$A132))</f>
        <v/>
      </c>
      <c r="D132" s="119" t="str">
        <f>IF($A132="","",INDEX(Assessment!$E:$E,$A132))</f>
        <v/>
      </c>
      <c r="E132" s="119" t="str">
        <f>IF($A132="","",INDEX(Assessment!$G:$G,$A132))</f>
        <v/>
      </c>
      <c r="F132" s="119" t="str">
        <f>IF($A132="","",INDEX(Assessment!$H:$H,$A132))</f>
        <v/>
      </c>
      <c r="G132" s="120" t="str">
        <f>IF($A132="","",INDEX(Assessment!$I:$I,$A132))</f>
        <v/>
      </c>
      <c r="H132" s="118"/>
      <c r="I132" s="118"/>
      <c r="J132" s="118"/>
    </row>
    <row r="133" spans="1:10" ht="48" customHeight="1" x14ac:dyDescent="0.25">
      <c r="A133" s="116" t="str">
        <f>IFERROR(MATCH(129,Assessment!$O:$O,0),"")</f>
        <v/>
      </c>
      <c r="B133" s="117" t="str">
        <f>IF($A133="","",INDEX(Assessment!$B:$B,$A133))</f>
        <v/>
      </c>
      <c r="C133" s="117" t="str">
        <f>IF($A133="","",INDEX(Assessment!$D:$D,$A133))</f>
        <v/>
      </c>
      <c r="D133" s="117" t="str">
        <f>IF($A133="","",INDEX(Assessment!$E:$E,$A133))</f>
        <v/>
      </c>
      <c r="E133" s="117" t="str">
        <f>IF($A133="","",INDEX(Assessment!$G:$G,$A133))</f>
        <v/>
      </c>
      <c r="F133" s="117" t="str">
        <f>IF($A133="","",INDEX(Assessment!$H:$H,$A133))</f>
        <v/>
      </c>
      <c r="G133" s="38" t="str">
        <f>IF($A133="","",INDEX(Assessment!$I:$I,$A133))</f>
        <v/>
      </c>
      <c r="H133" s="118"/>
      <c r="I133" s="118"/>
      <c r="J133" s="118"/>
    </row>
    <row r="134" spans="1:10" ht="48" customHeight="1" x14ac:dyDescent="0.25">
      <c r="A134" s="116" t="str">
        <f>IFERROR(MATCH(130,Assessment!$O:$O,0),"")</f>
        <v/>
      </c>
      <c r="B134" s="119" t="str">
        <f>IF($A134="","",INDEX(Assessment!$B:$B,$A134))</f>
        <v/>
      </c>
      <c r="C134" s="119" t="str">
        <f>IF($A134="","",INDEX(Assessment!$D:$D,$A134))</f>
        <v/>
      </c>
      <c r="D134" s="119" t="str">
        <f>IF($A134="","",INDEX(Assessment!$E:$E,$A134))</f>
        <v/>
      </c>
      <c r="E134" s="119" t="str">
        <f>IF($A134="","",INDEX(Assessment!$G:$G,$A134))</f>
        <v/>
      </c>
      <c r="F134" s="119" t="str">
        <f>IF($A134="","",INDEX(Assessment!$H:$H,$A134))</f>
        <v/>
      </c>
      <c r="G134" s="120" t="str">
        <f>IF($A134="","",INDEX(Assessment!$I:$I,$A134))</f>
        <v/>
      </c>
      <c r="H134" s="118"/>
      <c r="I134" s="118"/>
      <c r="J134" s="118"/>
    </row>
    <row r="135" spans="1:10" ht="48" customHeight="1" x14ac:dyDescent="0.25">
      <c r="A135" s="116" t="str">
        <f>IFERROR(MATCH(131,Assessment!$O:$O,0),"")</f>
        <v/>
      </c>
      <c r="B135" s="117" t="str">
        <f>IF($A135="","",INDEX(Assessment!$B:$B,$A135))</f>
        <v/>
      </c>
      <c r="C135" s="117" t="str">
        <f>IF($A135="","",INDEX(Assessment!$D:$D,$A135))</f>
        <v/>
      </c>
      <c r="D135" s="117" t="str">
        <f>IF($A135="","",INDEX(Assessment!$E:$E,$A135))</f>
        <v/>
      </c>
      <c r="E135" s="117" t="str">
        <f>IF($A135="","",INDEX(Assessment!$G:$G,$A135))</f>
        <v/>
      </c>
      <c r="F135" s="117" t="str">
        <f>IF($A135="","",INDEX(Assessment!$H:$H,$A135))</f>
        <v/>
      </c>
      <c r="G135" s="38" t="str">
        <f>IF($A135="","",INDEX(Assessment!$I:$I,$A135))</f>
        <v/>
      </c>
      <c r="H135" s="118"/>
      <c r="I135" s="118"/>
      <c r="J135" s="118"/>
    </row>
    <row r="136" spans="1:10" ht="48" customHeight="1" x14ac:dyDescent="0.25">
      <c r="A136" s="116" t="str">
        <f>IFERROR(MATCH(132,Assessment!$O:$O,0),"")</f>
        <v/>
      </c>
      <c r="B136" s="119" t="str">
        <f>IF($A136="","",INDEX(Assessment!$B:$B,$A136))</f>
        <v/>
      </c>
      <c r="C136" s="119" t="str">
        <f>IF($A136="","",INDEX(Assessment!$D:$D,$A136))</f>
        <v/>
      </c>
      <c r="D136" s="119" t="str">
        <f>IF($A136="","",INDEX(Assessment!$E:$E,$A136))</f>
        <v/>
      </c>
      <c r="E136" s="119" t="str">
        <f>IF($A136="","",INDEX(Assessment!$G:$G,$A136))</f>
        <v/>
      </c>
      <c r="F136" s="119" t="str">
        <f>IF($A136="","",INDEX(Assessment!$H:$H,$A136))</f>
        <v/>
      </c>
      <c r="G136" s="120" t="str">
        <f>IF($A136="","",INDEX(Assessment!$I:$I,$A136))</f>
        <v/>
      </c>
      <c r="H136" s="118"/>
      <c r="I136" s="118"/>
      <c r="J136" s="118"/>
    </row>
    <row r="137" spans="1:10" ht="48" customHeight="1" x14ac:dyDescent="0.25">
      <c r="A137" s="116" t="str">
        <f>IFERROR(MATCH(133,Assessment!$O:$O,0),"")</f>
        <v/>
      </c>
      <c r="B137" s="117" t="str">
        <f>IF($A137="","",INDEX(Assessment!$B:$B,$A137))</f>
        <v/>
      </c>
      <c r="C137" s="117" t="str">
        <f>IF($A137="","",INDEX(Assessment!$D:$D,$A137))</f>
        <v/>
      </c>
      <c r="D137" s="117" t="str">
        <f>IF($A137="","",INDEX(Assessment!$E:$E,$A137))</f>
        <v/>
      </c>
      <c r="E137" s="117" t="str">
        <f>IF($A137="","",INDEX(Assessment!$G:$G,$A137))</f>
        <v/>
      </c>
      <c r="F137" s="117" t="str">
        <f>IF($A137="","",INDEX(Assessment!$H:$H,$A137))</f>
        <v/>
      </c>
      <c r="G137" s="38" t="str">
        <f>IF($A137="","",INDEX(Assessment!$I:$I,$A137))</f>
        <v/>
      </c>
      <c r="H137" s="118"/>
      <c r="I137" s="118"/>
      <c r="J137" s="118"/>
    </row>
    <row r="138" spans="1:10" ht="48" customHeight="1" x14ac:dyDescent="0.25">
      <c r="A138" s="116" t="str">
        <f>IFERROR(MATCH(134,Assessment!$O:$O,0),"")</f>
        <v/>
      </c>
      <c r="B138" s="119" t="str">
        <f>IF($A138="","",INDEX(Assessment!$B:$B,$A138))</f>
        <v/>
      </c>
      <c r="C138" s="119" t="str">
        <f>IF($A138="","",INDEX(Assessment!$D:$D,$A138))</f>
        <v/>
      </c>
      <c r="D138" s="119" t="str">
        <f>IF($A138="","",INDEX(Assessment!$E:$E,$A138))</f>
        <v/>
      </c>
      <c r="E138" s="119" t="str">
        <f>IF($A138="","",INDEX(Assessment!$G:$G,$A138))</f>
        <v/>
      </c>
      <c r="F138" s="119" t="str">
        <f>IF($A138="","",INDEX(Assessment!$H:$H,$A138))</f>
        <v/>
      </c>
      <c r="G138" s="120" t="str">
        <f>IF($A138="","",INDEX(Assessment!$I:$I,$A138))</f>
        <v/>
      </c>
      <c r="H138" s="118"/>
      <c r="I138" s="118"/>
      <c r="J138" s="118"/>
    </row>
    <row r="139" spans="1:10" ht="48" customHeight="1" x14ac:dyDescent="0.25">
      <c r="A139" s="116" t="str">
        <f>IFERROR(MATCH(135,Assessment!$O:$O,0),"")</f>
        <v/>
      </c>
      <c r="B139" s="117" t="str">
        <f>IF($A139="","",INDEX(Assessment!$B:$B,$A139))</f>
        <v/>
      </c>
      <c r="C139" s="117" t="str">
        <f>IF($A139="","",INDEX(Assessment!$D:$D,$A139))</f>
        <v/>
      </c>
      <c r="D139" s="117" t="str">
        <f>IF($A139="","",INDEX(Assessment!$E:$E,$A139))</f>
        <v/>
      </c>
      <c r="E139" s="117" t="str">
        <f>IF($A139="","",INDEX(Assessment!$G:$G,$A139))</f>
        <v/>
      </c>
      <c r="F139" s="117" t="str">
        <f>IF($A139="","",INDEX(Assessment!$H:$H,$A139))</f>
        <v/>
      </c>
      <c r="G139" s="38" t="str">
        <f>IF($A139="","",INDEX(Assessment!$I:$I,$A139))</f>
        <v/>
      </c>
      <c r="H139" s="118"/>
      <c r="I139" s="118"/>
      <c r="J139" s="118"/>
    </row>
    <row r="140" spans="1:10" ht="48" customHeight="1" x14ac:dyDescent="0.25">
      <c r="A140" s="116" t="str">
        <f>IFERROR(MATCH(136,Assessment!$O:$O,0),"")</f>
        <v/>
      </c>
      <c r="B140" s="119" t="str">
        <f>IF($A140="","",INDEX(Assessment!$B:$B,$A140))</f>
        <v/>
      </c>
      <c r="C140" s="119" t="str">
        <f>IF($A140="","",INDEX(Assessment!$D:$D,$A140))</f>
        <v/>
      </c>
      <c r="D140" s="119" t="str">
        <f>IF($A140="","",INDEX(Assessment!$E:$E,$A140))</f>
        <v/>
      </c>
      <c r="E140" s="119" t="str">
        <f>IF($A140="","",INDEX(Assessment!$G:$G,$A140))</f>
        <v/>
      </c>
      <c r="F140" s="119" t="str">
        <f>IF($A140="","",INDEX(Assessment!$H:$H,$A140))</f>
        <v/>
      </c>
      <c r="G140" s="120" t="str">
        <f>IF($A140="","",INDEX(Assessment!$I:$I,$A140))</f>
        <v/>
      </c>
      <c r="H140" s="118"/>
      <c r="I140" s="118"/>
      <c r="J140" s="118"/>
    </row>
    <row r="141" spans="1:10" ht="48" customHeight="1" x14ac:dyDescent="0.25">
      <c r="A141" s="116" t="str">
        <f>IFERROR(MATCH(137,Assessment!$O:$O,0),"")</f>
        <v/>
      </c>
      <c r="B141" s="117" t="str">
        <f>IF($A141="","",INDEX(Assessment!$B:$B,$A141))</f>
        <v/>
      </c>
      <c r="C141" s="117" t="str">
        <f>IF($A141="","",INDEX(Assessment!$D:$D,$A141))</f>
        <v/>
      </c>
      <c r="D141" s="117" t="str">
        <f>IF($A141="","",INDEX(Assessment!$E:$E,$A141))</f>
        <v/>
      </c>
      <c r="E141" s="117" t="str">
        <f>IF($A141="","",INDEX(Assessment!$G:$G,$A141))</f>
        <v/>
      </c>
      <c r="F141" s="117" t="str">
        <f>IF($A141="","",INDEX(Assessment!$H:$H,$A141))</f>
        <v/>
      </c>
      <c r="G141" s="38" t="str">
        <f>IF($A141="","",INDEX(Assessment!$I:$I,$A141))</f>
        <v/>
      </c>
      <c r="H141" s="118"/>
      <c r="I141" s="118"/>
      <c r="J141" s="118"/>
    </row>
    <row r="142" spans="1:10" ht="48" customHeight="1" x14ac:dyDescent="0.25">
      <c r="A142" s="116" t="str">
        <f>IFERROR(MATCH(138,Assessment!$O:$O,0),"")</f>
        <v/>
      </c>
      <c r="B142" s="119" t="str">
        <f>IF($A142="","",INDEX(Assessment!$B:$B,$A142))</f>
        <v/>
      </c>
      <c r="C142" s="119" t="str">
        <f>IF($A142="","",INDEX(Assessment!$D:$D,$A142))</f>
        <v/>
      </c>
      <c r="D142" s="119" t="str">
        <f>IF($A142="","",INDEX(Assessment!$E:$E,$A142))</f>
        <v/>
      </c>
      <c r="E142" s="119" t="str">
        <f>IF($A142="","",INDEX(Assessment!$G:$G,$A142))</f>
        <v/>
      </c>
      <c r="F142" s="119" t="str">
        <f>IF($A142="","",INDEX(Assessment!$H:$H,$A142))</f>
        <v/>
      </c>
      <c r="G142" s="120" t="str">
        <f>IF($A142="","",INDEX(Assessment!$I:$I,$A142))</f>
        <v/>
      </c>
      <c r="H142" s="118"/>
      <c r="I142" s="118"/>
      <c r="J142" s="118"/>
    </row>
    <row r="143" spans="1:10" ht="48" customHeight="1" x14ac:dyDescent="0.25">
      <c r="A143" s="116" t="str">
        <f>IFERROR(MATCH(139,Assessment!$O:$O,0),"")</f>
        <v/>
      </c>
      <c r="B143" s="117" t="str">
        <f>IF($A143="","",INDEX(Assessment!$B:$B,$A143))</f>
        <v/>
      </c>
      <c r="C143" s="117" t="str">
        <f>IF($A143="","",INDEX(Assessment!$D:$D,$A143))</f>
        <v/>
      </c>
      <c r="D143" s="117" t="str">
        <f>IF($A143="","",INDEX(Assessment!$E:$E,$A143))</f>
        <v/>
      </c>
      <c r="E143" s="117" t="str">
        <f>IF($A143="","",INDEX(Assessment!$G:$G,$A143))</f>
        <v/>
      </c>
      <c r="F143" s="117" t="str">
        <f>IF($A143="","",INDEX(Assessment!$H:$H,$A143))</f>
        <v/>
      </c>
      <c r="G143" s="38" t="str">
        <f>IF($A143="","",INDEX(Assessment!$I:$I,$A143))</f>
        <v/>
      </c>
      <c r="H143" s="118"/>
      <c r="I143" s="118"/>
      <c r="J143" s="118"/>
    </row>
    <row r="144" spans="1:10" ht="48" customHeight="1" x14ac:dyDescent="0.25">
      <c r="A144" s="116" t="str">
        <f>IFERROR(MATCH(140,Assessment!$O:$O,0),"")</f>
        <v/>
      </c>
      <c r="B144" s="119" t="str">
        <f>IF($A144="","",INDEX(Assessment!$B:$B,$A144))</f>
        <v/>
      </c>
      <c r="C144" s="119" t="str">
        <f>IF($A144="","",INDEX(Assessment!$D:$D,$A144))</f>
        <v/>
      </c>
      <c r="D144" s="119" t="str">
        <f>IF($A144="","",INDEX(Assessment!$E:$E,$A144))</f>
        <v/>
      </c>
      <c r="E144" s="119" t="str">
        <f>IF($A144="","",INDEX(Assessment!$G:$G,$A144))</f>
        <v/>
      </c>
      <c r="F144" s="119" t="str">
        <f>IF($A144="","",INDEX(Assessment!$H:$H,$A144))</f>
        <v/>
      </c>
      <c r="G144" s="120" t="str">
        <f>IF($A144="","",INDEX(Assessment!$I:$I,$A144))</f>
        <v/>
      </c>
      <c r="H144" s="118"/>
      <c r="I144" s="118"/>
      <c r="J144" s="118"/>
    </row>
    <row r="145" spans="1:10" ht="48" customHeight="1" x14ac:dyDescent="0.25">
      <c r="A145" s="116" t="str">
        <f>IFERROR(MATCH(141,Assessment!$O:$O,0),"")</f>
        <v/>
      </c>
      <c r="B145" s="117" t="str">
        <f>IF($A145="","",INDEX(Assessment!$B:$B,$A145))</f>
        <v/>
      </c>
      <c r="C145" s="117" t="str">
        <f>IF($A145="","",INDEX(Assessment!$D:$D,$A145))</f>
        <v/>
      </c>
      <c r="D145" s="117" t="str">
        <f>IF($A145="","",INDEX(Assessment!$E:$E,$A145))</f>
        <v/>
      </c>
      <c r="E145" s="117" t="str">
        <f>IF($A145="","",INDEX(Assessment!$G:$G,$A145))</f>
        <v/>
      </c>
      <c r="F145" s="117" t="str">
        <f>IF($A145="","",INDEX(Assessment!$H:$H,$A145))</f>
        <v/>
      </c>
      <c r="G145" s="38" t="str">
        <f>IF($A145="","",INDEX(Assessment!$I:$I,$A145))</f>
        <v/>
      </c>
      <c r="H145" s="118"/>
      <c r="I145" s="118"/>
      <c r="J145" s="118"/>
    </row>
    <row r="146" spans="1:10" ht="48" customHeight="1" x14ac:dyDescent="0.25">
      <c r="A146" s="116" t="str">
        <f>IFERROR(MATCH(142,Assessment!$O:$O,0),"")</f>
        <v/>
      </c>
      <c r="B146" s="119" t="str">
        <f>IF($A146="","",INDEX(Assessment!$B:$B,$A146))</f>
        <v/>
      </c>
      <c r="C146" s="119" t="str">
        <f>IF($A146="","",INDEX(Assessment!$D:$D,$A146))</f>
        <v/>
      </c>
      <c r="D146" s="119" t="str">
        <f>IF($A146="","",INDEX(Assessment!$E:$E,$A146))</f>
        <v/>
      </c>
      <c r="E146" s="119" t="str">
        <f>IF($A146="","",INDEX(Assessment!$G:$G,$A146))</f>
        <v/>
      </c>
      <c r="F146" s="119" t="str">
        <f>IF($A146="","",INDEX(Assessment!$H:$H,$A146))</f>
        <v/>
      </c>
      <c r="G146" s="120" t="str">
        <f>IF($A146="","",INDEX(Assessment!$I:$I,$A146))</f>
        <v/>
      </c>
      <c r="H146" s="118"/>
      <c r="I146" s="118"/>
      <c r="J146" s="118"/>
    </row>
    <row r="147" spans="1:10" ht="48" customHeight="1" x14ac:dyDescent="0.25">
      <c r="A147" s="116" t="str">
        <f>IFERROR(MATCH(143,Assessment!$O:$O,0),"")</f>
        <v/>
      </c>
      <c r="B147" s="117" t="str">
        <f>IF($A147="","",INDEX(Assessment!$B:$B,$A147))</f>
        <v/>
      </c>
      <c r="C147" s="117" t="str">
        <f>IF($A147="","",INDEX(Assessment!$D:$D,$A147))</f>
        <v/>
      </c>
      <c r="D147" s="117" t="str">
        <f>IF($A147="","",INDEX(Assessment!$E:$E,$A147))</f>
        <v/>
      </c>
      <c r="E147" s="117" t="str">
        <f>IF($A147="","",INDEX(Assessment!$G:$G,$A147))</f>
        <v/>
      </c>
      <c r="F147" s="117" t="str">
        <f>IF($A147="","",INDEX(Assessment!$H:$H,$A147))</f>
        <v/>
      </c>
      <c r="G147" s="38" t="str">
        <f>IF($A147="","",INDEX(Assessment!$I:$I,$A147))</f>
        <v/>
      </c>
      <c r="H147" s="118"/>
      <c r="I147" s="118"/>
      <c r="J147" s="118"/>
    </row>
    <row r="148" spans="1:10" ht="48" customHeight="1" x14ac:dyDescent="0.25">
      <c r="A148" s="116" t="str">
        <f>IFERROR(MATCH(144,Assessment!$O:$O,0),"")</f>
        <v/>
      </c>
      <c r="B148" s="119" t="str">
        <f>IF($A148="","",INDEX(Assessment!$B:$B,$A148))</f>
        <v/>
      </c>
      <c r="C148" s="119" t="str">
        <f>IF($A148="","",INDEX(Assessment!$D:$D,$A148))</f>
        <v/>
      </c>
      <c r="D148" s="119" t="str">
        <f>IF($A148="","",INDEX(Assessment!$E:$E,$A148))</f>
        <v/>
      </c>
      <c r="E148" s="119" t="str">
        <f>IF($A148="","",INDEX(Assessment!$G:$G,$A148))</f>
        <v/>
      </c>
      <c r="F148" s="119" t="str">
        <f>IF($A148="","",INDEX(Assessment!$H:$H,$A148))</f>
        <v/>
      </c>
      <c r="G148" s="120" t="str">
        <f>IF($A148="","",INDEX(Assessment!$I:$I,$A148))</f>
        <v/>
      </c>
      <c r="H148" s="118"/>
      <c r="I148" s="118"/>
      <c r="J148" s="118"/>
    </row>
    <row r="149" spans="1:10" ht="48" customHeight="1" x14ac:dyDescent="0.25">
      <c r="A149" s="116" t="str">
        <f>IFERROR(MATCH(145,Assessment!$O:$O,0),"")</f>
        <v/>
      </c>
      <c r="B149" s="117" t="str">
        <f>IF($A149="","",INDEX(Assessment!$B:$B,$A149))</f>
        <v/>
      </c>
      <c r="C149" s="117" t="str">
        <f>IF($A149="","",INDEX(Assessment!$D:$D,$A149))</f>
        <v/>
      </c>
      <c r="D149" s="117" t="str">
        <f>IF($A149="","",INDEX(Assessment!$E:$E,$A149))</f>
        <v/>
      </c>
      <c r="E149" s="117" t="str">
        <f>IF($A149="","",INDEX(Assessment!$G:$G,$A149))</f>
        <v/>
      </c>
      <c r="F149" s="117" t="str">
        <f>IF($A149="","",INDEX(Assessment!$H:$H,$A149))</f>
        <v/>
      </c>
      <c r="G149" s="38" t="str">
        <f>IF($A149="","",INDEX(Assessment!$I:$I,$A149))</f>
        <v/>
      </c>
      <c r="H149" s="118"/>
      <c r="I149" s="118"/>
      <c r="J149" s="118"/>
    </row>
    <row r="150" spans="1:10" ht="48" customHeight="1" x14ac:dyDescent="0.25">
      <c r="A150" s="116" t="str">
        <f>IFERROR(MATCH(146,Assessment!$O:$O,0),"")</f>
        <v/>
      </c>
      <c r="B150" s="119" t="str">
        <f>IF($A150="","",INDEX(Assessment!$B:$B,$A150))</f>
        <v/>
      </c>
      <c r="C150" s="119" t="str">
        <f>IF($A150="","",INDEX(Assessment!$D:$D,$A150))</f>
        <v/>
      </c>
      <c r="D150" s="119" t="str">
        <f>IF($A150="","",INDEX(Assessment!$E:$E,$A150))</f>
        <v/>
      </c>
      <c r="E150" s="119" t="str">
        <f>IF($A150="","",INDEX(Assessment!$G:$G,$A150))</f>
        <v/>
      </c>
      <c r="F150" s="119" t="str">
        <f>IF($A150="","",INDEX(Assessment!$H:$H,$A150))</f>
        <v/>
      </c>
      <c r="G150" s="120" t="str">
        <f>IF($A150="","",INDEX(Assessment!$I:$I,$A150))</f>
        <v/>
      </c>
      <c r="H150" s="118"/>
      <c r="I150" s="118"/>
      <c r="J150" s="118"/>
    </row>
    <row r="151" spans="1:10" ht="48" customHeight="1" x14ac:dyDescent="0.25">
      <c r="A151" s="116" t="str">
        <f>IFERROR(MATCH(147,Assessment!$O:$O,0),"")</f>
        <v/>
      </c>
      <c r="B151" s="117" t="str">
        <f>IF($A151="","",INDEX(Assessment!$B:$B,$A151))</f>
        <v/>
      </c>
      <c r="C151" s="117" t="str">
        <f>IF($A151="","",INDEX(Assessment!$D:$D,$A151))</f>
        <v/>
      </c>
      <c r="D151" s="117" t="str">
        <f>IF($A151="","",INDEX(Assessment!$E:$E,$A151))</f>
        <v/>
      </c>
      <c r="E151" s="117" t="str">
        <f>IF($A151="","",INDEX(Assessment!$G:$G,$A151))</f>
        <v/>
      </c>
      <c r="F151" s="117" t="str">
        <f>IF($A151="","",INDEX(Assessment!$H:$H,$A151))</f>
        <v/>
      </c>
      <c r="G151" s="38" t="str">
        <f>IF($A151="","",INDEX(Assessment!$I:$I,$A151))</f>
        <v/>
      </c>
      <c r="H151" s="118"/>
      <c r="I151" s="118"/>
      <c r="J151" s="118"/>
    </row>
    <row r="152" spans="1:10" ht="48" customHeight="1" x14ac:dyDescent="0.25">
      <c r="A152" s="116" t="str">
        <f>IFERROR(MATCH(148,Assessment!$O:$O,0),"")</f>
        <v/>
      </c>
      <c r="B152" s="119" t="str">
        <f>IF($A152="","",INDEX(Assessment!$B:$B,$A152))</f>
        <v/>
      </c>
      <c r="C152" s="119" t="str">
        <f>IF($A152="","",INDEX(Assessment!$D:$D,$A152))</f>
        <v/>
      </c>
      <c r="D152" s="119" t="str">
        <f>IF($A152="","",INDEX(Assessment!$E:$E,$A152))</f>
        <v/>
      </c>
      <c r="E152" s="119" t="str">
        <f>IF($A152="","",INDEX(Assessment!$G:$G,$A152))</f>
        <v/>
      </c>
      <c r="F152" s="119" t="str">
        <f>IF($A152="","",INDEX(Assessment!$H:$H,$A152))</f>
        <v/>
      </c>
      <c r="G152" s="120" t="str">
        <f>IF($A152="","",INDEX(Assessment!$I:$I,$A152))</f>
        <v/>
      </c>
      <c r="H152" s="118"/>
      <c r="I152" s="118"/>
      <c r="J152" s="118"/>
    </row>
    <row r="153" spans="1:10" ht="48" customHeight="1" x14ac:dyDescent="0.25">
      <c r="A153" s="116" t="str">
        <f>IFERROR(MATCH(149,Assessment!$O:$O,0),"")</f>
        <v/>
      </c>
      <c r="B153" s="117" t="str">
        <f>IF($A153="","",INDEX(Assessment!$B:$B,$A153))</f>
        <v/>
      </c>
      <c r="C153" s="117" t="str">
        <f>IF($A153="","",INDEX(Assessment!$D:$D,$A153))</f>
        <v/>
      </c>
      <c r="D153" s="117" t="str">
        <f>IF($A153="","",INDEX(Assessment!$E:$E,$A153))</f>
        <v/>
      </c>
      <c r="E153" s="117" t="str">
        <f>IF($A153="","",INDEX(Assessment!$G:$G,$A153))</f>
        <v/>
      </c>
      <c r="F153" s="117" t="str">
        <f>IF($A153="","",INDEX(Assessment!$H:$H,$A153))</f>
        <v/>
      </c>
      <c r="G153" s="38" t="str">
        <f>IF($A153="","",INDEX(Assessment!$I:$I,$A153))</f>
        <v/>
      </c>
      <c r="H153" s="118"/>
      <c r="I153" s="118"/>
      <c r="J153" s="118"/>
    </row>
    <row r="154" spans="1:10" ht="48" customHeight="1" x14ac:dyDescent="0.25">
      <c r="A154" s="116" t="str">
        <f>IFERROR(MATCH(150,Assessment!$O:$O,0),"")</f>
        <v/>
      </c>
      <c r="B154" s="119" t="str">
        <f>IF($A154="","",INDEX(Assessment!$B:$B,$A154))</f>
        <v/>
      </c>
      <c r="C154" s="119" t="str">
        <f>IF($A154="","",INDEX(Assessment!$D:$D,$A154))</f>
        <v/>
      </c>
      <c r="D154" s="119" t="str">
        <f>IF($A154="","",INDEX(Assessment!$E:$E,$A154))</f>
        <v/>
      </c>
      <c r="E154" s="119" t="str">
        <f>IF($A154="","",INDEX(Assessment!$G:$G,$A154))</f>
        <v/>
      </c>
      <c r="F154" s="119" t="str">
        <f>IF($A154="","",INDEX(Assessment!$H:$H,$A154))</f>
        <v/>
      </c>
      <c r="G154" s="120" t="str">
        <f>IF($A154="","",INDEX(Assessment!$I:$I,$A154))</f>
        <v/>
      </c>
      <c r="H154" s="118"/>
      <c r="I154" s="118"/>
      <c r="J154" s="118"/>
    </row>
    <row r="155" spans="1:10" ht="48" customHeight="1" x14ac:dyDescent="0.25">
      <c r="A155" s="116" t="str">
        <f>IFERROR(MATCH(151,Assessment!$O:$O,0),"")</f>
        <v/>
      </c>
      <c r="B155" s="117" t="str">
        <f>IF($A155="","",INDEX(Assessment!$B:$B,$A155))</f>
        <v/>
      </c>
      <c r="C155" s="117" t="str">
        <f>IF($A155="","",INDEX(Assessment!$D:$D,$A155))</f>
        <v/>
      </c>
      <c r="D155" s="117" t="str">
        <f>IF($A155="","",INDEX(Assessment!$E:$E,$A155))</f>
        <v/>
      </c>
      <c r="E155" s="117" t="str">
        <f>IF($A155="","",INDEX(Assessment!$G:$G,$A155))</f>
        <v/>
      </c>
      <c r="F155" s="117" t="str">
        <f>IF($A155="","",INDEX(Assessment!$H:$H,$A155))</f>
        <v/>
      </c>
      <c r="G155" s="38" t="str">
        <f>IF($A155="","",INDEX(Assessment!$I:$I,$A155))</f>
        <v/>
      </c>
      <c r="H155" s="118"/>
      <c r="I155" s="118"/>
      <c r="J155" s="118"/>
    </row>
    <row r="156" spans="1:10" ht="48" customHeight="1" x14ac:dyDescent="0.25">
      <c r="A156" s="116" t="str">
        <f>IFERROR(MATCH(152,Assessment!$O:$O,0),"")</f>
        <v/>
      </c>
      <c r="B156" s="119" t="str">
        <f>IF($A156="","",INDEX(Assessment!$B:$B,$A156))</f>
        <v/>
      </c>
      <c r="C156" s="119" t="str">
        <f>IF($A156="","",INDEX(Assessment!$D:$D,$A156))</f>
        <v/>
      </c>
      <c r="D156" s="119" t="str">
        <f>IF($A156="","",INDEX(Assessment!$E:$E,$A156))</f>
        <v/>
      </c>
      <c r="E156" s="119" t="str">
        <f>IF($A156="","",INDEX(Assessment!$G:$G,$A156))</f>
        <v/>
      </c>
      <c r="F156" s="119" t="str">
        <f>IF($A156="","",INDEX(Assessment!$H:$H,$A156))</f>
        <v/>
      </c>
      <c r="G156" s="120" t="str">
        <f>IF($A156="","",INDEX(Assessment!$I:$I,$A156))</f>
        <v/>
      </c>
      <c r="H156" s="118"/>
      <c r="I156" s="118"/>
      <c r="J156" s="118"/>
    </row>
    <row r="157" spans="1:10" ht="48" customHeight="1" x14ac:dyDescent="0.25">
      <c r="A157" s="116" t="str">
        <f>IFERROR(MATCH(153,Assessment!$O:$O,0),"")</f>
        <v/>
      </c>
      <c r="B157" s="117" t="str">
        <f>IF($A157="","",INDEX(Assessment!$B:$B,$A157))</f>
        <v/>
      </c>
      <c r="C157" s="117" t="str">
        <f>IF($A157="","",INDEX(Assessment!$D:$D,$A157))</f>
        <v/>
      </c>
      <c r="D157" s="117" t="str">
        <f>IF($A157="","",INDEX(Assessment!$E:$E,$A157))</f>
        <v/>
      </c>
      <c r="E157" s="117" t="str">
        <f>IF($A157="","",INDEX(Assessment!$G:$G,$A157))</f>
        <v/>
      </c>
      <c r="F157" s="117" t="str">
        <f>IF($A157="","",INDEX(Assessment!$H:$H,$A157))</f>
        <v/>
      </c>
      <c r="G157" s="38" t="str">
        <f>IF($A157="","",INDEX(Assessment!$I:$I,$A157))</f>
        <v/>
      </c>
      <c r="H157" s="118"/>
      <c r="I157" s="118"/>
      <c r="J157" s="118"/>
    </row>
    <row r="158" spans="1:10" ht="48" customHeight="1" x14ac:dyDescent="0.25">
      <c r="A158" s="116" t="str">
        <f>IFERROR(MATCH(154,Assessment!$O:$O,0),"")</f>
        <v/>
      </c>
      <c r="B158" s="119" t="str">
        <f>IF($A158="","",INDEX(Assessment!$B:$B,$A158))</f>
        <v/>
      </c>
      <c r="C158" s="119" t="str">
        <f>IF($A158="","",INDEX(Assessment!$D:$D,$A158))</f>
        <v/>
      </c>
      <c r="D158" s="119" t="str">
        <f>IF($A158="","",INDEX(Assessment!$E:$E,$A158))</f>
        <v/>
      </c>
      <c r="E158" s="119" t="str">
        <f>IF($A158="","",INDEX(Assessment!$G:$G,$A158))</f>
        <v/>
      </c>
      <c r="F158" s="119" t="str">
        <f>IF($A158="","",INDEX(Assessment!$H:$H,$A158))</f>
        <v/>
      </c>
      <c r="G158" s="120" t="str">
        <f>IF($A158="","",INDEX(Assessment!$I:$I,$A158))</f>
        <v/>
      </c>
      <c r="H158" s="118"/>
      <c r="I158" s="118"/>
      <c r="J158" s="118"/>
    </row>
    <row r="159" spans="1:10" ht="48" customHeight="1" x14ac:dyDescent="0.25">
      <c r="A159" s="116" t="str">
        <f>IFERROR(MATCH(155,Assessment!$O:$O,0),"")</f>
        <v/>
      </c>
      <c r="B159" s="117" t="str">
        <f>IF($A159="","",INDEX(Assessment!$B:$B,$A159))</f>
        <v/>
      </c>
      <c r="C159" s="117" t="str">
        <f>IF($A159="","",INDEX(Assessment!$D:$D,$A159))</f>
        <v/>
      </c>
      <c r="D159" s="117" t="str">
        <f>IF($A159="","",INDEX(Assessment!$E:$E,$A159))</f>
        <v/>
      </c>
      <c r="E159" s="117" t="str">
        <f>IF($A159="","",INDEX(Assessment!$G:$G,$A159))</f>
        <v/>
      </c>
      <c r="F159" s="117" t="str">
        <f>IF($A159="","",INDEX(Assessment!$H:$H,$A159))</f>
        <v/>
      </c>
      <c r="G159" s="38" t="str">
        <f>IF($A159="","",INDEX(Assessment!$I:$I,$A159))</f>
        <v/>
      </c>
      <c r="H159" s="118"/>
      <c r="I159" s="118"/>
      <c r="J159" s="118"/>
    </row>
    <row r="160" spans="1:10" ht="48" customHeight="1" x14ac:dyDescent="0.25">
      <c r="A160" s="116" t="str">
        <f>IFERROR(MATCH(156,Assessment!$O:$O,0),"")</f>
        <v/>
      </c>
      <c r="B160" s="119" t="str">
        <f>IF($A160="","",INDEX(Assessment!$B:$B,$A160))</f>
        <v/>
      </c>
      <c r="C160" s="119" t="str">
        <f>IF($A160="","",INDEX(Assessment!$D:$D,$A160))</f>
        <v/>
      </c>
      <c r="D160" s="119" t="str">
        <f>IF($A160="","",INDEX(Assessment!$E:$E,$A160))</f>
        <v/>
      </c>
      <c r="E160" s="119" t="str">
        <f>IF($A160="","",INDEX(Assessment!$G:$G,$A160))</f>
        <v/>
      </c>
      <c r="F160" s="119" t="str">
        <f>IF($A160="","",INDEX(Assessment!$H:$H,$A160))</f>
        <v/>
      </c>
      <c r="G160" s="120" t="str">
        <f>IF($A160="","",INDEX(Assessment!$I:$I,$A160))</f>
        <v/>
      </c>
      <c r="H160" s="118"/>
      <c r="I160" s="118"/>
      <c r="J160" s="118"/>
    </row>
    <row r="161" spans="1:10" ht="48" customHeight="1" x14ac:dyDescent="0.25">
      <c r="A161" s="116" t="str">
        <f>IFERROR(MATCH(157,Assessment!$O:$O,0),"")</f>
        <v/>
      </c>
      <c r="B161" s="117" t="str">
        <f>IF($A161="","",INDEX(Assessment!$B:$B,$A161))</f>
        <v/>
      </c>
      <c r="C161" s="117" t="str">
        <f>IF($A161="","",INDEX(Assessment!$D:$D,$A161))</f>
        <v/>
      </c>
      <c r="D161" s="117" t="str">
        <f>IF($A161="","",INDEX(Assessment!$E:$E,$A161))</f>
        <v/>
      </c>
      <c r="E161" s="117" t="str">
        <f>IF($A161="","",INDEX(Assessment!$G:$G,$A161))</f>
        <v/>
      </c>
      <c r="F161" s="117" t="str">
        <f>IF($A161="","",INDEX(Assessment!$H:$H,$A161))</f>
        <v/>
      </c>
      <c r="G161" s="38" t="str">
        <f>IF($A161="","",INDEX(Assessment!$I:$I,$A161))</f>
        <v/>
      </c>
      <c r="H161" s="118"/>
      <c r="I161" s="118"/>
      <c r="J161" s="118"/>
    </row>
    <row r="162" spans="1:10" ht="48" customHeight="1" x14ac:dyDescent="0.25">
      <c r="A162" s="116" t="str">
        <f>IFERROR(MATCH(158,Assessment!$O:$O,0),"")</f>
        <v/>
      </c>
      <c r="B162" s="119" t="str">
        <f>IF($A162="","",INDEX(Assessment!$B:$B,$A162))</f>
        <v/>
      </c>
      <c r="C162" s="119" t="str">
        <f>IF($A162="","",INDEX(Assessment!$D:$D,$A162))</f>
        <v/>
      </c>
      <c r="D162" s="119" t="str">
        <f>IF($A162="","",INDEX(Assessment!$E:$E,$A162))</f>
        <v/>
      </c>
      <c r="E162" s="119" t="str">
        <f>IF($A162="","",INDEX(Assessment!$G:$G,$A162))</f>
        <v/>
      </c>
      <c r="F162" s="119" t="str">
        <f>IF($A162="","",INDEX(Assessment!$H:$H,$A162))</f>
        <v/>
      </c>
      <c r="G162" s="120" t="str">
        <f>IF($A162="","",INDEX(Assessment!$I:$I,$A162))</f>
        <v/>
      </c>
      <c r="H162" s="118"/>
      <c r="I162" s="118"/>
      <c r="J162" s="118"/>
    </row>
    <row r="163" spans="1:10" ht="48" customHeight="1" x14ac:dyDescent="0.25">
      <c r="A163" s="116" t="str">
        <f>IFERROR(MATCH(159,Assessment!$O:$O,0),"")</f>
        <v/>
      </c>
      <c r="B163" s="117" t="str">
        <f>IF($A163="","",INDEX(Assessment!$B:$B,$A163))</f>
        <v/>
      </c>
      <c r="C163" s="117" t="str">
        <f>IF($A163="","",INDEX(Assessment!$D:$D,$A163))</f>
        <v/>
      </c>
      <c r="D163" s="117" t="str">
        <f>IF($A163="","",INDEX(Assessment!$E:$E,$A163))</f>
        <v/>
      </c>
      <c r="E163" s="117" t="str">
        <f>IF($A163="","",INDEX(Assessment!$G:$G,$A163))</f>
        <v/>
      </c>
      <c r="F163" s="117" t="str">
        <f>IF($A163="","",INDEX(Assessment!$H:$H,$A163))</f>
        <v/>
      </c>
      <c r="G163" s="38" t="str">
        <f>IF($A163="","",INDEX(Assessment!$I:$I,$A163))</f>
        <v/>
      </c>
      <c r="H163" s="118"/>
      <c r="I163" s="118"/>
      <c r="J163" s="118"/>
    </row>
    <row r="164" spans="1:10" ht="48" customHeight="1" x14ac:dyDescent="0.25">
      <c r="A164" s="116" t="str">
        <f>IFERROR(MATCH(160,Assessment!$O:$O,0),"")</f>
        <v/>
      </c>
      <c r="B164" s="119" t="str">
        <f>IF($A164="","",INDEX(Assessment!$B:$B,$A164))</f>
        <v/>
      </c>
      <c r="C164" s="119" t="str">
        <f>IF($A164="","",INDEX(Assessment!$D:$D,$A164))</f>
        <v/>
      </c>
      <c r="D164" s="119" t="str">
        <f>IF($A164="","",INDEX(Assessment!$E:$E,$A164))</f>
        <v/>
      </c>
      <c r="E164" s="119" t="str">
        <f>IF($A164="","",INDEX(Assessment!$G:$G,$A164))</f>
        <v/>
      </c>
      <c r="F164" s="119" t="str">
        <f>IF($A164="","",INDEX(Assessment!$H:$H,$A164))</f>
        <v/>
      </c>
      <c r="G164" s="120" t="str">
        <f>IF($A164="","",INDEX(Assessment!$I:$I,$A164))</f>
        <v/>
      </c>
      <c r="H164" s="118"/>
      <c r="I164" s="118"/>
      <c r="J164" s="118"/>
    </row>
    <row r="165" spans="1:10" ht="48" customHeight="1" x14ac:dyDescent="0.25">
      <c r="A165" s="116" t="str">
        <f>IFERROR(MATCH(161,Assessment!$O:$O,0),"")</f>
        <v/>
      </c>
      <c r="B165" s="117" t="str">
        <f>IF($A165="","",INDEX(Assessment!$B:$B,$A165))</f>
        <v/>
      </c>
      <c r="C165" s="117" t="str">
        <f>IF($A165="","",INDEX(Assessment!$D:$D,$A165))</f>
        <v/>
      </c>
      <c r="D165" s="117" t="str">
        <f>IF($A165="","",INDEX(Assessment!$E:$E,$A165))</f>
        <v/>
      </c>
      <c r="E165" s="117" t="str">
        <f>IF($A165="","",INDEX(Assessment!$G:$G,$A165))</f>
        <v/>
      </c>
      <c r="F165" s="117" t="str">
        <f>IF($A165="","",INDEX(Assessment!$H:$H,$A165))</f>
        <v/>
      </c>
      <c r="G165" s="38" t="str">
        <f>IF($A165="","",INDEX(Assessment!$I:$I,$A165))</f>
        <v/>
      </c>
      <c r="H165" s="118"/>
      <c r="I165" s="118"/>
      <c r="J165" s="118"/>
    </row>
    <row r="166" spans="1:10" ht="48" customHeight="1" x14ac:dyDescent="0.25">
      <c r="A166" s="116" t="str">
        <f>IFERROR(MATCH(162,Assessment!$O:$O,0),"")</f>
        <v/>
      </c>
      <c r="B166" s="119" t="str">
        <f>IF($A166="","",INDEX(Assessment!$B:$B,$A166))</f>
        <v/>
      </c>
      <c r="C166" s="119" t="str">
        <f>IF($A166="","",INDEX(Assessment!$D:$D,$A166))</f>
        <v/>
      </c>
      <c r="D166" s="119" t="str">
        <f>IF($A166="","",INDEX(Assessment!$E:$E,$A166))</f>
        <v/>
      </c>
      <c r="E166" s="119" t="str">
        <f>IF($A166="","",INDEX(Assessment!$G:$G,$A166))</f>
        <v/>
      </c>
      <c r="F166" s="119" t="str">
        <f>IF($A166="","",INDEX(Assessment!$H:$H,$A166))</f>
        <v/>
      </c>
      <c r="G166" s="120" t="str">
        <f>IF($A166="","",INDEX(Assessment!$I:$I,$A166))</f>
        <v/>
      </c>
      <c r="H166" s="118"/>
      <c r="I166" s="118"/>
      <c r="J166" s="118"/>
    </row>
    <row r="167" spans="1:10" ht="48" customHeight="1" x14ac:dyDescent="0.25">
      <c r="A167" s="116" t="str">
        <f>IFERROR(MATCH(163,Assessment!$O:$O,0),"")</f>
        <v/>
      </c>
      <c r="B167" s="117" t="str">
        <f>IF($A167="","",INDEX(Assessment!$B:$B,$A167))</f>
        <v/>
      </c>
      <c r="C167" s="117" t="str">
        <f>IF($A167="","",INDEX(Assessment!$D:$D,$A167))</f>
        <v/>
      </c>
      <c r="D167" s="117" t="str">
        <f>IF($A167="","",INDEX(Assessment!$E:$E,$A167))</f>
        <v/>
      </c>
      <c r="E167" s="117" t="str">
        <f>IF($A167="","",INDEX(Assessment!$G:$G,$A167))</f>
        <v/>
      </c>
      <c r="F167" s="117" t="str">
        <f>IF($A167="","",INDEX(Assessment!$H:$H,$A167))</f>
        <v/>
      </c>
      <c r="G167" s="38" t="str">
        <f>IF($A167="","",INDEX(Assessment!$I:$I,$A167))</f>
        <v/>
      </c>
      <c r="H167" s="118"/>
      <c r="I167" s="118"/>
      <c r="J167" s="118"/>
    </row>
    <row r="168" spans="1:10" ht="48" customHeight="1" x14ac:dyDescent="0.25">
      <c r="A168" s="116" t="str">
        <f>IFERROR(MATCH(164,Assessment!$O:$O,0),"")</f>
        <v/>
      </c>
      <c r="B168" s="119" t="str">
        <f>IF($A168="","",INDEX(Assessment!$B:$B,$A168))</f>
        <v/>
      </c>
      <c r="C168" s="119" t="str">
        <f>IF($A168="","",INDEX(Assessment!$D:$D,$A168))</f>
        <v/>
      </c>
      <c r="D168" s="119" t="str">
        <f>IF($A168="","",INDEX(Assessment!$E:$E,$A168))</f>
        <v/>
      </c>
      <c r="E168" s="119" t="str">
        <f>IF($A168="","",INDEX(Assessment!$G:$G,$A168))</f>
        <v/>
      </c>
      <c r="F168" s="119" t="str">
        <f>IF($A168="","",INDEX(Assessment!$H:$H,$A168))</f>
        <v/>
      </c>
      <c r="G168" s="120" t="str">
        <f>IF($A168="","",INDEX(Assessment!$I:$I,$A168))</f>
        <v/>
      </c>
      <c r="H168" s="118"/>
      <c r="I168" s="118"/>
      <c r="J168" s="118"/>
    </row>
    <row r="169" spans="1:10" ht="48" customHeight="1" x14ac:dyDescent="0.25">
      <c r="A169" s="116" t="str">
        <f>IFERROR(MATCH(165,Assessment!$O:$O,0),"")</f>
        <v/>
      </c>
      <c r="B169" s="117" t="str">
        <f>IF($A169="","",INDEX(Assessment!$B:$B,$A169))</f>
        <v/>
      </c>
      <c r="C169" s="117" t="str">
        <f>IF($A169="","",INDEX(Assessment!$D:$D,$A169))</f>
        <v/>
      </c>
      <c r="D169" s="117" t="str">
        <f>IF($A169="","",INDEX(Assessment!$E:$E,$A169))</f>
        <v/>
      </c>
      <c r="E169" s="117" t="str">
        <f>IF($A169="","",INDEX(Assessment!$G:$G,$A169))</f>
        <v/>
      </c>
      <c r="F169" s="117" t="str">
        <f>IF($A169="","",INDEX(Assessment!$H:$H,$A169))</f>
        <v/>
      </c>
      <c r="G169" s="38" t="str">
        <f>IF($A169="","",INDEX(Assessment!$I:$I,$A169))</f>
        <v/>
      </c>
      <c r="H169" s="118"/>
      <c r="I169" s="118"/>
      <c r="J169" s="118"/>
    </row>
    <row r="170" spans="1:10" ht="48" customHeight="1" x14ac:dyDescent="0.25">
      <c r="A170" s="116" t="str">
        <f>IFERROR(MATCH(166,Assessment!$O:$O,0),"")</f>
        <v/>
      </c>
      <c r="B170" s="119" t="str">
        <f>IF($A170="","",INDEX(Assessment!$B:$B,$A170))</f>
        <v/>
      </c>
      <c r="C170" s="119" t="str">
        <f>IF($A170="","",INDEX(Assessment!$D:$D,$A170))</f>
        <v/>
      </c>
      <c r="D170" s="119" t="str">
        <f>IF($A170="","",INDEX(Assessment!$E:$E,$A170))</f>
        <v/>
      </c>
      <c r="E170" s="119" t="str">
        <f>IF($A170="","",INDEX(Assessment!$G:$G,$A170))</f>
        <v/>
      </c>
      <c r="F170" s="119" t="str">
        <f>IF($A170="","",INDEX(Assessment!$H:$H,$A170))</f>
        <v/>
      </c>
      <c r="G170" s="120" t="str">
        <f>IF($A170="","",INDEX(Assessment!$I:$I,$A170))</f>
        <v/>
      </c>
      <c r="H170" s="118"/>
      <c r="I170" s="118"/>
      <c r="J170" s="118"/>
    </row>
    <row r="171" spans="1:10" ht="48" customHeight="1" x14ac:dyDescent="0.25">
      <c r="A171" s="116" t="str">
        <f>IFERROR(MATCH(167,Assessment!$O:$O,0),"")</f>
        <v/>
      </c>
      <c r="B171" s="117" t="str">
        <f>IF($A171="","",INDEX(Assessment!$B:$B,$A171))</f>
        <v/>
      </c>
      <c r="C171" s="117" t="str">
        <f>IF($A171="","",INDEX(Assessment!$D:$D,$A171))</f>
        <v/>
      </c>
      <c r="D171" s="117" t="str">
        <f>IF($A171="","",INDEX(Assessment!$E:$E,$A171))</f>
        <v/>
      </c>
      <c r="E171" s="117" t="str">
        <f>IF($A171="","",INDEX(Assessment!$G:$G,$A171))</f>
        <v/>
      </c>
      <c r="F171" s="117" t="str">
        <f>IF($A171="","",INDEX(Assessment!$H:$H,$A171))</f>
        <v/>
      </c>
      <c r="G171" s="38" t="str">
        <f>IF($A171="","",INDEX(Assessment!$I:$I,$A171))</f>
        <v/>
      </c>
      <c r="H171" s="118"/>
      <c r="I171" s="118"/>
      <c r="J171" s="118"/>
    </row>
    <row r="172" spans="1:10" ht="48" customHeight="1" x14ac:dyDescent="0.25">
      <c r="A172" s="116" t="str">
        <f>IFERROR(MATCH(168,Assessment!$O:$O,0),"")</f>
        <v/>
      </c>
      <c r="B172" s="119" t="str">
        <f>IF($A172="","",INDEX(Assessment!$B:$B,$A172))</f>
        <v/>
      </c>
      <c r="C172" s="119" t="str">
        <f>IF($A172="","",INDEX(Assessment!$D:$D,$A172))</f>
        <v/>
      </c>
      <c r="D172" s="119" t="str">
        <f>IF($A172="","",INDEX(Assessment!$E:$E,$A172))</f>
        <v/>
      </c>
      <c r="E172" s="119" t="str">
        <f>IF($A172="","",INDEX(Assessment!$G:$G,$A172))</f>
        <v/>
      </c>
      <c r="F172" s="119" t="str">
        <f>IF($A172="","",INDEX(Assessment!$H:$H,$A172))</f>
        <v/>
      </c>
      <c r="G172" s="120" t="str">
        <f>IF($A172="","",INDEX(Assessment!$I:$I,$A172))</f>
        <v/>
      </c>
      <c r="H172" s="118"/>
      <c r="I172" s="118"/>
      <c r="J172" s="118"/>
    </row>
    <row r="173" spans="1:10" ht="48" customHeight="1" x14ac:dyDescent="0.25">
      <c r="A173" s="116" t="str">
        <f>IFERROR(MATCH(169,Assessment!$O:$O,0),"")</f>
        <v/>
      </c>
      <c r="B173" s="117" t="str">
        <f>IF($A173="","",INDEX(Assessment!$B:$B,$A173))</f>
        <v/>
      </c>
      <c r="C173" s="117" t="str">
        <f>IF($A173="","",INDEX(Assessment!$D:$D,$A173))</f>
        <v/>
      </c>
      <c r="D173" s="117" t="str">
        <f>IF($A173="","",INDEX(Assessment!$E:$E,$A173))</f>
        <v/>
      </c>
      <c r="E173" s="117" t="str">
        <f>IF($A173="","",INDEX(Assessment!$G:$G,$A173))</f>
        <v/>
      </c>
      <c r="F173" s="117" t="str">
        <f>IF($A173="","",INDEX(Assessment!$H:$H,$A173))</f>
        <v/>
      </c>
      <c r="G173" s="38" t="str">
        <f>IF($A173="","",INDEX(Assessment!$I:$I,$A173))</f>
        <v/>
      </c>
      <c r="H173" s="118"/>
      <c r="I173" s="118"/>
      <c r="J173" s="118"/>
    </row>
    <row r="174" spans="1:10" ht="48" customHeight="1" x14ac:dyDescent="0.25">
      <c r="A174" s="116" t="str">
        <f>IFERROR(MATCH(170,Assessment!$O:$O,0),"")</f>
        <v/>
      </c>
      <c r="B174" s="119" t="str">
        <f>IF($A174="","",INDEX(Assessment!$B:$B,$A174))</f>
        <v/>
      </c>
      <c r="C174" s="119" t="str">
        <f>IF($A174="","",INDEX(Assessment!$D:$D,$A174))</f>
        <v/>
      </c>
      <c r="D174" s="119" t="str">
        <f>IF($A174="","",INDEX(Assessment!$E:$E,$A174))</f>
        <v/>
      </c>
      <c r="E174" s="119" t="str">
        <f>IF($A174="","",INDEX(Assessment!$G:$G,$A174))</f>
        <v/>
      </c>
      <c r="F174" s="119" t="str">
        <f>IF($A174="","",INDEX(Assessment!$H:$H,$A174))</f>
        <v/>
      </c>
      <c r="G174" s="120" t="str">
        <f>IF($A174="","",INDEX(Assessment!$I:$I,$A174))</f>
        <v/>
      </c>
      <c r="H174" s="118"/>
      <c r="I174" s="118"/>
      <c r="J174" s="118"/>
    </row>
    <row r="175" spans="1:10" ht="48" customHeight="1" x14ac:dyDescent="0.25">
      <c r="A175" s="116" t="str">
        <f>IFERROR(MATCH(171,Assessment!$O:$O,0),"")</f>
        <v/>
      </c>
      <c r="B175" s="117" t="str">
        <f>IF($A175="","",INDEX(Assessment!$B:$B,$A175))</f>
        <v/>
      </c>
      <c r="C175" s="117" t="str">
        <f>IF($A175="","",INDEX(Assessment!$D:$D,$A175))</f>
        <v/>
      </c>
      <c r="D175" s="117" t="str">
        <f>IF($A175="","",INDEX(Assessment!$E:$E,$A175))</f>
        <v/>
      </c>
      <c r="E175" s="117" t="str">
        <f>IF($A175="","",INDEX(Assessment!$G:$G,$A175))</f>
        <v/>
      </c>
      <c r="F175" s="117" t="str">
        <f>IF($A175="","",INDEX(Assessment!$H:$H,$A175))</f>
        <v/>
      </c>
      <c r="G175" s="38" t="str">
        <f>IF($A175="","",INDEX(Assessment!$I:$I,$A175))</f>
        <v/>
      </c>
      <c r="H175" s="118"/>
      <c r="I175" s="118"/>
      <c r="J175" s="118"/>
    </row>
    <row r="176" spans="1:10" ht="48" customHeight="1" x14ac:dyDescent="0.25">
      <c r="A176" s="116" t="str">
        <f>IFERROR(MATCH(172,Assessment!$O:$O,0),"")</f>
        <v/>
      </c>
      <c r="B176" s="119" t="str">
        <f>IF($A176="","",INDEX(Assessment!$B:$B,$A176))</f>
        <v/>
      </c>
      <c r="C176" s="119" t="str">
        <f>IF($A176="","",INDEX(Assessment!$D:$D,$A176))</f>
        <v/>
      </c>
      <c r="D176" s="119" t="str">
        <f>IF($A176="","",INDEX(Assessment!$E:$E,$A176))</f>
        <v/>
      </c>
      <c r="E176" s="119" t="str">
        <f>IF($A176="","",INDEX(Assessment!$G:$G,$A176))</f>
        <v/>
      </c>
      <c r="F176" s="119" t="str">
        <f>IF($A176="","",INDEX(Assessment!$H:$H,$A176))</f>
        <v/>
      </c>
      <c r="G176" s="120" t="str">
        <f>IF($A176="","",INDEX(Assessment!$I:$I,$A176))</f>
        <v/>
      </c>
      <c r="H176" s="118"/>
      <c r="I176" s="118"/>
      <c r="J176" s="118"/>
    </row>
    <row r="177" spans="1:10" ht="48" customHeight="1" x14ac:dyDescent="0.25">
      <c r="A177" s="116" t="str">
        <f>IFERROR(MATCH(173,Assessment!$O:$O,0),"")</f>
        <v/>
      </c>
      <c r="B177" s="117" t="str">
        <f>IF($A177="","",INDEX(Assessment!$B:$B,$A177))</f>
        <v/>
      </c>
      <c r="C177" s="117" t="str">
        <f>IF($A177="","",INDEX(Assessment!$D:$D,$A177))</f>
        <v/>
      </c>
      <c r="D177" s="117" t="str">
        <f>IF($A177="","",INDEX(Assessment!$E:$E,$A177))</f>
        <v/>
      </c>
      <c r="E177" s="117" t="str">
        <f>IF($A177="","",INDEX(Assessment!$G:$G,$A177))</f>
        <v/>
      </c>
      <c r="F177" s="117" t="str">
        <f>IF($A177="","",INDEX(Assessment!$H:$H,$A177))</f>
        <v/>
      </c>
      <c r="G177" s="38" t="str">
        <f>IF($A177="","",INDEX(Assessment!$I:$I,$A177))</f>
        <v/>
      </c>
      <c r="H177" s="118"/>
      <c r="I177" s="118"/>
      <c r="J177" s="118"/>
    </row>
    <row r="178" spans="1:10" ht="48" customHeight="1" x14ac:dyDescent="0.25">
      <c r="A178" s="116" t="str">
        <f>IFERROR(MATCH(174,Assessment!$O:$O,0),"")</f>
        <v/>
      </c>
      <c r="B178" s="119" t="str">
        <f>IF($A178="","",INDEX(Assessment!$B:$B,$A178))</f>
        <v/>
      </c>
      <c r="C178" s="119" t="str">
        <f>IF($A178="","",INDEX(Assessment!$D:$D,$A178))</f>
        <v/>
      </c>
      <c r="D178" s="119" t="str">
        <f>IF($A178="","",INDEX(Assessment!$E:$E,$A178))</f>
        <v/>
      </c>
      <c r="E178" s="119" t="str">
        <f>IF($A178="","",INDEX(Assessment!$G:$G,$A178))</f>
        <v/>
      </c>
      <c r="F178" s="119" t="str">
        <f>IF($A178="","",INDEX(Assessment!$H:$H,$A178))</f>
        <v/>
      </c>
      <c r="G178" s="120" t="str">
        <f>IF($A178="","",INDEX(Assessment!$I:$I,$A178))</f>
        <v/>
      </c>
      <c r="H178" s="118"/>
      <c r="I178" s="118"/>
      <c r="J178" s="118"/>
    </row>
    <row r="179" spans="1:10" ht="48" customHeight="1" x14ac:dyDescent="0.25">
      <c r="A179" s="116" t="str">
        <f>IFERROR(MATCH(175,Assessment!$O:$O,0),"")</f>
        <v/>
      </c>
      <c r="B179" s="117" t="str">
        <f>IF($A179="","",INDEX(Assessment!$B:$B,$A179))</f>
        <v/>
      </c>
      <c r="C179" s="117" t="str">
        <f>IF($A179="","",INDEX(Assessment!$D:$D,$A179))</f>
        <v/>
      </c>
      <c r="D179" s="117" t="str">
        <f>IF($A179="","",INDEX(Assessment!$E:$E,$A179))</f>
        <v/>
      </c>
      <c r="E179" s="117" t="str">
        <f>IF($A179="","",INDEX(Assessment!$G:$G,$A179))</f>
        <v/>
      </c>
      <c r="F179" s="117" t="str">
        <f>IF($A179="","",INDEX(Assessment!$H:$H,$A179))</f>
        <v/>
      </c>
      <c r="G179" s="38" t="str">
        <f>IF($A179="","",INDEX(Assessment!$I:$I,$A179))</f>
        <v/>
      </c>
      <c r="H179" s="118"/>
      <c r="I179" s="118"/>
      <c r="J179" s="118"/>
    </row>
    <row r="180" spans="1:10" ht="48" customHeight="1" x14ac:dyDescent="0.25">
      <c r="A180" s="116" t="str">
        <f>IFERROR(MATCH(176,Assessment!$O:$O,0),"")</f>
        <v/>
      </c>
      <c r="B180" s="119" t="str">
        <f>IF($A180="","",INDEX(Assessment!$B:$B,$A180))</f>
        <v/>
      </c>
      <c r="C180" s="119" t="str">
        <f>IF($A180="","",INDEX(Assessment!$D:$D,$A180))</f>
        <v/>
      </c>
      <c r="D180" s="119" t="str">
        <f>IF($A180="","",INDEX(Assessment!$E:$E,$A180))</f>
        <v/>
      </c>
      <c r="E180" s="119" t="str">
        <f>IF($A180="","",INDEX(Assessment!$G:$G,$A180))</f>
        <v/>
      </c>
      <c r="F180" s="119" t="str">
        <f>IF($A180="","",INDEX(Assessment!$H:$H,$A180))</f>
        <v/>
      </c>
      <c r="G180" s="120" t="str">
        <f>IF($A180="","",INDEX(Assessment!$I:$I,$A180))</f>
        <v/>
      </c>
      <c r="H180" s="118"/>
      <c r="I180" s="118"/>
      <c r="J180" s="118"/>
    </row>
    <row r="181" spans="1:10" ht="48" customHeight="1" x14ac:dyDescent="0.25">
      <c r="A181" s="116" t="str">
        <f>IFERROR(MATCH(177,Assessment!$O:$O,0),"")</f>
        <v/>
      </c>
      <c r="B181" s="117" t="str">
        <f>IF($A181="","",INDEX(Assessment!$B:$B,$A181))</f>
        <v/>
      </c>
      <c r="C181" s="117" t="str">
        <f>IF($A181="","",INDEX(Assessment!$D:$D,$A181))</f>
        <v/>
      </c>
      <c r="D181" s="117" t="str">
        <f>IF($A181="","",INDEX(Assessment!$E:$E,$A181))</f>
        <v/>
      </c>
      <c r="E181" s="117" t="str">
        <f>IF($A181="","",INDEX(Assessment!$G:$G,$A181))</f>
        <v/>
      </c>
      <c r="F181" s="117" t="str">
        <f>IF($A181="","",INDEX(Assessment!$H:$H,$A181))</f>
        <v/>
      </c>
      <c r="G181" s="38" t="str">
        <f>IF($A181="","",INDEX(Assessment!$I:$I,$A181))</f>
        <v/>
      </c>
      <c r="H181" s="118"/>
      <c r="I181" s="118"/>
      <c r="J181" s="118"/>
    </row>
    <row r="182" spans="1:10" ht="48" customHeight="1" x14ac:dyDescent="0.25">
      <c r="A182" s="116" t="str">
        <f>IFERROR(MATCH(178,Assessment!$O:$O,0),"")</f>
        <v/>
      </c>
      <c r="B182" s="119" t="str">
        <f>IF($A182="","",INDEX(Assessment!$B:$B,$A182))</f>
        <v/>
      </c>
      <c r="C182" s="119" t="str">
        <f>IF($A182="","",INDEX(Assessment!$D:$D,$A182))</f>
        <v/>
      </c>
      <c r="D182" s="119" t="str">
        <f>IF($A182="","",INDEX(Assessment!$E:$E,$A182))</f>
        <v/>
      </c>
      <c r="E182" s="119" t="str">
        <f>IF($A182="","",INDEX(Assessment!$G:$G,$A182))</f>
        <v/>
      </c>
      <c r="F182" s="119" t="str">
        <f>IF($A182="","",INDEX(Assessment!$H:$H,$A182))</f>
        <v/>
      </c>
      <c r="G182" s="120" t="str">
        <f>IF($A182="","",INDEX(Assessment!$I:$I,$A182))</f>
        <v/>
      </c>
      <c r="H182" s="118"/>
      <c r="I182" s="118"/>
      <c r="J182" s="118"/>
    </row>
    <row r="183" spans="1:10" ht="48" customHeight="1" x14ac:dyDescent="0.25">
      <c r="A183" s="116" t="str">
        <f>IFERROR(MATCH(179,Assessment!$O:$O,0),"")</f>
        <v/>
      </c>
      <c r="B183" s="117" t="str">
        <f>IF($A183="","",INDEX(Assessment!$B:$B,$A183))</f>
        <v/>
      </c>
      <c r="C183" s="117" t="str">
        <f>IF($A183="","",INDEX(Assessment!$D:$D,$A183))</f>
        <v/>
      </c>
      <c r="D183" s="117" t="str">
        <f>IF($A183="","",INDEX(Assessment!$E:$E,$A183))</f>
        <v/>
      </c>
      <c r="E183" s="117" t="str">
        <f>IF($A183="","",INDEX(Assessment!$G:$G,$A183))</f>
        <v/>
      </c>
      <c r="F183" s="117" t="str">
        <f>IF($A183="","",INDEX(Assessment!$H:$H,$A183))</f>
        <v/>
      </c>
      <c r="G183" s="38" t="str">
        <f>IF($A183="","",INDEX(Assessment!$I:$I,$A183))</f>
        <v/>
      </c>
      <c r="H183" s="118"/>
      <c r="I183" s="118"/>
      <c r="J183" s="118"/>
    </row>
    <row r="184" spans="1:10" ht="48" customHeight="1" x14ac:dyDescent="0.25">
      <c r="A184" s="116" t="str">
        <f>IFERROR(MATCH(180,Assessment!$O:$O,0),"")</f>
        <v/>
      </c>
      <c r="B184" s="119" t="str">
        <f>IF($A184="","",INDEX(Assessment!$B:$B,$A184))</f>
        <v/>
      </c>
      <c r="C184" s="119" t="str">
        <f>IF($A184="","",INDEX(Assessment!$D:$D,$A184))</f>
        <v/>
      </c>
      <c r="D184" s="119" t="str">
        <f>IF($A184="","",INDEX(Assessment!$E:$E,$A184))</f>
        <v/>
      </c>
      <c r="E184" s="119" t="str">
        <f>IF($A184="","",INDEX(Assessment!$G:$G,$A184))</f>
        <v/>
      </c>
      <c r="F184" s="119" t="str">
        <f>IF($A184="","",INDEX(Assessment!$H:$H,$A184))</f>
        <v/>
      </c>
      <c r="G184" s="120" t="str">
        <f>IF($A184="","",INDEX(Assessment!$I:$I,$A184))</f>
        <v/>
      </c>
      <c r="H184" s="118"/>
      <c r="I184" s="118"/>
      <c r="J184" s="118"/>
    </row>
    <row r="185" spans="1:10" ht="48" customHeight="1" x14ac:dyDescent="0.25">
      <c r="A185" s="116" t="str">
        <f>IFERROR(MATCH(181,Assessment!$O:$O,0),"")</f>
        <v/>
      </c>
      <c r="B185" s="117" t="str">
        <f>IF($A185="","",INDEX(Assessment!$B:$B,$A185))</f>
        <v/>
      </c>
      <c r="C185" s="117" t="str">
        <f>IF($A185="","",INDEX(Assessment!$D:$D,$A185))</f>
        <v/>
      </c>
      <c r="D185" s="117" t="str">
        <f>IF($A185="","",INDEX(Assessment!$E:$E,$A185))</f>
        <v/>
      </c>
      <c r="E185" s="117" t="str">
        <f>IF($A185="","",INDEX(Assessment!$G:$G,$A185))</f>
        <v/>
      </c>
      <c r="F185" s="117" t="str">
        <f>IF($A185="","",INDEX(Assessment!$H:$H,$A185))</f>
        <v/>
      </c>
      <c r="G185" s="38" t="str">
        <f>IF($A185="","",INDEX(Assessment!$I:$I,$A185))</f>
        <v/>
      </c>
      <c r="H185" s="118"/>
      <c r="I185" s="118"/>
      <c r="J185" s="118"/>
    </row>
    <row r="186" spans="1:10" ht="48" customHeight="1" x14ac:dyDescent="0.25">
      <c r="A186" s="116" t="str">
        <f>IFERROR(MATCH(182,Assessment!$O:$O,0),"")</f>
        <v/>
      </c>
      <c r="B186" s="119" t="str">
        <f>IF($A186="","",INDEX(Assessment!$B:$B,$A186))</f>
        <v/>
      </c>
      <c r="C186" s="119" t="str">
        <f>IF($A186="","",INDEX(Assessment!$D:$D,$A186))</f>
        <v/>
      </c>
      <c r="D186" s="119" t="str">
        <f>IF($A186="","",INDEX(Assessment!$E:$E,$A186))</f>
        <v/>
      </c>
      <c r="E186" s="119" t="str">
        <f>IF($A186="","",INDEX(Assessment!$G:$G,$A186))</f>
        <v/>
      </c>
      <c r="F186" s="119" t="str">
        <f>IF($A186="","",INDEX(Assessment!$H:$H,$A186))</f>
        <v/>
      </c>
      <c r="G186" s="120" t="str">
        <f>IF($A186="","",INDEX(Assessment!$I:$I,$A186))</f>
        <v/>
      </c>
      <c r="H186" s="118"/>
      <c r="I186" s="118"/>
      <c r="J186" s="118"/>
    </row>
    <row r="187" spans="1:10" ht="48" customHeight="1" x14ac:dyDescent="0.25">
      <c r="A187" s="116" t="str">
        <f>IFERROR(MATCH(183,Assessment!$O:$O,0),"")</f>
        <v/>
      </c>
      <c r="B187" s="117" t="str">
        <f>IF($A187="","",INDEX(Assessment!$B:$B,$A187))</f>
        <v/>
      </c>
      <c r="C187" s="117" t="str">
        <f>IF($A187="","",INDEX(Assessment!$D:$D,$A187))</f>
        <v/>
      </c>
      <c r="D187" s="117" t="str">
        <f>IF($A187="","",INDEX(Assessment!$E:$E,$A187))</f>
        <v/>
      </c>
      <c r="E187" s="117" t="str">
        <f>IF($A187="","",INDEX(Assessment!$G:$G,$A187))</f>
        <v/>
      </c>
      <c r="F187" s="117" t="str">
        <f>IF($A187="","",INDEX(Assessment!$H:$H,$A187))</f>
        <v/>
      </c>
      <c r="G187" s="38" t="str">
        <f>IF($A187="","",INDEX(Assessment!$I:$I,$A187))</f>
        <v/>
      </c>
      <c r="H187" s="118"/>
      <c r="I187" s="118"/>
      <c r="J187" s="118"/>
    </row>
    <row r="188" spans="1:10" ht="48" customHeight="1" x14ac:dyDescent="0.25">
      <c r="A188" s="116" t="str">
        <f>IFERROR(MATCH(184,Assessment!$O:$O,0),"")</f>
        <v/>
      </c>
      <c r="B188" s="119" t="str">
        <f>IF($A188="","",INDEX(Assessment!$B:$B,$A188))</f>
        <v/>
      </c>
      <c r="C188" s="119" t="str">
        <f>IF($A188="","",INDEX(Assessment!$D:$D,$A188))</f>
        <v/>
      </c>
      <c r="D188" s="119" t="str">
        <f>IF($A188="","",INDEX(Assessment!$E:$E,$A188))</f>
        <v/>
      </c>
      <c r="E188" s="119" t="str">
        <f>IF($A188="","",INDEX(Assessment!$G:$G,$A188))</f>
        <v/>
      </c>
      <c r="F188" s="119" t="str">
        <f>IF($A188="","",INDEX(Assessment!$H:$H,$A188))</f>
        <v/>
      </c>
      <c r="G188" s="120" t="str">
        <f>IF($A188="","",INDEX(Assessment!$I:$I,$A188))</f>
        <v/>
      </c>
      <c r="H188" s="118"/>
      <c r="I188" s="118"/>
      <c r="J188" s="118"/>
    </row>
    <row r="189" spans="1:10" ht="48" customHeight="1" x14ac:dyDescent="0.25">
      <c r="A189" s="116" t="str">
        <f>IFERROR(MATCH(185,Assessment!$O:$O,0),"")</f>
        <v/>
      </c>
      <c r="B189" s="117" t="str">
        <f>IF($A189="","",INDEX(Assessment!$B:$B,$A189))</f>
        <v/>
      </c>
      <c r="C189" s="117" t="str">
        <f>IF($A189="","",INDEX(Assessment!$D:$D,$A189))</f>
        <v/>
      </c>
      <c r="D189" s="117" t="str">
        <f>IF($A189="","",INDEX(Assessment!$E:$E,$A189))</f>
        <v/>
      </c>
      <c r="E189" s="117" t="str">
        <f>IF($A189="","",INDEX(Assessment!$G:$G,$A189))</f>
        <v/>
      </c>
      <c r="F189" s="117" t="str">
        <f>IF($A189="","",INDEX(Assessment!$H:$H,$A189))</f>
        <v/>
      </c>
      <c r="G189" s="38" t="str">
        <f>IF($A189="","",INDEX(Assessment!$I:$I,$A189))</f>
        <v/>
      </c>
      <c r="H189" s="118"/>
      <c r="I189" s="118"/>
      <c r="J189" s="118"/>
    </row>
    <row r="190" spans="1:10" ht="48" customHeight="1" x14ac:dyDescent="0.25">
      <c r="A190" s="116" t="str">
        <f>IFERROR(MATCH(186,Assessment!$O:$O,0),"")</f>
        <v/>
      </c>
      <c r="B190" s="119" t="str">
        <f>IF($A190="","",INDEX(Assessment!$B:$B,$A190))</f>
        <v/>
      </c>
      <c r="C190" s="119" t="str">
        <f>IF($A190="","",INDEX(Assessment!$D:$D,$A190))</f>
        <v/>
      </c>
      <c r="D190" s="119" t="str">
        <f>IF($A190="","",INDEX(Assessment!$E:$E,$A190))</f>
        <v/>
      </c>
      <c r="E190" s="119" t="str">
        <f>IF($A190="","",INDEX(Assessment!$G:$G,$A190))</f>
        <v/>
      </c>
      <c r="F190" s="119" t="str">
        <f>IF($A190="","",INDEX(Assessment!$H:$H,$A190))</f>
        <v/>
      </c>
      <c r="G190" s="120" t="str">
        <f>IF($A190="","",INDEX(Assessment!$I:$I,$A190))</f>
        <v/>
      </c>
      <c r="H190" s="118"/>
      <c r="I190" s="118"/>
      <c r="J190" s="118"/>
    </row>
    <row r="191" spans="1:10" ht="48" customHeight="1" x14ac:dyDescent="0.25">
      <c r="A191" s="116" t="str">
        <f>IFERROR(MATCH(187,Assessment!$O:$O,0),"")</f>
        <v/>
      </c>
      <c r="B191" s="117" t="str">
        <f>IF($A191="","",INDEX(Assessment!$B:$B,$A191))</f>
        <v/>
      </c>
      <c r="C191" s="117" t="str">
        <f>IF($A191="","",INDEX(Assessment!$D:$D,$A191))</f>
        <v/>
      </c>
      <c r="D191" s="117" t="str">
        <f>IF($A191="","",INDEX(Assessment!$E:$E,$A191))</f>
        <v/>
      </c>
      <c r="E191" s="117" t="str">
        <f>IF($A191="","",INDEX(Assessment!$G:$G,$A191))</f>
        <v/>
      </c>
      <c r="F191" s="117" t="str">
        <f>IF($A191="","",INDEX(Assessment!$H:$H,$A191))</f>
        <v/>
      </c>
      <c r="G191" s="38" t="str">
        <f>IF($A191="","",INDEX(Assessment!$I:$I,$A191))</f>
        <v/>
      </c>
      <c r="H191" s="118"/>
      <c r="I191" s="118"/>
      <c r="J191" s="118"/>
    </row>
    <row r="192" spans="1:10" ht="48" customHeight="1" x14ac:dyDescent="0.25">
      <c r="A192" s="116" t="str">
        <f>IFERROR(MATCH(188,Assessment!$O:$O,0),"")</f>
        <v/>
      </c>
      <c r="B192" s="119" t="str">
        <f>IF($A192="","",INDEX(Assessment!$B:$B,$A192))</f>
        <v/>
      </c>
      <c r="C192" s="119" t="str">
        <f>IF($A192="","",INDEX(Assessment!$D:$D,$A192))</f>
        <v/>
      </c>
      <c r="D192" s="119" t="str">
        <f>IF($A192="","",INDEX(Assessment!$E:$E,$A192))</f>
        <v/>
      </c>
      <c r="E192" s="119" t="str">
        <f>IF($A192="","",INDEX(Assessment!$G:$G,$A192))</f>
        <v/>
      </c>
      <c r="F192" s="119" t="str">
        <f>IF($A192="","",INDEX(Assessment!$H:$H,$A192))</f>
        <v/>
      </c>
      <c r="G192" s="120" t="str">
        <f>IF($A192="","",INDEX(Assessment!$I:$I,$A192))</f>
        <v/>
      </c>
      <c r="H192" s="118"/>
      <c r="I192" s="118"/>
      <c r="J192" s="118"/>
    </row>
    <row r="193" spans="1:10" ht="48" customHeight="1" x14ac:dyDescent="0.25">
      <c r="A193" s="116" t="str">
        <f>IFERROR(MATCH(189,Assessment!$O:$O,0),"")</f>
        <v/>
      </c>
      <c r="B193" s="117" t="str">
        <f>IF($A193="","",INDEX(Assessment!$B:$B,$A193))</f>
        <v/>
      </c>
      <c r="C193" s="117" t="str">
        <f>IF($A193="","",INDEX(Assessment!$D:$D,$A193))</f>
        <v/>
      </c>
      <c r="D193" s="117" t="str">
        <f>IF($A193="","",INDEX(Assessment!$E:$E,$A193))</f>
        <v/>
      </c>
      <c r="E193" s="117" t="str">
        <f>IF($A193="","",INDEX(Assessment!$G:$G,$A193))</f>
        <v/>
      </c>
      <c r="F193" s="117" t="str">
        <f>IF($A193="","",INDEX(Assessment!$H:$H,$A193))</f>
        <v/>
      </c>
      <c r="G193" s="38" t="str">
        <f>IF($A193="","",INDEX(Assessment!$I:$I,$A193))</f>
        <v/>
      </c>
      <c r="H193" s="118"/>
      <c r="I193" s="118"/>
      <c r="J193" s="118"/>
    </row>
    <row r="194" spans="1:10" ht="48" customHeight="1" x14ac:dyDescent="0.25">
      <c r="A194" s="116" t="str">
        <f>IFERROR(MATCH(190,Assessment!$O:$O,0),"")</f>
        <v/>
      </c>
      <c r="B194" s="119" t="str">
        <f>IF($A194="","",INDEX(Assessment!$B:$B,$A194))</f>
        <v/>
      </c>
      <c r="C194" s="119" t="str">
        <f>IF($A194="","",INDEX(Assessment!$D:$D,$A194))</f>
        <v/>
      </c>
      <c r="D194" s="119" t="str">
        <f>IF($A194="","",INDEX(Assessment!$E:$E,$A194))</f>
        <v/>
      </c>
      <c r="E194" s="119" t="str">
        <f>IF($A194="","",INDEX(Assessment!$G:$G,$A194))</f>
        <v/>
      </c>
      <c r="F194" s="119" t="str">
        <f>IF($A194="","",INDEX(Assessment!$H:$H,$A194))</f>
        <v/>
      </c>
      <c r="G194" s="120" t="str">
        <f>IF($A194="","",INDEX(Assessment!$I:$I,$A194))</f>
        <v/>
      </c>
      <c r="H194" s="118"/>
      <c r="I194" s="118"/>
      <c r="J194" s="118"/>
    </row>
    <row r="195" spans="1:10" ht="48" customHeight="1" x14ac:dyDescent="0.25">
      <c r="A195" s="116" t="str">
        <f>IFERROR(MATCH(191,Assessment!$O:$O,0),"")</f>
        <v/>
      </c>
      <c r="B195" s="117" t="str">
        <f>IF($A195="","",INDEX(Assessment!$B:$B,$A195))</f>
        <v/>
      </c>
      <c r="C195" s="117" t="str">
        <f>IF($A195="","",INDEX(Assessment!$D:$D,$A195))</f>
        <v/>
      </c>
      <c r="D195" s="117" t="str">
        <f>IF($A195="","",INDEX(Assessment!$E:$E,$A195))</f>
        <v/>
      </c>
      <c r="E195" s="117" t="str">
        <f>IF($A195="","",INDEX(Assessment!$G:$G,$A195))</f>
        <v/>
      </c>
      <c r="F195" s="117" t="str">
        <f>IF($A195="","",INDEX(Assessment!$H:$H,$A195))</f>
        <v/>
      </c>
      <c r="G195" s="38" t="str">
        <f>IF($A195="","",INDEX(Assessment!$I:$I,$A195))</f>
        <v/>
      </c>
      <c r="H195" s="118"/>
      <c r="I195" s="118"/>
      <c r="J195" s="118"/>
    </row>
    <row r="196" spans="1:10" ht="48" customHeight="1" x14ac:dyDescent="0.25">
      <c r="A196" s="116" t="str">
        <f>IFERROR(MATCH(192,Assessment!$O:$O,0),"")</f>
        <v/>
      </c>
      <c r="B196" s="119" t="str">
        <f>IF($A196="","",INDEX(Assessment!$B:$B,$A196))</f>
        <v/>
      </c>
      <c r="C196" s="119" t="str">
        <f>IF($A196="","",INDEX(Assessment!$D:$D,$A196))</f>
        <v/>
      </c>
      <c r="D196" s="119" t="str">
        <f>IF($A196="","",INDEX(Assessment!$E:$E,$A196))</f>
        <v/>
      </c>
      <c r="E196" s="119" t="str">
        <f>IF($A196="","",INDEX(Assessment!$G:$G,$A196))</f>
        <v/>
      </c>
      <c r="F196" s="119" t="str">
        <f>IF($A196="","",INDEX(Assessment!$H:$H,$A196))</f>
        <v/>
      </c>
      <c r="G196" s="120" t="str">
        <f>IF($A196="","",INDEX(Assessment!$I:$I,$A196))</f>
        <v/>
      </c>
      <c r="H196" s="118"/>
      <c r="I196" s="118"/>
      <c r="J196" s="118"/>
    </row>
    <row r="197" spans="1:10" ht="48" customHeight="1" x14ac:dyDescent="0.25">
      <c r="A197" s="116" t="str">
        <f>IFERROR(MATCH(193,Assessment!$O:$O,0),"")</f>
        <v/>
      </c>
      <c r="B197" s="117" t="str">
        <f>IF($A197="","",INDEX(Assessment!$B:$B,$A197))</f>
        <v/>
      </c>
      <c r="C197" s="117" t="str">
        <f>IF($A197="","",INDEX(Assessment!$D:$D,$A197))</f>
        <v/>
      </c>
      <c r="D197" s="117" t="str">
        <f>IF($A197="","",INDEX(Assessment!$E:$E,$A197))</f>
        <v/>
      </c>
      <c r="E197" s="117" t="str">
        <f>IF($A197="","",INDEX(Assessment!$G:$G,$A197))</f>
        <v/>
      </c>
      <c r="F197" s="117" t="str">
        <f>IF($A197="","",INDEX(Assessment!$H:$H,$A197))</f>
        <v/>
      </c>
      <c r="G197" s="38" t="str">
        <f>IF($A197="","",INDEX(Assessment!$I:$I,$A197))</f>
        <v/>
      </c>
      <c r="H197" s="118"/>
      <c r="I197" s="118"/>
      <c r="J197" s="118"/>
    </row>
    <row r="198" spans="1:10" ht="48" customHeight="1" x14ac:dyDescent="0.25">
      <c r="A198" s="116" t="str">
        <f>IFERROR(MATCH(194,Assessment!$O:$O,0),"")</f>
        <v/>
      </c>
      <c r="B198" s="119" t="str">
        <f>IF($A198="","",INDEX(Assessment!$B:$B,$A198))</f>
        <v/>
      </c>
      <c r="C198" s="119" t="str">
        <f>IF($A198="","",INDEX(Assessment!$D:$D,$A198))</f>
        <v/>
      </c>
      <c r="D198" s="119" t="str">
        <f>IF($A198="","",INDEX(Assessment!$E:$E,$A198))</f>
        <v/>
      </c>
      <c r="E198" s="119" t="str">
        <f>IF($A198="","",INDEX(Assessment!$G:$G,$A198))</f>
        <v/>
      </c>
      <c r="F198" s="119" t="str">
        <f>IF($A198="","",INDEX(Assessment!$H:$H,$A198))</f>
        <v/>
      </c>
      <c r="G198" s="120" t="str">
        <f>IF($A198="","",INDEX(Assessment!$I:$I,$A198))</f>
        <v/>
      </c>
      <c r="H198" s="118"/>
      <c r="I198" s="118"/>
      <c r="J198" s="118"/>
    </row>
    <row r="199" spans="1:10" ht="48" customHeight="1" x14ac:dyDescent="0.25">
      <c r="A199" s="116" t="str">
        <f>IFERROR(MATCH(195,Assessment!$O:$O,0),"")</f>
        <v/>
      </c>
      <c r="B199" s="117" t="str">
        <f>IF($A199="","",INDEX(Assessment!$B:$B,$A199))</f>
        <v/>
      </c>
      <c r="C199" s="117" t="str">
        <f>IF($A199="","",INDEX(Assessment!$D:$D,$A199))</f>
        <v/>
      </c>
      <c r="D199" s="117" t="str">
        <f>IF($A199="","",INDEX(Assessment!$E:$E,$A199))</f>
        <v/>
      </c>
      <c r="E199" s="117" t="str">
        <f>IF($A199="","",INDEX(Assessment!$G:$G,$A199))</f>
        <v/>
      </c>
      <c r="F199" s="117" t="str">
        <f>IF($A199="","",INDEX(Assessment!$H:$H,$A199))</f>
        <v/>
      </c>
      <c r="G199" s="38" t="str">
        <f>IF($A199="","",INDEX(Assessment!$I:$I,$A199))</f>
        <v/>
      </c>
      <c r="H199" s="118"/>
      <c r="I199" s="118"/>
      <c r="J199" s="118"/>
    </row>
    <row r="200" spans="1:10" ht="48" customHeight="1" x14ac:dyDescent="0.25">
      <c r="A200" s="116" t="str">
        <f>IFERROR(MATCH(196,Assessment!$O:$O,0),"")</f>
        <v/>
      </c>
      <c r="B200" s="119" t="str">
        <f>IF($A200="","",INDEX(Assessment!$B:$B,$A200))</f>
        <v/>
      </c>
      <c r="C200" s="119" t="str">
        <f>IF($A200="","",INDEX(Assessment!$D:$D,$A200))</f>
        <v/>
      </c>
      <c r="D200" s="119" t="str">
        <f>IF($A200="","",INDEX(Assessment!$E:$E,$A200))</f>
        <v/>
      </c>
      <c r="E200" s="119" t="str">
        <f>IF($A200="","",INDEX(Assessment!$G:$G,$A200))</f>
        <v/>
      </c>
      <c r="F200" s="119" t="str">
        <f>IF($A200="","",INDEX(Assessment!$H:$H,$A200))</f>
        <v/>
      </c>
      <c r="G200" s="120" t="str">
        <f>IF($A200="","",INDEX(Assessment!$I:$I,$A200))</f>
        <v/>
      </c>
      <c r="H200" s="118"/>
      <c r="I200" s="118"/>
      <c r="J200" s="118"/>
    </row>
    <row r="201" spans="1:10" ht="48" customHeight="1" x14ac:dyDescent="0.25">
      <c r="A201" s="116" t="str">
        <f>IFERROR(MATCH(197,Assessment!$O:$O,0),"")</f>
        <v/>
      </c>
      <c r="B201" s="117" t="str">
        <f>IF($A201="","",INDEX(Assessment!$B:$B,$A201))</f>
        <v/>
      </c>
      <c r="C201" s="117" t="str">
        <f>IF($A201="","",INDEX(Assessment!$D:$D,$A201))</f>
        <v/>
      </c>
      <c r="D201" s="117" t="str">
        <f>IF($A201="","",INDEX(Assessment!$E:$E,$A201))</f>
        <v/>
      </c>
      <c r="E201" s="117" t="str">
        <f>IF($A201="","",INDEX(Assessment!$G:$G,$A201))</f>
        <v/>
      </c>
      <c r="F201" s="117" t="str">
        <f>IF($A201="","",INDEX(Assessment!$H:$H,$A201))</f>
        <v/>
      </c>
      <c r="G201" s="38" t="str">
        <f>IF($A201="","",INDEX(Assessment!$I:$I,$A201))</f>
        <v/>
      </c>
      <c r="H201" s="118"/>
      <c r="I201" s="118"/>
      <c r="J201" s="118"/>
    </row>
    <row r="202" spans="1:10" ht="48" customHeight="1" x14ac:dyDescent="0.25">
      <c r="A202" s="116" t="str">
        <f>IFERROR(MATCH(198,Assessment!$O:$O,0),"")</f>
        <v/>
      </c>
      <c r="B202" s="119" t="str">
        <f>IF($A202="","",INDEX(Assessment!$B:$B,$A202))</f>
        <v/>
      </c>
      <c r="C202" s="119" t="str">
        <f>IF($A202="","",INDEX(Assessment!$D:$D,$A202))</f>
        <v/>
      </c>
      <c r="D202" s="119" t="str">
        <f>IF($A202="","",INDEX(Assessment!$E:$E,$A202))</f>
        <v/>
      </c>
      <c r="E202" s="119" t="str">
        <f>IF($A202="","",INDEX(Assessment!$G:$G,$A202))</f>
        <v/>
      </c>
      <c r="F202" s="119" t="str">
        <f>IF($A202="","",INDEX(Assessment!$H:$H,$A202))</f>
        <v/>
      </c>
      <c r="G202" s="120" t="str">
        <f>IF($A202="","",INDEX(Assessment!$I:$I,$A202))</f>
        <v/>
      </c>
      <c r="H202" s="118"/>
      <c r="I202" s="118"/>
      <c r="J202" s="118"/>
    </row>
    <row r="203" spans="1:10" ht="48" customHeight="1" x14ac:dyDescent="0.25">
      <c r="A203" s="116" t="str">
        <f>IFERROR(MATCH(199,Assessment!$O:$O,0),"")</f>
        <v/>
      </c>
      <c r="B203" s="117" t="str">
        <f>IF($A203="","",INDEX(Assessment!$B:$B,$A203))</f>
        <v/>
      </c>
      <c r="C203" s="117" t="str">
        <f>IF($A203="","",INDEX(Assessment!$D:$D,$A203))</f>
        <v/>
      </c>
      <c r="D203" s="117" t="str">
        <f>IF($A203="","",INDEX(Assessment!$E:$E,$A203))</f>
        <v/>
      </c>
      <c r="E203" s="117" t="str">
        <f>IF($A203="","",INDEX(Assessment!$G:$G,$A203))</f>
        <v/>
      </c>
      <c r="F203" s="117" t="str">
        <f>IF($A203="","",INDEX(Assessment!$H:$H,$A203))</f>
        <v/>
      </c>
      <c r="G203" s="38" t="str">
        <f>IF($A203="","",INDEX(Assessment!$I:$I,$A203))</f>
        <v/>
      </c>
      <c r="H203" s="118"/>
      <c r="I203" s="118"/>
      <c r="J203" s="118"/>
    </row>
    <row r="204" spans="1:10" ht="48" customHeight="1" x14ac:dyDescent="0.25">
      <c r="A204" s="116" t="str">
        <f>IFERROR(MATCH(200,Assessment!$O:$O,0),"")</f>
        <v/>
      </c>
      <c r="B204" s="119" t="str">
        <f>IF($A204="","",INDEX(Assessment!$B:$B,$A204))</f>
        <v/>
      </c>
      <c r="C204" s="119" t="str">
        <f>IF($A204="","",INDEX(Assessment!$D:$D,$A204))</f>
        <v/>
      </c>
      <c r="D204" s="119" t="str">
        <f>IF($A204="","",INDEX(Assessment!$E:$E,$A204))</f>
        <v/>
      </c>
      <c r="E204" s="119" t="str">
        <f>IF($A204="","",INDEX(Assessment!$G:$G,$A204))</f>
        <v/>
      </c>
      <c r="F204" s="119" t="str">
        <f>IF($A204="","",INDEX(Assessment!$H:$H,$A204))</f>
        <v/>
      </c>
      <c r="G204" s="120" t="str">
        <f>IF($A204="","",INDEX(Assessment!$I:$I,$A204))</f>
        <v/>
      </c>
      <c r="H204" s="118"/>
      <c r="I204" s="118"/>
      <c r="J204" s="118"/>
    </row>
    <row r="205" spans="1:10" ht="48" customHeight="1" x14ac:dyDescent="0.25">
      <c r="A205" s="116" t="str">
        <f>IFERROR(MATCH(201,Assessment!$O:$O,0),"")</f>
        <v/>
      </c>
      <c r="B205" s="117" t="str">
        <f>IF($A205="","",INDEX(Assessment!$B:$B,$A205))</f>
        <v/>
      </c>
      <c r="C205" s="117" t="str">
        <f>IF($A205="","",INDEX(Assessment!$D:$D,$A205))</f>
        <v/>
      </c>
      <c r="D205" s="117" t="str">
        <f>IF($A205="","",INDEX(Assessment!$E:$E,$A205))</f>
        <v/>
      </c>
      <c r="E205" s="117" t="str">
        <f>IF($A205="","",INDEX(Assessment!$G:$G,$A205))</f>
        <v/>
      </c>
      <c r="F205" s="117" t="str">
        <f>IF($A205="","",INDEX(Assessment!$H:$H,$A205))</f>
        <v/>
      </c>
      <c r="G205" s="38" t="str">
        <f>IF($A205="","",INDEX(Assessment!$I:$I,$A205))</f>
        <v/>
      </c>
      <c r="H205" s="118"/>
      <c r="I205" s="118"/>
      <c r="J205" s="118"/>
    </row>
    <row r="206" spans="1:10" ht="48" customHeight="1" x14ac:dyDescent="0.25">
      <c r="A206" s="116" t="str">
        <f>IFERROR(MATCH(202,Assessment!$O:$O,0),"")</f>
        <v/>
      </c>
      <c r="B206" s="119" t="str">
        <f>IF($A206="","",INDEX(Assessment!$B:$B,$A206))</f>
        <v/>
      </c>
      <c r="C206" s="119" t="str">
        <f>IF($A206="","",INDEX(Assessment!$D:$D,$A206))</f>
        <v/>
      </c>
      <c r="D206" s="119" t="str">
        <f>IF($A206="","",INDEX(Assessment!$E:$E,$A206))</f>
        <v/>
      </c>
      <c r="E206" s="119" t="str">
        <f>IF($A206="","",INDEX(Assessment!$G:$G,$A206))</f>
        <v/>
      </c>
      <c r="F206" s="119" t="str">
        <f>IF($A206="","",INDEX(Assessment!$H:$H,$A206))</f>
        <v/>
      </c>
      <c r="G206" s="120" t="str">
        <f>IF($A206="","",INDEX(Assessment!$I:$I,$A206))</f>
        <v/>
      </c>
      <c r="H206" s="118"/>
      <c r="I206" s="118"/>
      <c r="J206" s="118"/>
    </row>
    <row r="207" spans="1:10" ht="48" customHeight="1" x14ac:dyDescent="0.25">
      <c r="A207" s="116" t="str">
        <f>IFERROR(MATCH(203,Assessment!$O:$O,0),"")</f>
        <v/>
      </c>
      <c r="B207" s="117" t="str">
        <f>IF($A207="","",INDEX(Assessment!$B:$B,$A207))</f>
        <v/>
      </c>
      <c r="C207" s="117" t="str">
        <f>IF($A207="","",INDEX(Assessment!$D:$D,$A207))</f>
        <v/>
      </c>
      <c r="D207" s="117" t="str">
        <f>IF($A207="","",INDEX(Assessment!$E:$E,$A207))</f>
        <v/>
      </c>
      <c r="E207" s="117" t="str">
        <f>IF($A207="","",INDEX(Assessment!$G:$G,$A207))</f>
        <v/>
      </c>
      <c r="F207" s="117" t="str">
        <f>IF($A207="","",INDEX(Assessment!$H:$H,$A207))</f>
        <v/>
      </c>
      <c r="G207" s="38" t="str">
        <f>IF($A207="","",INDEX(Assessment!$I:$I,$A207))</f>
        <v/>
      </c>
      <c r="H207" s="118"/>
      <c r="I207" s="118"/>
      <c r="J207" s="118"/>
    </row>
    <row r="208" spans="1:10" ht="48" customHeight="1" x14ac:dyDescent="0.25">
      <c r="A208" s="116" t="str">
        <f>IFERROR(MATCH(204,Assessment!$O:$O,0),"")</f>
        <v/>
      </c>
      <c r="B208" s="119" t="str">
        <f>IF($A208="","",INDEX(Assessment!$B:$B,$A208))</f>
        <v/>
      </c>
      <c r="C208" s="119" t="str">
        <f>IF($A208="","",INDEX(Assessment!$D:$D,$A208))</f>
        <v/>
      </c>
      <c r="D208" s="119" t="str">
        <f>IF($A208="","",INDEX(Assessment!$E:$E,$A208))</f>
        <v/>
      </c>
      <c r="E208" s="119" t="str">
        <f>IF($A208="","",INDEX(Assessment!$G:$G,$A208))</f>
        <v/>
      </c>
      <c r="F208" s="119" t="str">
        <f>IF($A208="","",INDEX(Assessment!$H:$H,$A208))</f>
        <v/>
      </c>
      <c r="G208" s="120" t="str">
        <f>IF($A208="","",INDEX(Assessment!$I:$I,$A208))</f>
        <v/>
      </c>
      <c r="H208" s="118"/>
      <c r="I208" s="118"/>
      <c r="J208" s="118"/>
    </row>
    <row r="209" spans="1:10" ht="48" customHeight="1" x14ac:dyDescent="0.25">
      <c r="A209" s="116" t="str">
        <f>IFERROR(MATCH(205,Assessment!$O:$O,0),"")</f>
        <v/>
      </c>
      <c r="B209" s="117" t="str">
        <f>IF($A209="","",INDEX(Assessment!$B:$B,$A209))</f>
        <v/>
      </c>
      <c r="C209" s="117" t="str">
        <f>IF($A209="","",INDEX(Assessment!$D:$D,$A209))</f>
        <v/>
      </c>
      <c r="D209" s="117" t="str">
        <f>IF($A209="","",INDEX(Assessment!$E:$E,$A209))</f>
        <v/>
      </c>
      <c r="E209" s="117" t="str">
        <f>IF($A209="","",INDEX(Assessment!$G:$G,$A209))</f>
        <v/>
      </c>
      <c r="F209" s="117" t="str">
        <f>IF($A209="","",INDEX(Assessment!$H:$H,$A209))</f>
        <v/>
      </c>
      <c r="G209" s="38" t="str">
        <f>IF($A209="","",INDEX(Assessment!$I:$I,$A209))</f>
        <v/>
      </c>
      <c r="H209" s="118"/>
      <c r="I209" s="118"/>
      <c r="J209" s="118"/>
    </row>
    <row r="210" spans="1:10" ht="48" customHeight="1" x14ac:dyDescent="0.25">
      <c r="A210" s="116" t="str">
        <f>IFERROR(MATCH(206,Assessment!$O:$O,0),"")</f>
        <v/>
      </c>
      <c r="B210" s="119" t="str">
        <f>IF($A210="","",INDEX(Assessment!$B:$B,$A210))</f>
        <v/>
      </c>
      <c r="C210" s="119" t="str">
        <f>IF($A210="","",INDEX(Assessment!$D:$D,$A210))</f>
        <v/>
      </c>
      <c r="D210" s="119" t="str">
        <f>IF($A210="","",INDEX(Assessment!$E:$E,$A210))</f>
        <v/>
      </c>
      <c r="E210" s="119" t="str">
        <f>IF($A210="","",INDEX(Assessment!$G:$G,$A210))</f>
        <v/>
      </c>
      <c r="F210" s="119" t="str">
        <f>IF($A210="","",INDEX(Assessment!$H:$H,$A210))</f>
        <v/>
      </c>
      <c r="G210" s="120" t="str">
        <f>IF($A210="","",INDEX(Assessment!$I:$I,$A210))</f>
        <v/>
      </c>
      <c r="H210" s="118"/>
      <c r="I210" s="118"/>
      <c r="J210" s="118"/>
    </row>
    <row r="211" spans="1:10" ht="48" customHeight="1" x14ac:dyDescent="0.25">
      <c r="A211" s="116" t="str">
        <f>IFERROR(MATCH(207,Assessment!$O:$O,0),"")</f>
        <v/>
      </c>
      <c r="B211" s="117" t="str">
        <f>IF($A211="","",INDEX(Assessment!$B:$B,$A211))</f>
        <v/>
      </c>
      <c r="C211" s="117" t="str">
        <f>IF($A211="","",INDEX(Assessment!$D:$D,$A211))</f>
        <v/>
      </c>
      <c r="D211" s="117" t="str">
        <f>IF($A211="","",INDEX(Assessment!$E:$E,$A211))</f>
        <v/>
      </c>
      <c r="E211" s="117" t="str">
        <f>IF($A211="","",INDEX(Assessment!$G:$G,$A211))</f>
        <v/>
      </c>
      <c r="F211" s="117" t="str">
        <f>IF($A211="","",INDEX(Assessment!$H:$H,$A211))</f>
        <v/>
      </c>
      <c r="G211" s="38" t="str">
        <f>IF($A211="","",INDEX(Assessment!$I:$I,$A211))</f>
        <v/>
      </c>
      <c r="H211" s="118"/>
      <c r="I211" s="118"/>
      <c r="J211" s="118"/>
    </row>
    <row r="212" spans="1:10" ht="48" customHeight="1" x14ac:dyDescent="0.25">
      <c r="A212" s="116" t="str">
        <f>IFERROR(MATCH(208,Assessment!$O:$O,0),"")</f>
        <v/>
      </c>
      <c r="B212" s="119" t="str">
        <f>IF($A212="","",INDEX(Assessment!$B:$B,$A212))</f>
        <v/>
      </c>
      <c r="C212" s="119" t="str">
        <f>IF($A212="","",INDEX(Assessment!$D:$D,$A212))</f>
        <v/>
      </c>
      <c r="D212" s="119" t="str">
        <f>IF($A212="","",INDEX(Assessment!$E:$E,$A212))</f>
        <v/>
      </c>
      <c r="E212" s="119" t="str">
        <f>IF($A212="","",INDEX(Assessment!$G:$G,$A212))</f>
        <v/>
      </c>
      <c r="F212" s="119" t="str">
        <f>IF($A212="","",INDEX(Assessment!$H:$H,$A212))</f>
        <v/>
      </c>
      <c r="G212" s="120" t="str">
        <f>IF($A212="","",INDEX(Assessment!$I:$I,$A212))</f>
        <v/>
      </c>
      <c r="H212" s="118"/>
      <c r="I212" s="118"/>
      <c r="J212" s="118"/>
    </row>
    <row r="213" spans="1:10" ht="48" customHeight="1" x14ac:dyDescent="0.25">
      <c r="A213" s="116" t="str">
        <f>IFERROR(MATCH(209,Assessment!$O:$O,0),"")</f>
        <v/>
      </c>
      <c r="B213" s="117" t="str">
        <f>IF($A213="","",INDEX(Assessment!$B:$B,$A213))</f>
        <v/>
      </c>
      <c r="C213" s="117" t="str">
        <f>IF($A213="","",INDEX(Assessment!$D:$D,$A213))</f>
        <v/>
      </c>
      <c r="D213" s="117" t="str">
        <f>IF($A213="","",INDEX(Assessment!$E:$E,$A213))</f>
        <v/>
      </c>
      <c r="E213" s="117" t="str">
        <f>IF($A213="","",INDEX(Assessment!$G:$G,$A213))</f>
        <v/>
      </c>
      <c r="F213" s="117" t="str">
        <f>IF($A213="","",INDEX(Assessment!$H:$H,$A213))</f>
        <v/>
      </c>
      <c r="G213" s="38" t="str">
        <f>IF($A213="","",INDEX(Assessment!$I:$I,$A213))</f>
        <v/>
      </c>
      <c r="H213" s="118"/>
      <c r="I213" s="118"/>
      <c r="J213" s="118"/>
    </row>
    <row r="214" spans="1:10" ht="48" customHeight="1" x14ac:dyDescent="0.25">
      <c r="A214" s="116" t="str">
        <f>IFERROR(MATCH(210,Assessment!$O:$O,0),"")</f>
        <v/>
      </c>
      <c r="B214" s="119" t="str">
        <f>IF($A214="","",INDEX(Assessment!$B:$B,$A214))</f>
        <v/>
      </c>
      <c r="C214" s="119" t="str">
        <f>IF($A214="","",INDEX(Assessment!$D:$D,$A214))</f>
        <v/>
      </c>
      <c r="D214" s="119" t="str">
        <f>IF($A214="","",INDEX(Assessment!$E:$E,$A214))</f>
        <v/>
      </c>
      <c r="E214" s="119" t="str">
        <f>IF($A214="","",INDEX(Assessment!$G:$G,$A214))</f>
        <v/>
      </c>
      <c r="F214" s="119" t="str">
        <f>IF($A214="","",INDEX(Assessment!$H:$H,$A214))</f>
        <v/>
      </c>
      <c r="G214" s="120" t="str">
        <f>IF($A214="","",INDEX(Assessment!$I:$I,$A214))</f>
        <v/>
      </c>
      <c r="H214" s="118"/>
      <c r="I214" s="118"/>
      <c r="J214" s="118"/>
    </row>
    <row r="215" spans="1:10" ht="48" customHeight="1" x14ac:dyDescent="0.25">
      <c r="A215" s="116" t="str">
        <f>IFERROR(MATCH(211,Assessment!$O:$O,0),"")</f>
        <v/>
      </c>
      <c r="B215" s="117" t="str">
        <f>IF($A215="","",INDEX(Assessment!$B:$B,$A215))</f>
        <v/>
      </c>
      <c r="C215" s="117" t="str">
        <f>IF($A215="","",INDEX(Assessment!$D:$D,$A215))</f>
        <v/>
      </c>
      <c r="D215" s="117" t="str">
        <f>IF($A215="","",INDEX(Assessment!$E:$E,$A215))</f>
        <v/>
      </c>
      <c r="E215" s="117" t="str">
        <f>IF($A215="","",INDEX(Assessment!$G:$G,$A215))</f>
        <v/>
      </c>
      <c r="F215" s="117" t="str">
        <f>IF($A215="","",INDEX(Assessment!$H:$H,$A215))</f>
        <v/>
      </c>
      <c r="G215" s="38" t="str">
        <f>IF($A215="","",INDEX(Assessment!$I:$I,$A215))</f>
        <v/>
      </c>
      <c r="H215" s="118"/>
      <c r="I215" s="118"/>
      <c r="J215" s="118"/>
    </row>
    <row r="216" spans="1:10" ht="48" customHeight="1" x14ac:dyDescent="0.25">
      <c r="A216" s="116" t="str">
        <f>IFERROR(MATCH(212,Assessment!$O:$O,0),"")</f>
        <v/>
      </c>
      <c r="B216" s="119" t="str">
        <f>IF($A216="","",INDEX(Assessment!$B:$B,$A216))</f>
        <v/>
      </c>
      <c r="C216" s="119" t="str">
        <f>IF($A216="","",INDEX(Assessment!$D:$D,$A216))</f>
        <v/>
      </c>
      <c r="D216" s="119" t="str">
        <f>IF($A216="","",INDEX(Assessment!$E:$E,$A216))</f>
        <v/>
      </c>
      <c r="E216" s="119" t="str">
        <f>IF($A216="","",INDEX(Assessment!$G:$G,$A216))</f>
        <v/>
      </c>
      <c r="F216" s="119" t="str">
        <f>IF($A216="","",INDEX(Assessment!$H:$H,$A216))</f>
        <v/>
      </c>
      <c r="G216" s="120" t="str">
        <f>IF($A216="","",INDEX(Assessment!$I:$I,$A216))</f>
        <v/>
      </c>
      <c r="H216" s="118"/>
      <c r="I216" s="118"/>
      <c r="J216" s="118"/>
    </row>
    <row r="217" spans="1:10" ht="48" customHeight="1" x14ac:dyDescent="0.25">
      <c r="A217" s="116" t="str">
        <f>IFERROR(MATCH(213,Assessment!$O:$O,0),"")</f>
        <v/>
      </c>
      <c r="B217" s="117" t="str">
        <f>IF($A217="","",INDEX(Assessment!$B:$B,$A217))</f>
        <v/>
      </c>
      <c r="C217" s="117" t="str">
        <f>IF($A217="","",INDEX(Assessment!$D:$D,$A217))</f>
        <v/>
      </c>
      <c r="D217" s="117" t="str">
        <f>IF($A217="","",INDEX(Assessment!$E:$E,$A217))</f>
        <v/>
      </c>
      <c r="E217" s="117" t="str">
        <f>IF($A217="","",INDEX(Assessment!$G:$G,$A217))</f>
        <v/>
      </c>
      <c r="F217" s="117" t="str">
        <f>IF($A217="","",INDEX(Assessment!$H:$H,$A217))</f>
        <v/>
      </c>
      <c r="G217" s="38" t="str">
        <f>IF($A217="","",INDEX(Assessment!$I:$I,$A217))</f>
        <v/>
      </c>
      <c r="H217" s="118"/>
      <c r="I217" s="118"/>
      <c r="J217" s="118"/>
    </row>
    <row r="218" spans="1:10" ht="48" customHeight="1" x14ac:dyDescent="0.25">
      <c r="A218" s="116" t="str">
        <f>IFERROR(MATCH(214,Assessment!$O:$O,0),"")</f>
        <v/>
      </c>
      <c r="B218" s="119" t="str">
        <f>IF($A218="","",INDEX(Assessment!$B:$B,$A218))</f>
        <v/>
      </c>
      <c r="C218" s="119" t="str">
        <f>IF($A218="","",INDEX(Assessment!$D:$D,$A218))</f>
        <v/>
      </c>
      <c r="D218" s="119" t="str">
        <f>IF($A218="","",INDEX(Assessment!$E:$E,$A218))</f>
        <v/>
      </c>
      <c r="E218" s="119" t="str">
        <f>IF($A218="","",INDEX(Assessment!$G:$G,$A218))</f>
        <v/>
      </c>
      <c r="F218" s="119" t="str">
        <f>IF($A218="","",INDEX(Assessment!$H:$H,$A218))</f>
        <v/>
      </c>
      <c r="G218" s="120" t="str">
        <f>IF($A218="","",INDEX(Assessment!$I:$I,$A218))</f>
        <v/>
      </c>
      <c r="H218" s="118"/>
      <c r="I218" s="118"/>
      <c r="J218" s="118"/>
    </row>
    <row r="219" spans="1:10" ht="48" customHeight="1" x14ac:dyDescent="0.25">
      <c r="A219" s="116" t="str">
        <f>IFERROR(MATCH(215,Assessment!$O:$O,0),"")</f>
        <v/>
      </c>
      <c r="B219" s="117" t="str">
        <f>IF($A219="","",INDEX(Assessment!$B:$B,$A219))</f>
        <v/>
      </c>
      <c r="C219" s="117" t="str">
        <f>IF($A219="","",INDEX(Assessment!$D:$D,$A219))</f>
        <v/>
      </c>
      <c r="D219" s="117" t="str">
        <f>IF($A219="","",INDEX(Assessment!$E:$E,$A219))</f>
        <v/>
      </c>
      <c r="E219" s="117" t="str">
        <f>IF($A219="","",INDEX(Assessment!$G:$G,$A219))</f>
        <v/>
      </c>
      <c r="F219" s="117" t="str">
        <f>IF($A219="","",INDEX(Assessment!$H:$H,$A219))</f>
        <v/>
      </c>
      <c r="G219" s="38" t="str">
        <f>IF($A219="","",INDEX(Assessment!$I:$I,$A219))</f>
        <v/>
      </c>
      <c r="H219" s="118"/>
      <c r="I219" s="118"/>
      <c r="J219" s="118"/>
    </row>
    <row r="220" spans="1:10" ht="48" customHeight="1" x14ac:dyDescent="0.25">
      <c r="A220" s="116" t="str">
        <f>IFERROR(MATCH(216,Assessment!$O:$O,0),"")</f>
        <v/>
      </c>
      <c r="B220" s="119" t="str">
        <f>IF($A220="","",INDEX(Assessment!$B:$B,$A220))</f>
        <v/>
      </c>
      <c r="C220" s="119" t="str">
        <f>IF($A220="","",INDEX(Assessment!$D:$D,$A220))</f>
        <v/>
      </c>
      <c r="D220" s="119" t="str">
        <f>IF($A220="","",INDEX(Assessment!$E:$E,$A220))</f>
        <v/>
      </c>
      <c r="E220" s="119" t="str">
        <f>IF($A220="","",INDEX(Assessment!$G:$G,$A220))</f>
        <v/>
      </c>
      <c r="F220" s="119" t="str">
        <f>IF($A220="","",INDEX(Assessment!$H:$H,$A220))</f>
        <v/>
      </c>
      <c r="G220" s="120" t="str">
        <f>IF($A220="","",INDEX(Assessment!$I:$I,$A220))</f>
        <v/>
      </c>
      <c r="H220" s="118"/>
      <c r="I220" s="118"/>
      <c r="J220" s="118"/>
    </row>
    <row r="221" spans="1:10" ht="48" customHeight="1" x14ac:dyDescent="0.25">
      <c r="A221" s="116" t="str">
        <f>IFERROR(MATCH(217,Assessment!$O:$O,0),"")</f>
        <v/>
      </c>
      <c r="B221" s="117" t="str">
        <f>IF($A221="","",INDEX(Assessment!$B:$B,$A221))</f>
        <v/>
      </c>
      <c r="C221" s="117" t="str">
        <f>IF($A221="","",INDEX(Assessment!$D:$D,$A221))</f>
        <v/>
      </c>
      <c r="D221" s="117" t="str">
        <f>IF($A221="","",INDEX(Assessment!$E:$E,$A221))</f>
        <v/>
      </c>
      <c r="E221" s="117" t="str">
        <f>IF($A221="","",INDEX(Assessment!$G:$G,$A221))</f>
        <v/>
      </c>
      <c r="F221" s="117" t="str">
        <f>IF($A221="","",INDEX(Assessment!$H:$H,$A221))</f>
        <v/>
      </c>
      <c r="G221" s="38" t="str">
        <f>IF($A221="","",INDEX(Assessment!$I:$I,$A221))</f>
        <v/>
      </c>
      <c r="H221" s="118"/>
      <c r="I221" s="118"/>
      <c r="J221" s="118"/>
    </row>
    <row r="222" spans="1:10" ht="48" customHeight="1" x14ac:dyDescent="0.25">
      <c r="A222" s="116" t="str">
        <f>IFERROR(MATCH(218,Assessment!$O:$O,0),"")</f>
        <v/>
      </c>
      <c r="B222" s="119" t="str">
        <f>IF($A222="","",INDEX(Assessment!$B:$B,$A222))</f>
        <v/>
      </c>
      <c r="C222" s="119" t="str">
        <f>IF($A222="","",INDEX(Assessment!$D:$D,$A222))</f>
        <v/>
      </c>
      <c r="D222" s="119" t="str">
        <f>IF($A222="","",INDEX(Assessment!$E:$E,$A222))</f>
        <v/>
      </c>
      <c r="E222" s="119" t="str">
        <f>IF($A222="","",INDEX(Assessment!$G:$G,$A222))</f>
        <v/>
      </c>
      <c r="F222" s="119" t="str">
        <f>IF($A222="","",INDEX(Assessment!$H:$H,$A222))</f>
        <v/>
      </c>
      <c r="G222" s="120" t="str">
        <f>IF($A222="","",INDEX(Assessment!$I:$I,$A222))</f>
        <v/>
      </c>
      <c r="H222" s="118"/>
      <c r="I222" s="118"/>
      <c r="J222" s="118"/>
    </row>
    <row r="223" spans="1:10" ht="48" customHeight="1" x14ac:dyDescent="0.25">
      <c r="A223" s="116" t="str">
        <f>IFERROR(MATCH(219,Assessment!$O:$O,0),"")</f>
        <v/>
      </c>
      <c r="B223" s="117" t="str">
        <f>IF($A223="","",INDEX(Assessment!$B:$B,$A223))</f>
        <v/>
      </c>
      <c r="C223" s="117" t="str">
        <f>IF($A223="","",INDEX(Assessment!$D:$D,$A223))</f>
        <v/>
      </c>
      <c r="D223" s="117" t="str">
        <f>IF($A223="","",INDEX(Assessment!$E:$E,$A223))</f>
        <v/>
      </c>
      <c r="E223" s="117" t="str">
        <f>IF($A223="","",INDEX(Assessment!$G:$G,$A223))</f>
        <v/>
      </c>
      <c r="F223" s="117" t="str">
        <f>IF($A223="","",INDEX(Assessment!$H:$H,$A223))</f>
        <v/>
      </c>
      <c r="G223" s="38" t="str">
        <f>IF($A223="","",INDEX(Assessment!$I:$I,$A223))</f>
        <v/>
      </c>
      <c r="H223" s="118"/>
      <c r="I223" s="118"/>
      <c r="J223" s="118"/>
    </row>
    <row r="224" spans="1:10" ht="48" customHeight="1" x14ac:dyDescent="0.25">
      <c r="A224" s="116" t="str">
        <f>IFERROR(MATCH(220,Assessment!$O:$O,0),"")</f>
        <v/>
      </c>
      <c r="B224" s="119" t="str">
        <f>IF($A224="","",INDEX(Assessment!$B:$B,$A224))</f>
        <v/>
      </c>
      <c r="C224" s="119" t="str">
        <f>IF($A224="","",INDEX(Assessment!$D:$D,$A224))</f>
        <v/>
      </c>
      <c r="D224" s="119" t="str">
        <f>IF($A224="","",INDEX(Assessment!$E:$E,$A224))</f>
        <v/>
      </c>
      <c r="E224" s="119" t="str">
        <f>IF($A224="","",INDEX(Assessment!$G:$G,$A224))</f>
        <v/>
      </c>
      <c r="F224" s="119" t="str">
        <f>IF($A224="","",INDEX(Assessment!$H:$H,$A224))</f>
        <v/>
      </c>
      <c r="G224" s="120" t="str">
        <f>IF($A224="","",INDEX(Assessment!$I:$I,$A224))</f>
        <v/>
      </c>
      <c r="H224" s="118"/>
      <c r="I224" s="118"/>
      <c r="J224" s="118"/>
    </row>
    <row r="225" spans="1:10" ht="48" customHeight="1" x14ac:dyDescent="0.25">
      <c r="A225" s="116" t="str">
        <f>IFERROR(MATCH(221,Assessment!$O:$O,0),"")</f>
        <v/>
      </c>
      <c r="B225" s="117" t="str">
        <f>IF($A225="","",INDEX(Assessment!$B:$B,$A225))</f>
        <v/>
      </c>
      <c r="C225" s="117" t="str">
        <f>IF($A225="","",INDEX(Assessment!$D:$D,$A225))</f>
        <v/>
      </c>
      <c r="D225" s="117" t="str">
        <f>IF($A225="","",INDEX(Assessment!$E:$E,$A225))</f>
        <v/>
      </c>
      <c r="E225" s="117" t="str">
        <f>IF($A225="","",INDEX(Assessment!$G:$G,$A225))</f>
        <v/>
      </c>
      <c r="F225" s="117" t="str">
        <f>IF($A225="","",INDEX(Assessment!$H:$H,$A225))</f>
        <v/>
      </c>
      <c r="G225" s="38" t="str">
        <f>IF($A225="","",INDEX(Assessment!$I:$I,$A225))</f>
        <v/>
      </c>
      <c r="H225" s="118"/>
      <c r="I225" s="118"/>
      <c r="J225" s="118"/>
    </row>
    <row r="226" spans="1:10" ht="48" customHeight="1" x14ac:dyDescent="0.25">
      <c r="A226" s="116" t="str">
        <f>IFERROR(MATCH(222,Assessment!$O:$O,0),"")</f>
        <v/>
      </c>
      <c r="B226" s="119" t="str">
        <f>IF($A226="","",INDEX(Assessment!$B:$B,$A226))</f>
        <v/>
      </c>
      <c r="C226" s="119" t="str">
        <f>IF($A226="","",INDEX(Assessment!$D:$D,$A226))</f>
        <v/>
      </c>
      <c r="D226" s="119" t="str">
        <f>IF($A226="","",INDEX(Assessment!$E:$E,$A226))</f>
        <v/>
      </c>
      <c r="E226" s="119" t="str">
        <f>IF($A226="","",INDEX(Assessment!$G:$G,$A226))</f>
        <v/>
      </c>
      <c r="F226" s="119" t="str">
        <f>IF($A226="","",INDEX(Assessment!$H:$H,$A226))</f>
        <v/>
      </c>
      <c r="G226" s="120" t="str">
        <f>IF($A226="","",INDEX(Assessment!$I:$I,$A226))</f>
        <v/>
      </c>
      <c r="H226" s="118"/>
      <c r="I226" s="118"/>
      <c r="J226" s="118"/>
    </row>
    <row r="227" spans="1:10" ht="48" customHeight="1" x14ac:dyDescent="0.25">
      <c r="A227" s="116" t="str">
        <f>IFERROR(MATCH(223,Assessment!$O:$O,0),"")</f>
        <v/>
      </c>
      <c r="B227" s="117" t="str">
        <f>IF($A227="","",INDEX(Assessment!$B:$B,$A227))</f>
        <v/>
      </c>
      <c r="C227" s="117" t="str">
        <f>IF($A227="","",INDEX(Assessment!$D:$D,$A227))</f>
        <v/>
      </c>
      <c r="D227" s="117" t="str">
        <f>IF($A227="","",INDEX(Assessment!$E:$E,$A227))</f>
        <v/>
      </c>
      <c r="E227" s="117" t="str">
        <f>IF($A227="","",INDEX(Assessment!$G:$G,$A227))</f>
        <v/>
      </c>
      <c r="F227" s="117" t="str">
        <f>IF($A227="","",INDEX(Assessment!$H:$H,$A227))</f>
        <v/>
      </c>
      <c r="G227" s="38" t="str">
        <f>IF($A227="","",INDEX(Assessment!$I:$I,$A227))</f>
        <v/>
      </c>
      <c r="H227" s="118"/>
      <c r="I227" s="118"/>
      <c r="J227" s="118"/>
    </row>
    <row r="228" spans="1:10" ht="48" customHeight="1" x14ac:dyDescent="0.25">
      <c r="A228" s="116" t="str">
        <f>IFERROR(MATCH(224,Assessment!$O:$O,0),"")</f>
        <v/>
      </c>
      <c r="B228" s="119" t="str">
        <f>IF($A228="","",INDEX(Assessment!$B:$B,$A228))</f>
        <v/>
      </c>
      <c r="C228" s="119" t="str">
        <f>IF($A228="","",INDEX(Assessment!$D:$D,$A228))</f>
        <v/>
      </c>
      <c r="D228" s="119" t="str">
        <f>IF($A228="","",INDEX(Assessment!$E:$E,$A228))</f>
        <v/>
      </c>
      <c r="E228" s="119" t="str">
        <f>IF($A228="","",INDEX(Assessment!$G:$G,$A228))</f>
        <v/>
      </c>
      <c r="F228" s="119" t="str">
        <f>IF($A228="","",INDEX(Assessment!$H:$H,$A228))</f>
        <v/>
      </c>
      <c r="G228" s="120" t="str">
        <f>IF($A228="","",INDEX(Assessment!$I:$I,$A228))</f>
        <v/>
      </c>
      <c r="H228" s="118"/>
      <c r="I228" s="118"/>
      <c r="J228" s="118"/>
    </row>
    <row r="229" spans="1:10" ht="48" customHeight="1" x14ac:dyDescent="0.25">
      <c r="A229" s="116" t="str">
        <f>IFERROR(MATCH(225,Assessment!$O:$O,0),"")</f>
        <v/>
      </c>
      <c r="B229" s="117" t="str">
        <f>IF($A229="","",INDEX(Assessment!$B:$B,$A229))</f>
        <v/>
      </c>
      <c r="C229" s="117" t="str">
        <f>IF($A229="","",INDEX(Assessment!$D:$D,$A229))</f>
        <v/>
      </c>
      <c r="D229" s="117" t="str">
        <f>IF($A229="","",INDEX(Assessment!$E:$E,$A229))</f>
        <v/>
      </c>
      <c r="E229" s="117" t="str">
        <f>IF($A229="","",INDEX(Assessment!$G:$G,$A229))</f>
        <v/>
      </c>
      <c r="F229" s="117" t="str">
        <f>IF($A229="","",INDEX(Assessment!$H:$H,$A229))</f>
        <v/>
      </c>
      <c r="G229" s="38" t="str">
        <f>IF($A229="","",INDEX(Assessment!$I:$I,$A229))</f>
        <v/>
      </c>
      <c r="H229" s="118"/>
      <c r="I229" s="118"/>
      <c r="J229" s="118"/>
    </row>
    <row r="230" spans="1:10" ht="48" customHeight="1" x14ac:dyDescent="0.25">
      <c r="A230" s="116" t="str">
        <f>IFERROR(MATCH(226,Assessment!$O:$O,0),"")</f>
        <v/>
      </c>
      <c r="B230" s="119" t="str">
        <f>IF($A230="","",INDEX(Assessment!$B:$B,$A230))</f>
        <v/>
      </c>
      <c r="C230" s="119" t="str">
        <f>IF($A230="","",INDEX(Assessment!$D:$D,$A230))</f>
        <v/>
      </c>
      <c r="D230" s="119" t="str">
        <f>IF($A230="","",INDEX(Assessment!$E:$E,$A230))</f>
        <v/>
      </c>
      <c r="E230" s="119" t="str">
        <f>IF($A230="","",INDEX(Assessment!$G:$G,$A230))</f>
        <v/>
      </c>
      <c r="F230" s="119" t="str">
        <f>IF($A230="","",INDEX(Assessment!$H:$H,$A230))</f>
        <v/>
      </c>
      <c r="G230" s="120" t="str">
        <f>IF($A230="","",INDEX(Assessment!$I:$I,$A230))</f>
        <v/>
      </c>
      <c r="H230" s="118"/>
      <c r="I230" s="118"/>
      <c r="J230" s="118"/>
    </row>
    <row r="231" spans="1:10" ht="48" customHeight="1" x14ac:dyDescent="0.25">
      <c r="A231" s="116" t="str">
        <f>IFERROR(MATCH(227,Assessment!$O:$O,0),"")</f>
        <v/>
      </c>
      <c r="B231" s="117" t="str">
        <f>IF($A231="","",INDEX(Assessment!$B:$B,$A231))</f>
        <v/>
      </c>
      <c r="C231" s="117" t="str">
        <f>IF($A231="","",INDEX(Assessment!$D:$D,$A231))</f>
        <v/>
      </c>
      <c r="D231" s="117" t="str">
        <f>IF($A231="","",INDEX(Assessment!$E:$E,$A231))</f>
        <v/>
      </c>
      <c r="E231" s="117" t="str">
        <f>IF($A231="","",INDEX(Assessment!$G:$G,$A231))</f>
        <v/>
      </c>
      <c r="F231" s="117" t="str">
        <f>IF($A231="","",INDEX(Assessment!$H:$H,$A231))</f>
        <v/>
      </c>
      <c r="G231" s="38" t="str">
        <f>IF($A231="","",INDEX(Assessment!$I:$I,$A231))</f>
        <v/>
      </c>
      <c r="H231" s="118"/>
      <c r="I231" s="118"/>
      <c r="J231" s="118"/>
    </row>
    <row r="232" spans="1:10" ht="48" customHeight="1" x14ac:dyDescent="0.25">
      <c r="A232" s="116" t="str">
        <f>IFERROR(MATCH(228,Assessment!$O:$O,0),"")</f>
        <v/>
      </c>
      <c r="B232" s="119" t="str">
        <f>IF($A232="","",INDEX(Assessment!$B:$B,$A232))</f>
        <v/>
      </c>
      <c r="C232" s="119" t="str">
        <f>IF($A232="","",INDEX(Assessment!$D:$D,$A232))</f>
        <v/>
      </c>
      <c r="D232" s="119" t="str">
        <f>IF($A232="","",INDEX(Assessment!$E:$E,$A232))</f>
        <v/>
      </c>
      <c r="E232" s="119" t="str">
        <f>IF($A232="","",INDEX(Assessment!$G:$G,$A232))</f>
        <v/>
      </c>
      <c r="F232" s="119" t="str">
        <f>IF($A232="","",INDEX(Assessment!$H:$H,$A232))</f>
        <v/>
      </c>
      <c r="G232" s="120" t="str">
        <f>IF($A232="","",INDEX(Assessment!$I:$I,$A232))</f>
        <v/>
      </c>
      <c r="H232" s="118"/>
      <c r="I232" s="118"/>
      <c r="J232" s="118"/>
    </row>
    <row r="233" spans="1:10" ht="48" customHeight="1" x14ac:dyDescent="0.25">
      <c r="A233" s="116" t="str">
        <f>IFERROR(MATCH(229,Assessment!$O:$O,0),"")</f>
        <v/>
      </c>
      <c r="B233" s="117" t="str">
        <f>IF($A233="","",INDEX(Assessment!$B:$B,$A233))</f>
        <v/>
      </c>
      <c r="C233" s="117" t="str">
        <f>IF($A233="","",INDEX(Assessment!$D:$D,$A233))</f>
        <v/>
      </c>
      <c r="D233" s="117" t="str">
        <f>IF($A233="","",INDEX(Assessment!$E:$E,$A233))</f>
        <v/>
      </c>
      <c r="E233" s="117" t="str">
        <f>IF($A233="","",INDEX(Assessment!$G:$G,$A233))</f>
        <v/>
      </c>
      <c r="F233" s="117" t="str">
        <f>IF($A233="","",INDEX(Assessment!$H:$H,$A233))</f>
        <v/>
      </c>
      <c r="G233" s="38" t="str">
        <f>IF($A233="","",INDEX(Assessment!$I:$I,$A233))</f>
        <v/>
      </c>
      <c r="H233" s="118"/>
      <c r="I233" s="118"/>
      <c r="J233" s="118"/>
    </row>
    <row r="234" spans="1:10" ht="48" customHeight="1" x14ac:dyDescent="0.25">
      <c r="A234" s="116" t="str">
        <f>IFERROR(MATCH(230,Assessment!$O:$O,0),"")</f>
        <v/>
      </c>
      <c r="B234" s="119" t="str">
        <f>IF($A234="","",INDEX(Assessment!$B:$B,$A234))</f>
        <v/>
      </c>
      <c r="C234" s="119" t="str">
        <f>IF($A234="","",INDEX(Assessment!$D:$D,$A234))</f>
        <v/>
      </c>
      <c r="D234" s="119" t="str">
        <f>IF($A234="","",INDEX(Assessment!$E:$E,$A234))</f>
        <v/>
      </c>
      <c r="E234" s="119" t="str">
        <f>IF($A234="","",INDEX(Assessment!$G:$G,$A234))</f>
        <v/>
      </c>
      <c r="F234" s="119" t="str">
        <f>IF($A234="","",INDEX(Assessment!$H:$H,$A234))</f>
        <v/>
      </c>
      <c r="G234" s="120" t="str">
        <f>IF($A234="","",INDEX(Assessment!$I:$I,$A234))</f>
        <v/>
      </c>
      <c r="H234" s="118"/>
      <c r="I234" s="118"/>
      <c r="J234" s="118"/>
    </row>
    <row r="235" spans="1:10" ht="48" customHeight="1" x14ac:dyDescent="0.25">
      <c r="A235" s="116" t="str">
        <f>IFERROR(MATCH(231,Assessment!$O:$O,0),"")</f>
        <v/>
      </c>
      <c r="B235" s="117" t="str">
        <f>IF($A235="","",INDEX(Assessment!$B:$B,$A235))</f>
        <v/>
      </c>
      <c r="C235" s="117" t="str">
        <f>IF($A235="","",INDEX(Assessment!$D:$D,$A235))</f>
        <v/>
      </c>
      <c r="D235" s="117" t="str">
        <f>IF($A235="","",INDEX(Assessment!$E:$E,$A235))</f>
        <v/>
      </c>
      <c r="E235" s="117" t="str">
        <f>IF($A235="","",INDEX(Assessment!$G:$G,$A235))</f>
        <v/>
      </c>
      <c r="F235" s="117" t="str">
        <f>IF($A235="","",INDEX(Assessment!$H:$H,$A235))</f>
        <v/>
      </c>
      <c r="G235" s="38" t="str">
        <f>IF($A235="","",INDEX(Assessment!$I:$I,$A235))</f>
        <v/>
      </c>
      <c r="H235" s="118"/>
      <c r="I235" s="118"/>
      <c r="J235" s="118"/>
    </row>
    <row r="236" spans="1:10" ht="48" customHeight="1" x14ac:dyDescent="0.25">
      <c r="A236" s="116" t="str">
        <f>IFERROR(MATCH(232,Assessment!$O:$O,0),"")</f>
        <v/>
      </c>
      <c r="B236" s="119" t="str">
        <f>IF($A236="","",INDEX(Assessment!$B:$B,$A236))</f>
        <v/>
      </c>
      <c r="C236" s="119" t="str">
        <f>IF($A236="","",INDEX(Assessment!$D:$D,$A236))</f>
        <v/>
      </c>
      <c r="D236" s="119" t="str">
        <f>IF($A236="","",INDEX(Assessment!$E:$E,$A236))</f>
        <v/>
      </c>
      <c r="E236" s="119" t="str">
        <f>IF($A236="","",INDEX(Assessment!$G:$G,$A236))</f>
        <v/>
      </c>
      <c r="F236" s="119" t="str">
        <f>IF($A236="","",INDEX(Assessment!$H:$H,$A236))</f>
        <v/>
      </c>
      <c r="G236" s="120" t="str">
        <f>IF($A236="","",INDEX(Assessment!$I:$I,$A236))</f>
        <v/>
      </c>
      <c r="H236" s="118"/>
      <c r="I236" s="118"/>
      <c r="J236" s="118"/>
    </row>
    <row r="237" spans="1:10" ht="48" customHeight="1" x14ac:dyDescent="0.25">
      <c r="A237" s="116" t="str">
        <f>IFERROR(MATCH(233,Assessment!$O:$O,0),"")</f>
        <v/>
      </c>
      <c r="B237" s="117" t="str">
        <f>IF($A237="","",INDEX(Assessment!$B:$B,$A237))</f>
        <v/>
      </c>
      <c r="C237" s="117" t="str">
        <f>IF($A237="","",INDEX(Assessment!$D:$D,$A237))</f>
        <v/>
      </c>
      <c r="D237" s="117" t="str">
        <f>IF($A237="","",INDEX(Assessment!$E:$E,$A237))</f>
        <v/>
      </c>
      <c r="E237" s="117" t="str">
        <f>IF($A237="","",INDEX(Assessment!$G:$G,$A237))</f>
        <v/>
      </c>
      <c r="F237" s="117" t="str">
        <f>IF($A237="","",INDEX(Assessment!$H:$H,$A237))</f>
        <v/>
      </c>
      <c r="G237" s="38" t="str">
        <f>IF($A237="","",INDEX(Assessment!$I:$I,$A237))</f>
        <v/>
      </c>
      <c r="H237" s="118"/>
      <c r="I237" s="118"/>
      <c r="J237" s="118"/>
    </row>
    <row r="238" spans="1:10" ht="48" customHeight="1" x14ac:dyDescent="0.25">
      <c r="A238" s="116" t="str">
        <f>IFERROR(MATCH(234,Assessment!$O:$O,0),"")</f>
        <v/>
      </c>
      <c r="B238" s="119" t="str">
        <f>IF($A238="","",INDEX(Assessment!$B:$B,$A238))</f>
        <v/>
      </c>
      <c r="C238" s="119" t="str">
        <f>IF($A238="","",INDEX(Assessment!$D:$D,$A238))</f>
        <v/>
      </c>
      <c r="D238" s="119" t="str">
        <f>IF($A238="","",INDEX(Assessment!$E:$E,$A238))</f>
        <v/>
      </c>
      <c r="E238" s="119" t="str">
        <f>IF($A238="","",INDEX(Assessment!$G:$G,$A238))</f>
        <v/>
      </c>
      <c r="F238" s="119" t="str">
        <f>IF($A238="","",INDEX(Assessment!$H:$H,$A238))</f>
        <v/>
      </c>
      <c r="G238" s="120" t="str">
        <f>IF($A238="","",INDEX(Assessment!$I:$I,$A238))</f>
        <v/>
      </c>
      <c r="H238" s="118"/>
      <c r="I238" s="118"/>
      <c r="J238" s="118"/>
    </row>
  </sheetData>
  <mergeCells count="2">
    <mergeCell ref="A1:J2"/>
    <mergeCell ref="A3:J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38"/>
  <sheetViews>
    <sheetView showGridLines="0" zoomScaleNormal="100" workbookViewId="0">
      <pane xSplit="1" ySplit="4" topLeftCell="B5" activePane="bottomRight" state="frozen"/>
      <selection pane="topRight" activeCell="B1" sqref="B1"/>
      <selection pane="bottomLeft" activeCell="A5" sqref="A5"/>
      <selection pane="bottomRight" sqref="A1:K2"/>
    </sheetView>
  </sheetViews>
  <sheetFormatPr defaultColWidth="8.7109375" defaultRowHeight="15" x14ac:dyDescent="0.25"/>
  <cols>
    <col min="1" max="1" width="0.42578125" customWidth="1"/>
    <col min="2" max="2" width="18" customWidth="1"/>
    <col min="3" max="3" width="20" customWidth="1"/>
    <col min="4" max="4" width="26" customWidth="1"/>
    <col min="5" max="5" width="38" customWidth="1"/>
    <col min="6" max="6" width="34" customWidth="1"/>
    <col min="7" max="7" width="38" customWidth="1"/>
    <col min="8" max="8" width="32" customWidth="1"/>
    <col min="9" max="10" width="16" customWidth="1"/>
    <col min="11" max="11" width="14" customWidth="1"/>
  </cols>
  <sheetData>
    <row r="1" spans="1:11" ht="25.5" customHeight="1" x14ac:dyDescent="0.25">
      <c r="A1" s="157" t="s">
        <v>2675</v>
      </c>
      <c r="B1" s="157"/>
      <c r="C1" s="157"/>
      <c r="D1" s="157"/>
      <c r="E1" s="157"/>
      <c r="F1" s="157"/>
      <c r="G1" s="157"/>
      <c r="H1" s="157"/>
      <c r="I1" s="157"/>
      <c r="J1" s="157"/>
      <c r="K1" s="157"/>
    </row>
    <row r="2" spans="1:11" ht="25.5" customHeight="1" x14ac:dyDescent="0.25">
      <c r="A2" s="157"/>
      <c r="B2" s="157"/>
      <c r="C2" s="157"/>
      <c r="D2" s="157"/>
      <c r="E2" s="157"/>
      <c r="F2" s="157"/>
      <c r="G2" s="157"/>
      <c r="H2" s="157"/>
      <c r="I2" s="157"/>
      <c r="J2" s="157"/>
      <c r="K2" s="157"/>
    </row>
    <row r="3" spans="1:11" ht="39.75" customHeight="1" x14ac:dyDescent="0.25">
      <c r="A3" s="156" t="s">
        <v>2676</v>
      </c>
      <c r="B3" s="156"/>
      <c r="C3" s="156"/>
      <c r="D3" s="156"/>
      <c r="E3" s="156"/>
      <c r="F3" s="156"/>
      <c r="G3" s="156"/>
      <c r="H3" s="156"/>
      <c r="I3" s="156"/>
      <c r="J3" s="156"/>
      <c r="K3" s="156"/>
    </row>
    <row r="4" spans="1:11" ht="33.75" customHeight="1" x14ac:dyDescent="0.25">
      <c r="A4" s="113" t="s">
        <v>2668</v>
      </c>
      <c r="B4" s="121" t="s">
        <v>36</v>
      </c>
      <c r="C4" s="121" t="s">
        <v>38</v>
      </c>
      <c r="D4" s="121" t="s">
        <v>39</v>
      </c>
      <c r="E4" s="121" t="s">
        <v>2669</v>
      </c>
      <c r="F4" s="121" t="s">
        <v>2670</v>
      </c>
      <c r="G4" s="115" t="s">
        <v>2671</v>
      </c>
      <c r="H4" s="121" t="s">
        <v>2677</v>
      </c>
      <c r="I4" s="121" t="s">
        <v>2678</v>
      </c>
      <c r="J4" s="121" t="s">
        <v>2673</v>
      </c>
      <c r="K4" s="121" t="s">
        <v>2679</v>
      </c>
    </row>
    <row r="5" spans="1:11" ht="48" customHeight="1" x14ac:dyDescent="0.25">
      <c r="A5" s="116" t="str">
        <f>IFERROR(MATCH(1,Assessment!$M:$M,0),"")</f>
        <v/>
      </c>
      <c r="B5" s="117" t="str">
        <f>IF($A5="","",INDEX(Assessment!$B:$B,$A5))</f>
        <v/>
      </c>
      <c r="C5" s="117" t="str">
        <f>IF($A5="","",INDEX(Assessment!$D:$D,$A5))</f>
        <v/>
      </c>
      <c r="D5" s="117" t="str">
        <f>IF($A5="","",INDEX(Assessment!$E:$E,$A5))</f>
        <v/>
      </c>
      <c r="E5" s="117" t="str">
        <f>IF($A5="","",INDEX(Assessment!$G:$G,$A5))</f>
        <v/>
      </c>
      <c r="F5" s="117" t="str">
        <f>IF($A5="","",INDEX(Assessment!$H:$H,$A5))</f>
        <v/>
      </c>
      <c r="G5" s="38" t="str">
        <f>IF($A5="","",INDEX(Assessment!$I:$I,$A5))</f>
        <v/>
      </c>
      <c r="H5" s="118"/>
      <c r="I5" s="118"/>
      <c r="J5" s="118"/>
      <c r="K5" s="118"/>
    </row>
    <row r="6" spans="1:11" ht="48" customHeight="1" x14ac:dyDescent="0.25">
      <c r="A6" s="116" t="str">
        <f>IFERROR(MATCH(2,Assessment!$M:$M,0),"")</f>
        <v/>
      </c>
      <c r="B6" s="122" t="str">
        <f>IF($A6="","",INDEX(Assessment!$B:$B,$A6))</f>
        <v/>
      </c>
      <c r="C6" s="122" t="str">
        <f>IF($A6="","",INDEX(Assessment!$D:$D,$A6))</f>
        <v/>
      </c>
      <c r="D6" s="122" t="str">
        <f>IF($A6="","",INDEX(Assessment!$E:$E,$A6))</f>
        <v/>
      </c>
      <c r="E6" s="122" t="str">
        <f>IF($A6="","",INDEX(Assessment!$G:$G,$A6))</f>
        <v/>
      </c>
      <c r="F6" s="122" t="str">
        <f>IF($A6="","",INDEX(Assessment!$H:$H,$A6))</f>
        <v/>
      </c>
      <c r="G6" s="120" t="str">
        <f>IF($A6="","",INDEX(Assessment!$I:$I,$A6))</f>
        <v/>
      </c>
      <c r="H6" s="118"/>
      <c r="I6" s="118"/>
      <c r="J6" s="118"/>
      <c r="K6" s="118"/>
    </row>
    <row r="7" spans="1:11" ht="48" customHeight="1" x14ac:dyDescent="0.25">
      <c r="A7" s="116" t="str">
        <f>IFERROR(MATCH(3,Assessment!$M:$M,0),"")</f>
        <v/>
      </c>
      <c r="B7" s="117" t="str">
        <f>IF($A7="","",INDEX(Assessment!$B:$B,$A7))</f>
        <v/>
      </c>
      <c r="C7" s="117" t="str">
        <f>IF($A7="","",INDEX(Assessment!$D:$D,$A7))</f>
        <v/>
      </c>
      <c r="D7" s="117" t="str">
        <f>IF($A7="","",INDEX(Assessment!$E:$E,$A7))</f>
        <v/>
      </c>
      <c r="E7" s="117" t="str">
        <f>IF($A7="","",INDEX(Assessment!$G:$G,$A7))</f>
        <v/>
      </c>
      <c r="F7" s="117" t="str">
        <f>IF($A7="","",INDEX(Assessment!$H:$H,$A7))</f>
        <v/>
      </c>
      <c r="G7" s="38" t="str">
        <f>IF($A7="","",INDEX(Assessment!$I:$I,$A7))</f>
        <v/>
      </c>
      <c r="H7" s="118"/>
      <c r="I7" s="118"/>
      <c r="J7" s="118"/>
      <c r="K7" s="118"/>
    </row>
    <row r="8" spans="1:11" ht="48" customHeight="1" x14ac:dyDescent="0.25">
      <c r="A8" s="116" t="str">
        <f>IFERROR(MATCH(4,Assessment!$M:$M,0),"")</f>
        <v/>
      </c>
      <c r="B8" s="122" t="str">
        <f>IF($A8="","",INDEX(Assessment!$B:$B,$A8))</f>
        <v/>
      </c>
      <c r="C8" s="122" t="str">
        <f>IF($A8="","",INDEX(Assessment!$D:$D,$A8))</f>
        <v/>
      </c>
      <c r="D8" s="122" t="str">
        <f>IF($A8="","",INDEX(Assessment!$E:$E,$A8))</f>
        <v/>
      </c>
      <c r="E8" s="122" t="str">
        <f>IF($A8="","",INDEX(Assessment!$G:$G,$A8))</f>
        <v/>
      </c>
      <c r="F8" s="122" t="str">
        <f>IF($A8="","",INDEX(Assessment!$H:$H,$A8))</f>
        <v/>
      </c>
      <c r="G8" s="120" t="str">
        <f>IF($A8="","",INDEX(Assessment!$I:$I,$A8))</f>
        <v/>
      </c>
      <c r="H8" s="118"/>
      <c r="I8" s="118"/>
      <c r="J8" s="118"/>
      <c r="K8" s="118"/>
    </row>
    <row r="9" spans="1:11" ht="48" customHeight="1" x14ac:dyDescent="0.25">
      <c r="A9" s="116" t="str">
        <f>IFERROR(MATCH(5,Assessment!$M:$M,0),"")</f>
        <v/>
      </c>
      <c r="B9" s="117" t="str">
        <f>IF($A9="","",INDEX(Assessment!$B:$B,$A9))</f>
        <v/>
      </c>
      <c r="C9" s="117" t="str">
        <f>IF($A9="","",INDEX(Assessment!$D:$D,$A9))</f>
        <v/>
      </c>
      <c r="D9" s="117" t="str">
        <f>IF($A9="","",INDEX(Assessment!$E:$E,$A9))</f>
        <v/>
      </c>
      <c r="E9" s="117" t="str">
        <f>IF($A9="","",INDEX(Assessment!$G:$G,$A9))</f>
        <v/>
      </c>
      <c r="F9" s="117" t="str">
        <f>IF($A9="","",INDEX(Assessment!$H:$H,$A9))</f>
        <v/>
      </c>
      <c r="G9" s="38" t="str">
        <f>IF($A9="","",INDEX(Assessment!$I:$I,$A9))</f>
        <v/>
      </c>
      <c r="H9" s="118"/>
      <c r="I9" s="118"/>
      <c r="J9" s="118"/>
      <c r="K9" s="118"/>
    </row>
    <row r="10" spans="1:11" ht="48" customHeight="1" x14ac:dyDescent="0.25">
      <c r="A10" s="116" t="str">
        <f>IFERROR(MATCH(6,Assessment!$M:$M,0),"")</f>
        <v/>
      </c>
      <c r="B10" s="122" t="str">
        <f>IF($A10="","",INDEX(Assessment!$B:$B,$A10))</f>
        <v/>
      </c>
      <c r="C10" s="122" t="str">
        <f>IF($A10="","",INDEX(Assessment!$D:$D,$A10))</f>
        <v/>
      </c>
      <c r="D10" s="122" t="str">
        <f>IF($A10="","",INDEX(Assessment!$E:$E,$A10))</f>
        <v/>
      </c>
      <c r="E10" s="122" t="str">
        <f>IF($A10="","",INDEX(Assessment!$G:$G,$A10))</f>
        <v/>
      </c>
      <c r="F10" s="122" t="str">
        <f>IF($A10="","",INDEX(Assessment!$H:$H,$A10))</f>
        <v/>
      </c>
      <c r="G10" s="120" t="str">
        <f>IF($A10="","",INDEX(Assessment!$I:$I,$A10))</f>
        <v/>
      </c>
      <c r="H10" s="118"/>
      <c r="I10" s="118"/>
      <c r="J10" s="118"/>
      <c r="K10" s="118"/>
    </row>
    <row r="11" spans="1:11" ht="48" customHeight="1" x14ac:dyDescent="0.25">
      <c r="A11" s="116" t="str">
        <f>IFERROR(MATCH(7,Assessment!$M:$M,0),"")</f>
        <v/>
      </c>
      <c r="B11" s="117" t="str">
        <f>IF($A11="","",INDEX(Assessment!$B:$B,$A11))</f>
        <v/>
      </c>
      <c r="C11" s="117" t="str">
        <f>IF($A11="","",INDEX(Assessment!$D:$D,$A11))</f>
        <v/>
      </c>
      <c r="D11" s="117" t="str">
        <f>IF($A11="","",INDEX(Assessment!$E:$E,$A11))</f>
        <v/>
      </c>
      <c r="E11" s="117" t="str">
        <f>IF($A11="","",INDEX(Assessment!$G:$G,$A11))</f>
        <v/>
      </c>
      <c r="F11" s="117" t="str">
        <f>IF($A11="","",INDEX(Assessment!$H:$H,$A11))</f>
        <v/>
      </c>
      <c r="G11" s="38" t="str">
        <f>IF($A11="","",INDEX(Assessment!$I:$I,$A11))</f>
        <v/>
      </c>
      <c r="H11" s="118"/>
      <c r="I11" s="118"/>
      <c r="J11" s="118"/>
      <c r="K11" s="118"/>
    </row>
    <row r="12" spans="1:11" ht="48" customHeight="1" x14ac:dyDescent="0.25">
      <c r="A12" s="116" t="str">
        <f>IFERROR(MATCH(8,Assessment!$M:$M,0),"")</f>
        <v/>
      </c>
      <c r="B12" s="122" t="str">
        <f>IF($A12="","",INDEX(Assessment!$B:$B,$A12))</f>
        <v/>
      </c>
      <c r="C12" s="122" t="str">
        <f>IF($A12="","",INDEX(Assessment!$D:$D,$A12))</f>
        <v/>
      </c>
      <c r="D12" s="122" t="str">
        <f>IF($A12="","",INDEX(Assessment!$E:$E,$A12))</f>
        <v/>
      </c>
      <c r="E12" s="122" t="str">
        <f>IF($A12="","",INDEX(Assessment!$G:$G,$A12))</f>
        <v/>
      </c>
      <c r="F12" s="122" t="str">
        <f>IF($A12="","",INDEX(Assessment!$H:$H,$A12))</f>
        <v/>
      </c>
      <c r="G12" s="120" t="str">
        <f>IF($A12="","",INDEX(Assessment!$I:$I,$A12))</f>
        <v/>
      </c>
      <c r="H12" s="118"/>
      <c r="I12" s="118"/>
      <c r="J12" s="118"/>
      <c r="K12" s="118"/>
    </row>
    <row r="13" spans="1:11" ht="48" customHeight="1" x14ac:dyDescent="0.25">
      <c r="A13" s="116" t="str">
        <f>IFERROR(MATCH(9,Assessment!$M:$M,0),"")</f>
        <v/>
      </c>
      <c r="B13" s="117" t="str">
        <f>IF($A13="","",INDEX(Assessment!$B:$B,$A13))</f>
        <v/>
      </c>
      <c r="C13" s="117" t="str">
        <f>IF($A13="","",INDEX(Assessment!$D:$D,$A13))</f>
        <v/>
      </c>
      <c r="D13" s="117" t="str">
        <f>IF($A13="","",INDEX(Assessment!$E:$E,$A13))</f>
        <v/>
      </c>
      <c r="E13" s="117" t="str">
        <f>IF($A13="","",INDEX(Assessment!$G:$G,$A13))</f>
        <v/>
      </c>
      <c r="F13" s="117" t="str">
        <f>IF($A13="","",INDEX(Assessment!$H:$H,$A13))</f>
        <v/>
      </c>
      <c r="G13" s="38" t="str">
        <f>IF($A13="","",INDEX(Assessment!$I:$I,$A13))</f>
        <v/>
      </c>
      <c r="H13" s="118"/>
      <c r="I13" s="118"/>
      <c r="J13" s="118"/>
      <c r="K13" s="118"/>
    </row>
    <row r="14" spans="1:11" ht="48" customHeight="1" x14ac:dyDescent="0.25">
      <c r="A14" s="116" t="str">
        <f>IFERROR(MATCH(10,Assessment!$M:$M,0),"")</f>
        <v/>
      </c>
      <c r="B14" s="122" t="str">
        <f>IF($A14="","",INDEX(Assessment!$B:$B,$A14))</f>
        <v/>
      </c>
      <c r="C14" s="122" t="str">
        <f>IF($A14="","",INDEX(Assessment!$D:$D,$A14))</f>
        <v/>
      </c>
      <c r="D14" s="122" t="str">
        <f>IF($A14="","",INDEX(Assessment!$E:$E,$A14))</f>
        <v/>
      </c>
      <c r="E14" s="122" t="str">
        <f>IF($A14="","",INDEX(Assessment!$G:$G,$A14))</f>
        <v/>
      </c>
      <c r="F14" s="122" t="str">
        <f>IF($A14="","",INDEX(Assessment!$H:$H,$A14))</f>
        <v/>
      </c>
      <c r="G14" s="120" t="str">
        <f>IF($A14="","",INDEX(Assessment!$I:$I,$A14))</f>
        <v/>
      </c>
      <c r="H14" s="118"/>
      <c r="I14" s="118"/>
      <c r="J14" s="118"/>
      <c r="K14" s="118"/>
    </row>
    <row r="15" spans="1:11" ht="48" customHeight="1" x14ac:dyDescent="0.25">
      <c r="A15" s="116" t="str">
        <f>IFERROR(MATCH(11,Assessment!$M:$M,0),"")</f>
        <v/>
      </c>
      <c r="B15" s="117" t="str">
        <f>IF($A15="","",INDEX(Assessment!$B:$B,$A15))</f>
        <v/>
      </c>
      <c r="C15" s="117" t="str">
        <f>IF($A15="","",INDEX(Assessment!$D:$D,$A15))</f>
        <v/>
      </c>
      <c r="D15" s="117" t="str">
        <f>IF($A15="","",INDEX(Assessment!$E:$E,$A15))</f>
        <v/>
      </c>
      <c r="E15" s="117" t="str">
        <f>IF($A15="","",INDEX(Assessment!$G:$G,$A15))</f>
        <v/>
      </c>
      <c r="F15" s="117" t="str">
        <f>IF($A15="","",INDEX(Assessment!$H:$H,$A15))</f>
        <v/>
      </c>
      <c r="G15" s="38" t="str">
        <f>IF($A15="","",INDEX(Assessment!$I:$I,$A15))</f>
        <v/>
      </c>
      <c r="H15" s="118"/>
      <c r="I15" s="118"/>
      <c r="J15" s="118"/>
      <c r="K15" s="118"/>
    </row>
    <row r="16" spans="1:11" ht="48" customHeight="1" x14ac:dyDescent="0.25">
      <c r="A16" s="116" t="str">
        <f>IFERROR(MATCH(12,Assessment!$M:$M,0),"")</f>
        <v/>
      </c>
      <c r="B16" s="122" t="str">
        <f>IF($A16="","",INDEX(Assessment!$B:$B,$A16))</f>
        <v/>
      </c>
      <c r="C16" s="122" t="str">
        <f>IF($A16="","",INDEX(Assessment!$D:$D,$A16))</f>
        <v/>
      </c>
      <c r="D16" s="122" t="str">
        <f>IF($A16="","",INDEX(Assessment!$E:$E,$A16))</f>
        <v/>
      </c>
      <c r="E16" s="122" t="str">
        <f>IF($A16="","",INDEX(Assessment!$G:$G,$A16))</f>
        <v/>
      </c>
      <c r="F16" s="122" t="str">
        <f>IF($A16="","",INDEX(Assessment!$H:$H,$A16))</f>
        <v/>
      </c>
      <c r="G16" s="120" t="str">
        <f>IF($A16="","",INDEX(Assessment!$I:$I,$A16))</f>
        <v/>
      </c>
      <c r="H16" s="118"/>
      <c r="I16" s="118"/>
      <c r="J16" s="118"/>
      <c r="K16" s="118"/>
    </row>
    <row r="17" spans="1:11" ht="48" customHeight="1" x14ac:dyDescent="0.25">
      <c r="A17" s="116" t="str">
        <f>IFERROR(MATCH(13,Assessment!$M:$M,0),"")</f>
        <v/>
      </c>
      <c r="B17" s="117" t="str">
        <f>IF($A17="","",INDEX(Assessment!$B:$B,$A17))</f>
        <v/>
      </c>
      <c r="C17" s="117" t="str">
        <f>IF($A17="","",INDEX(Assessment!$D:$D,$A17))</f>
        <v/>
      </c>
      <c r="D17" s="117" t="str">
        <f>IF($A17="","",INDEX(Assessment!$E:$E,$A17))</f>
        <v/>
      </c>
      <c r="E17" s="117" t="str">
        <f>IF($A17="","",INDEX(Assessment!$G:$G,$A17))</f>
        <v/>
      </c>
      <c r="F17" s="117" t="str">
        <f>IF($A17="","",INDEX(Assessment!$H:$H,$A17))</f>
        <v/>
      </c>
      <c r="G17" s="38" t="str">
        <f>IF($A17="","",INDEX(Assessment!$I:$I,$A17))</f>
        <v/>
      </c>
      <c r="H17" s="118"/>
      <c r="I17" s="118"/>
      <c r="J17" s="118"/>
      <c r="K17" s="118"/>
    </row>
    <row r="18" spans="1:11" ht="48" customHeight="1" x14ac:dyDescent="0.25">
      <c r="A18" s="116" t="str">
        <f>IFERROR(MATCH(14,Assessment!$M:$M,0),"")</f>
        <v/>
      </c>
      <c r="B18" s="122" t="str">
        <f>IF($A18="","",INDEX(Assessment!$B:$B,$A18))</f>
        <v/>
      </c>
      <c r="C18" s="122" t="str">
        <f>IF($A18="","",INDEX(Assessment!$D:$D,$A18))</f>
        <v/>
      </c>
      <c r="D18" s="122" t="str">
        <f>IF($A18="","",INDEX(Assessment!$E:$E,$A18))</f>
        <v/>
      </c>
      <c r="E18" s="122" t="str">
        <f>IF($A18="","",INDEX(Assessment!$G:$G,$A18))</f>
        <v/>
      </c>
      <c r="F18" s="122" t="str">
        <f>IF($A18="","",INDEX(Assessment!$H:$H,$A18))</f>
        <v/>
      </c>
      <c r="G18" s="120" t="str">
        <f>IF($A18="","",INDEX(Assessment!$I:$I,$A18))</f>
        <v/>
      </c>
      <c r="H18" s="118"/>
      <c r="I18" s="118"/>
      <c r="J18" s="118"/>
      <c r="K18" s="118"/>
    </row>
    <row r="19" spans="1:11" ht="48" customHeight="1" x14ac:dyDescent="0.25">
      <c r="A19" s="116" t="str">
        <f>IFERROR(MATCH(15,Assessment!$M:$M,0),"")</f>
        <v/>
      </c>
      <c r="B19" s="117" t="str">
        <f>IF($A19="","",INDEX(Assessment!$B:$B,$A19))</f>
        <v/>
      </c>
      <c r="C19" s="117" t="str">
        <f>IF($A19="","",INDEX(Assessment!$D:$D,$A19))</f>
        <v/>
      </c>
      <c r="D19" s="117" t="str">
        <f>IF($A19="","",INDEX(Assessment!$E:$E,$A19))</f>
        <v/>
      </c>
      <c r="E19" s="117" t="str">
        <f>IF($A19="","",INDEX(Assessment!$G:$G,$A19))</f>
        <v/>
      </c>
      <c r="F19" s="117" t="str">
        <f>IF($A19="","",INDEX(Assessment!$H:$H,$A19))</f>
        <v/>
      </c>
      <c r="G19" s="38" t="str">
        <f>IF($A19="","",INDEX(Assessment!$I:$I,$A19))</f>
        <v/>
      </c>
      <c r="H19" s="118"/>
      <c r="I19" s="118"/>
      <c r="J19" s="118"/>
      <c r="K19" s="118"/>
    </row>
    <row r="20" spans="1:11" ht="48" customHeight="1" x14ac:dyDescent="0.25">
      <c r="A20" s="116" t="str">
        <f>IFERROR(MATCH(16,Assessment!$M:$M,0),"")</f>
        <v/>
      </c>
      <c r="B20" s="122" t="str">
        <f>IF($A20="","",INDEX(Assessment!$B:$B,$A20))</f>
        <v/>
      </c>
      <c r="C20" s="122" t="str">
        <f>IF($A20="","",INDEX(Assessment!$D:$D,$A20))</f>
        <v/>
      </c>
      <c r="D20" s="122" t="str">
        <f>IF($A20="","",INDEX(Assessment!$E:$E,$A20))</f>
        <v/>
      </c>
      <c r="E20" s="122" t="str">
        <f>IF($A20="","",INDEX(Assessment!$G:$G,$A20))</f>
        <v/>
      </c>
      <c r="F20" s="122" t="str">
        <f>IF($A20="","",INDEX(Assessment!$H:$H,$A20))</f>
        <v/>
      </c>
      <c r="G20" s="120" t="str">
        <f>IF($A20="","",INDEX(Assessment!$I:$I,$A20))</f>
        <v/>
      </c>
      <c r="H20" s="118"/>
      <c r="I20" s="118"/>
      <c r="J20" s="118"/>
      <c r="K20" s="118"/>
    </row>
    <row r="21" spans="1:11" ht="48" customHeight="1" x14ac:dyDescent="0.25">
      <c r="A21" s="116" t="str">
        <f>IFERROR(MATCH(17,Assessment!$M:$M,0),"")</f>
        <v/>
      </c>
      <c r="B21" s="117" t="str">
        <f>IF($A21="","",INDEX(Assessment!$B:$B,$A21))</f>
        <v/>
      </c>
      <c r="C21" s="117" t="str">
        <f>IF($A21="","",INDEX(Assessment!$D:$D,$A21))</f>
        <v/>
      </c>
      <c r="D21" s="117" t="str">
        <f>IF($A21="","",INDEX(Assessment!$E:$E,$A21))</f>
        <v/>
      </c>
      <c r="E21" s="117" t="str">
        <f>IF($A21="","",INDEX(Assessment!$G:$G,$A21))</f>
        <v/>
      </c>
      <c r="F21" s="117" t="str">
        <f>IF($A21="","",INDEX(Assessment!$H:$H,$A21))</f>
        <v/>
      </c>
      <c r="G21" s="38" t="str">
        <f>IF($A21="","",INDEX(Assessment!$I:$I,$A21))</f>
        <v/>
      </c>
      <c r="H21" s="118"/>
      <c r="I21" s="118"/>
      <c r="J21" s="118"/>
      <c r="K21" s="118"/>
    </row>
    <row r="22" spans="1:11" ht="48" customHeight="1" x14ac:dyDescent="0.25">
      <c r="A22" s="116" t="str">
        <f>IFERROR(MATCH(18,Assessment!$M:$M,0),"")</f>
        <v/>
      </c>
      <c r="B22" s="122" t="str">
        <f>IF($A22="","",INDEX(Assessment!$B:$B,$A22))</f>
        <v/>
      </c>
      <c r="C22" s="122" t="str">
        <f>IF($A22="","",INDEX(Assessment!$D:$D,$A22))</f>
        <v/>
      </c>
      <c r="D22" s="122" t="str">
        <f>IF($A22="","",INDEX(Assessment!$E:$E,$A22))</f>
        <v/>
      </c>
      <c r="E22" s="122" t="str">
        <f>IF($A22="","",INDEX(Assessment!$G:$G,$A22))</f>
        <v/>
      </c>
      <c r="F22" s="122" t="str">
        <f>IF($A22="","",INDEX(Assessment!$H:$H,$A22))</f>
        <v/>
      </c>
      <c r="G22" s="120" t="str">
        <f>IF($A22="","",INDEX(Assessment!$I:$I,$A22))</f>
        <v/>
      </c>
      <c r="H22" s="118"/>
      <c r="I22" s="118"/>
      <c r="J22" s="118"/>
      <c r="K22" s="118"/>
    </row>
    <row r="23" spans="1:11" ht="48" customHeight="1" x14ac:dyDescent="0.25">
      <c r="A23" s="116" t="str">
        <f>IFERROR(MATCH(19,Assessment!$M:$M,0),"")</f>
        <v/>
      </c>
      <c r="B23" s="117" t="str">
        <f>IF($A23="","",INDEX(Assessment!$B:$B,$A23))</f>
        <v/>
      </c>
      <c r="C23" s="117" t="str">
        <f>IF($A23="","",INDEX(Assessment!$D:$D,$A23))</f>
        <v/>
      </c>
      <c r="D23" s="117" t="str">
        <f>IF($A23="","",INDEX(Assessment!$E:$E,$A23))</f>
        <v/>
      </c>
      <c r="E23" s="117" t="str">
        <f>IF($A23="","",INDEX(Assessment!$G:$G,$A23))</f>
        <v/>
      </c>
      <c r="F23" s="117" t="str">
        <f>IF($A23="","",INDEX(Assessment!$H:$H,$A23))</f>
        <v/>
      </c>
      <c r="G23" s="38" t="str">
        <f>IF($A23="","",INDEX(Assessment!$I:$I,$A23))</f>
        <v/>
      </c>
      <c r="H23" s="118"/>
      <c r="I23" s="118"/>
      <c r="J23" s="118"/>
      <c r="K23" s="118"/>
    </row>
    <row r="24" spans="1:11" ht="48" customHeight="1" x14ac:dyDescent="0.25">
      <c r="A24" s="116" t="str">
        <f>IFERROR(MATCH(20,Assessment!$M:$M,0),"")</f>
        <v/>
      </c>
      <c r="B24" s="122" t="str">
        <f>IF($A24="","",INDEX(Assessment!$B:$B,$A24))</f>
        <v/>
      </c>
      <c r="C24" s="122" t="str">
        <f>IF($A24="","",INDEX(Assessment!$D:$D,$A24))</f>
        <v/>
      </c>
      <c r="D24" s="122" t="str">
        <f>IF($A24="","",INDEX(Assessment!$E:$E,$A24))</f>
        <v/>
      </c>
      <c r="E24" s="122" t="str">
        <f>IF($A24="","",INDEX(Assessment!$G:$G,$A24))</f>
        <v/>
      </c>
      <c r="F24" s="122" t="str">
        <f>IF($A24="","",INDEX(Assessment!$H:$H,$A24))</f>
        <v/>
      </c>
      <c r="G24" s="120" t="str">
        <f>IF($A24="","",INDEX(Assessment!$I:$I,$A24))</f>
        <v/>
      </c>
      <c r="H24" s="118"/>
      <c r="I24" s="118"/>
      <c r="J24" s="118"/>
      <c r="K24" s="118"/>
    </row>
    <row r="25" spans="1:11" ht="48" customHeight="1" x14ac:dyDescent="0.25">
      <c r="A25" s="116" t="str">
        <f>IFERROR(MATCH(21,Assessment!$M:$M,0),"")</f>
        <v/>
      </c>
      <c r="B25" s="117" t="str">
        <f>IF($A25="","",INDEX(Assessment!$B:$B,$A25))</f>
        <v/>
      </c>
      <c r="C25" s="117" t="str">
        <f>IF($A25="","",INDEX(Assessment!$D:$D,$A25))</f>
        <v/>
      </c>
      <c r="D25" s="117" t="str">
        <f>IF($A25="","",INDEX(Assessment!$E:$E,$A25))</f>
        <v/>
      </c>
      <c r="E25" s="117" t="str">
        <f>IF($A25="","",INDEX(Assessment!$G:$G,$A25))</f>
        <v/>
      </c>
      <c r="F25" s="117" t="str">
        <f>IF($A25="","",INDEX(Assessment!$H:$H,$A25))</f>
        <v/>
      </c>
      <c r="G25" s="38" t="str">
        <f>IF($A25="","",INDEX(Assessment!$I:$I,$A25))</f>
        <v/>
      </c>
      <c r="H25" s="118"/>
      <c r="I25" s="118"/>
      <c r="J25" s="118"/>
      <c r="K25" s="118"/>
    </row>
    <row r="26" spans="1:11" ht="48" customHeight="1" x14ac:dyDescent="0.25">
      <c r="A26" s="116" t="str">
        <f>IFERROR(MATCH(22,Assessment!$M:$M,0),"")</f>
        <v/>
      </c>
      <c r="B26" s="122" t="str">
        <f>IF($A26="","",INDEX(Assessment!$B:$B,$A26))</f>
        <v/>
      </c>
      <c r="C26" s="122" t="str">
        <f>IF($A26="","",INDEX(Assessment!$D:$D,$A26))</f>
        <v/>
      </c>
      <c r="D26" s="122" t="str">
        <f>IF($A26="","",INDEX(Assessment!$E:$E,$A26))</f>
        <v/>
      </c>
      <c r="E26" s="122" t="str">
        <f>IF($A26="","",INDEX(Assessment!$G:$G,$A26))</f>
        <v/>
      </c>
      <c r="F26" s="122" t="str">
        <f>IF($A26="","",INDEX(Assessment!$H:$H,$A26))</f>
        <v/>
      </c>
      <c r="G26" s="120" t="str">
        <f>IF($A26="","",INDEX(Assessment!$I:$I,$A26))</f>
        <v/>
      </c>
      <c r="H26" s="118"/>
      <c r="I26" s="118"/>
      <c r="J26" s="118"/>
      <c r="K26" s="118"/>
    </row>
    <row r="27" spans="1:11" ht="48" customHeight="1" x14ac:dyDescent="0.25">
      <c r="A27" s="116" t="str">
        <f>IFERROR(MATCH(23,Assessment!$M:$M,0),"")</f>
        <v/>
      </c>
      <c r="B27" s="117" t="str">
        <f>IF($A27="","",INDEX(Assessment!$B:$B,$A27))</f>
        <v/>
      </c>
      <c r="C27" s="117" t="str">
        <f>IF($A27="","",INDEX(Assessment!$D:$D,$A27))</f>
        <v/>
      </c>
      <c r="D27" s="117" t="str">
        <f>IF($A27="","",INDEX(Assessment!$E:$E,$A27))</f>
        <v/>
      </c>
      <c r="E27" s="117" t="str">
        <f>IF($A27="","",INDEX(Assessment!$G:$G,$A27))</f>
        <v/>
      </c>
      <c r="F27" s="117" t="str">
        <f>IF($A27="","",INDEX(Assessment!$H:$H,$A27))</f>
        <v/>
      </c>
      <c r="G27" s="38" t="str">
        <f>IF($A27="","",INDEX(Assessment!$I:$I,$A27))</f>
        <v/>
      </c>
      <c r="H27" s="118"/>
      <c r="I27" s="118"/>
      <c r="J27" s="118"/>
      <c r="K27" s="118"/>
    </row>
    <row r="28" spans="1:11" ht="48" customHeight="1" x14ac:dyDescent="0.25">
      <c r="A28" s="116" t="str">
        <f>IFERROR(MATCH(24,Assessment!$M:$M,0),"")</f>
        <v/>
      </c>
      <c r="B28" s="122" t="str">
        <f>IF($A28="","",INDEX(Assessment!$B:$B,$A28))</f>
        <v/>
      </c>
      <c r="C28" s="122" t="str">
        <f>IF($A28="","",INDEX(Assessment!$D:$D,$A28))</f>
        <v/>
      </c>
      <c r="D28" s="122" t="str">
        <f>IF($A28="","",INDEX(Assessment!$E:$E,$A28))</f>
        <v/>
      </c>
      <c r="E28" s="122" t="str">
        <f>IF($A28="","",INDEX(Assessment!$G:$G,$A28))</f>
        <v/>
      </c>
      <c r="F28" s="122" t="str">
        <f>IF($A28="","",INDEX(Assessment!$H:$H,$A28))</f>
        <v/>
      </c>
      <c r="G28" s="120" t="str">
        <f>IF($A28="","",INDEX(Assessment!$I:$I,$A28))</f>
        <v/>
      </c>
      <c r="H28" s="118"/>
      <c r="I28" s="118"/>
      <c r="J28" s="118"/>
      <c r="K28" s="118"/>
    </row>
    <row r="29" spans="1:11" ht="48" customHeight="1" x14ac:dyDescent="0.25">
      <c r="A29" s="116" t="str">
        <f>IFERROR(MATCH(25,Assessment!$M:$M,0),"")</f>
        <v/>
      </c>
      <c r="B29" s="117" t="str">
        <f>IF($A29="","",INDEX(Assessment!$B:$B,$A29))</f>
        <v/>
      </c>
      <c r="C29" s="117" t="str">
        <f>IF($A29="","",INDEX(Assessment!$D:$D,$A29))</f>
        <v/>
      </c>
      <c r="D29" s="117" t="str">
        <f>IF($A29="","",INDEX(Assessment!$E:$E,$A29))</f>
        <v/>
      </c>
      <c r="E29" s="117" t="str">
        <f>IF($A29="","",INDEX(Assessment!$G:$G,$A29))</f>
        <v/>
      </c>
      <c r="F29" s="117" t="str">
        <f>IF($A29="","",INDEX(Assessment!$H:$H,$A29))</f>
        <v/>
      </c>
      <c r="G29" s="38" t="str">
        <f>IF($A29="","",INDEX(Assessment!$I:$I,$A29))</f>
        <v/>
      </c>
      <c r="H29" s="118"/>
      <c r="I29" s="118"/>
      <c r="J29" s="118"/>
      <c r="K29" s="118"/>
    </row>
    <row r="30" spans="1:11" ht="48" customHeight="1" x14ac:dyDescent="0.25">
      <c r="A30" s="116" t="str">
        <f>IFERROR(MATCH(26,Assessment!$M:$M,0),"")</f>
        <v/>
      </c>
      <c r="B30" s="122" t="str">
        <f>IF($A30="","",INDEX(Assessment!$B:$B,$A30))</f>
        <v/>
      </c>
      <c r="C30" s="122" t="str">
        <f>IF($A30="","",INDEX(Assessment!$D:$D,$A30))</f>
        <v/>
      </c>
      <c r="D30" s="122" t="str">
        <f>IF($A30="","",INDEX(Assessment!$E:$E,$A30))</f>
        <v/>
      </c>
      <c r="E30" s="122" t="str">
        <f>IF($A30="","",INDEX(Assessment!$G:$G,$A30))</f>
        <v/>
      </c>
      <c r="F30" s="122" t="str">
        <f>IF($A30="","",INDEX(Assessment!$H:$H,$A30))</f>
        <v/>
      </c>
      <c r="G30" s="120" t="str">
        <f>IF($A30="","",INDEX(Assessment!$I:$I,$A30))</f>
        <v/>
      </c>
      <c r="H30" s="118"/>
      <c r="I30" s="118"/>
      <c r="J30" s="118"/>
      <c r="K30" s="118"/>
    </row>
    <row r="31" spans="1:11" ht="48" customHeight="1" x14ac:dyDescent="0.25">
      <c r="A31" s="116" t="str">
        <f>IFERROR(MATCH(27,Assessment!$M:$M,0),"")</f>
        <v/>
      </c>
      <c r="B31" s="117" t="str">
        <f>IF($A31="","",INDEX(Assessment!$B:$B,$A31))</f>
        <v/>
      </c>
      <c r="C31" s="117" t="str">
        <f>IF($A31="","",INDEX(Assessment!$D:$D,$A31))</f>
        <v/>
      </c>
      <c r="D31" s="117" t="str">
        <f>IF($A31="","",INDEX(Assessment!$E:$E,$A31))</f>
        <v/>
      </c>
      <c r="E31" s="117" t="str">
        <f>IF($A31="","",INDEX(Assessment!$G:$G,$A31))</f>
        <v/>
      </c>
      <c r="F31" s="117" t="str">
        <f>IF($A31="","",INDEX(Assessment!$H:$H,$A31))</f>
        <v/>
      </c>
      <c r="G31" s="38" t="str">
        <f>IF($A31="","",INDEX(Assessment!$I:$I,$A31))</f>
        <v/>
      </c>
      <c r="H31" s="118"/>
      <c r="I31" s="118"/>
      <c r="J31" s="118"/>
      <c r="K31" s="118"/>
    </row>
    <row r="32" spans="1:11" ht="48" customHeight="1" x14ac:dyDescent="0.25">
      <c r="A32" s="116" t="str">
        <f>IFERROR(MATCH(28,Assessment!$M:$M,0),"")</f>
        <v/>
      </c>
      <c r="B32" s="122" t="str">
        <f>IF($A32="","",INDEX(Assessment!$B:$B,$A32))</f>
        <v/>
      </c>
      <c r="C32" s="122" t="str">
        <f>IF($A32="","",INDEX(Assessment!$D:$D,$A32))</f>
        <v/>
      </c>
      <c r="D32" s="122" t="str">
        <f>IF($A32="","",INDEX(Assessment!$E:$E,$A32))</f>
        <v/>
      </c>
      <c r="E32" s="122" t="str">
        <f>IF($A32="","",INDEX(Assessment!$G:$G,$A32))</f>
        <v/>
      </c>
      <c r="F32" s="122" t="str">
        <f>IF($A32="","",INDEX(Assessment!$H:$H,$A32))</f>
        <v/>
      </c>
      <c r="G32" s="120" t="str">
        <f>IF($A32="","",INDEX(Assessment!$I:$I,$A32))</f>
        <v/>
      </c>
      <c r="H32" s="118"/>
      <c r="I32" s="118"/>
      <c r="J32" s="118"/>
      <c r="K32" s="118"/>
    </row>
    <row r="33" spans="1:11" ht="48" customHeight="1" x14ac:dyDescent="0.25">
      <c r="A33" s="116" t="str">
        <f>IFERROR(MATCH(29,Assessment!$M:$M,0),"")</f>
        <v/>
      </c>
      <c r="B33" s="117" t="str">
        <f>IF($A33="","",INDEX(Assessment!$B:$B,$A33))</f>
        <v/>
      </c>
      <c r="C33" s="117" t="str">
        <f>IF($A33="","",INDEX(Assessment!$D:$D,$A33))</f>
        <v/>
      </c>
      <c r="D33" s="117" t="str">
        <f>IF($A33="","",INDEX(Assessment!$E:$E,$A33))</f>
        <v/>
      </c>
      <c r="E33" s="117" t="str">
        <f>IF($A33="","",INDEX(Assessment!$G:$G,$A33))</f>
        <v/>
      </c>
      <c r="F33" s="117" t="str">
        <f>IF($A33="","",INDEX(Assessment!$H:$H,$A33))</f>
        <v/>
      </c>
      <c r="G33" s="38" t="str">
        <f>IF($A33="","",INDEX(Assessment!$I:$I,$A33))</f>
        <v/>
      </c>
      <c r="H33" s="118"/>
      <c r="I33" s="118"/>
      <c r="J33" s="118"/>
      <c r="K33" s="118"/>
    </row>
    <row r="34" spans="1:11" ht="48" customHeight="1" x14ac:dyDescent="0.25">
      <c r="A34" s="116" t="str">
        <f>IFERROR(MATCH(30,Assessment!$M:$M,0),"")</f>
        <v/>
      </c>
      <c r="B34" s="122" t="str">
        <f>IF($A34="","",INDEX(Assessment!$B:$B,$A34))</f>
        <v/>
      </c>
      <c r="C34" s="122" t="str">
        <f>IF($A34="","",INDEX(Assessment!$D:$D,$A34))</f>
        <v/>
      </c>
      <c r="D34" s="122" t="str">
        <f>IF($A34="","",INDEX(Assessment!$E:$E,$A34))</f>
        <v/>
      </c>
      <c r="E34" s="122" t="str">
        <f>IF($A34="","",INDEX(Assessment!$G:$G,$A34))</f>
        <v/>
      </c>
      <c r="F34" s="122" t="str">
        <f>IF($A34="","",INDEX(Assessment!$H:$H,$A34))</f>
        <v/>
      </c>
      <c r="G34" s="120" t="str">
        <f>IF($A34="","",INDEX(Assessment!$I:$I,$A34))</f>
        <v/>
      </c>
      <c r="H34" s="118"/>
      <c r="I34" s="118"/>
      <c r="J34" s="118"/>
      <c r="K34" s="118"/>
    </row>
    <row r="35" spans="1:11" ht="48" customHeight="1" x14ac:dyDescent="0.25">
      <c r="A35" s="116" t="str">
        <f>IFERROR(MATCH(31,Assessment!$M:$M,0),"")</f>
        <v/>
      </c>
      <c r="B35" s="117" t="str">
        <f>IF($A35="","",INDEX(Assessment!$B:$B,$A35))</f>
        <v/>
      </c>
      <c r="C35" s="117" t="str">
        <f>IF($A35="","",INDEX(Assessment!$D:$D,$A35))</f>
        <v/>
      </c>
      <c r="D35" s="117" t="str">
        <f>IF($A35="","",INDEX(Assessment!$E:$E,$A35))</f>
        <v/>
      </c>
      <c r="E35" s="117" t="str">
        <f>IF($A35="","",INDEX(Assessment!$G:$G,$A35))</f>
        <v/>
      </c>
      <c r="F35" s="117" t="str">
        <f>IF($A35="","",INDEX(Assessment!$H:$H,$A35))</f>
        <v/>
      </c>
      <c r="G35" s="38" t="str">
        <f>IF($A35="","",INDEX(Assessment!$I:$I,$A35))</f>
        <v/>
      </c>
      <c r="H35" s="118"/>
      <c r="I35" s="118"/>
      <c r="J35" s="118"/>
      <c r="K35" s="118"/>
    </row>
    <row r="36" spans="1:11" ht="48" customHeight="1" x14ac:dyDescent="0.25">
      <c r="A36" s="116" t="str">
        <f>IFERROR(MATCH(32,Assessment!$M:$M,0),"")</f>
        <v/>
      </c>
      <c r="B36" s="122" t="str">
        <f>IF($A36="","",INDEX(Assessment!$B:$B,$A36))</f>
        <v/>
      </c>
      <c r="C36" s="122" t="str">
        <f>IF($A36="","",INDEX(Assessment!$D:$D,$A36))</f>
        <v/>
      </c>
      <c r="D36" s="122" t="str">
        <f>IF($A36="","",INDEX(Assessment!$E:$E,$A36))</f>
        <v/>
      </c>
      <c r="E36" s="122" t="str">
        <f>IF($A36="","",INDEX(Assessment!$G:$G,$A36))</f>
        <v/>
      </c>
      <c r="F36" s="122" t="str">
        <f>IF($A36="","",INDEX(Assessment!$H:$H,$A36))</f>
        <v/>
      </c>
      <c r="G36" s="120" t="str">
        <f>IF($A36="","",INDEX(Assessment!$I:$I,$A36))</f>
        <v/>
      </c>
      <c r="H36" s="118"/>
      <c r="I36" s="118"/>
      <c r="J36" s="118"/>
      <c r="K36" s="118"/>
    </row>
    <row r="37" spans="1:11" ht="48" customHeight="1" x14ac:dyDescent="0.25">
      <c r="A37" s="116" t="str">
        <f>IFERROR(MATCH(33,Assessment!$M:$M,0),"")</f>
        <v/>
      </c>
      <c r="B37" s="117" t="str">
        <f>IF($A37="","",INDEX(Assessment!$B:$B,$A37))</f>
        <v/>
      </c>
      <c r="C37" s="117" t="str">
        <f>IF($A37="","",INDEX(Assessment!$D:$D,$A37))</f>
        <v/>
      </c>
      <c r="D37" s="117" t="str">
        <f>IF($A37="","",INDEX(Assessment!$E:$E,$A37))</f>
        <v/>
      </c>
      <c r="E37" s="117" t="str">
        <f>IF($A37="","",INDEX(Assessment!$G:$G,$A37))</f>
        <v/>
      </c>
      <c r="F37" s="117" t="str">
        <f>IF($A37="","",INDEX(Assessment!$H:$H,$A37))</f>
        <v/>
      </c>
      <c r="G37" s="38" t="str">
        <f>IF($A37="","",INDEX(Assessment!$I:$I,$A37))</f>
        <v/>
      </c>
      <c r="H37" s="118"/>
      <c r="I37" s="118"/>
      <c r="J37" s="118"/>
      <c r="K37" s="118"/>
    </row>
    <row r="38" spans="1:11" ht="48" customHeight="1" x14ac:dyDescent="0.25">
      <c r="A38" s="116" t="str">
        <f>IFERROR(MATCH(34,Assessment!$M:$M,0),"")</f>
        <v/>
      </c>
      <c r="B38" s="122" t="str">
        <f>IF($A38="","",INDEX(Assessment!$B:$B,$A38))</f>
        <v/>
      </c>
      <c r="C38" s="122" t="str">
        <f>IF($A38="","",INDEX(Assessment!$D:$D,$A38))</f>
        <v/>
      </c>
      <c r="D38" s="122" t="str">
        <f>IF($A38="","",INDEX(Assessment!$E:$E,$A38))</f>
        <v/>
      </c>
      <c r="E38" s="122" t="str">
        <f>IF($A38="","",INDEX(Assessment!$G:$G,$A38))</f>
        <v/>
      </c>
      <c r="F38" s="122" t="str">
        <f>IF($A38="","",INDEX(Assessment!$H:$H,$A38))</f>
        <v/>
      </c>
      <c r="G38" s="120" t="str">
        <f>IF($A38="","",INDEX(Assessment!$I:$I,$A38))</f>
        <v/>
      </c>
      <c r="H38" s="118"/>
      <c r="I38" s="118"/>
      <c r="J38" s="118"/>
      <c r="K38" s="118"/>
    </row>
    <row r="39" spans="1:11" ht="48" customHeight="1" x14ac:dyDescent="0.25">
      <c r="A39" s="116" t="str">
        <f>IFERROR(MATCH(35,Assessment!$M:$M,0),"")</f>
        <v/>
      </c>
      <c r="B39" s="117" t="str">
        <f>IF($A39="","",INDEX(Assessment!$B:$B,$A39))</f>
        <v/>
      </c>
      <c r="C39" s="117" t="str">
        <f>IF($A39="","",INDEX(Assessment!$D:$D,$A39))</f>
        <v/>
      </c>
      <c r="D39" s="117" t="str">
        <f>IF($A39="","",INDEX(Assessment!$E:$E,$A39))</f>
        <v/>
      </c>
      <c r="E39" s="117" t="str">
        <f>IF($A39="","",INDEX(Assessment!$G:$G,$A39))</f>
        <v/>
      </c>
      <c r="F39" s="117" t="str">
        <f>IF($A39="","",INDEX(Assessment!$H:$H,$A39))</f>
        <v/>
      </c>
      <c r="G39" s="38" t="str">
        <f>IF($A39="","",INDEX(Assessment!$I:$I,$A39))</f>
        <v/>
      </c>
      <c r="H39" s="118"/>
      <c r="I39" s="118"/>
      <c r="J39" s="118"/>
      <c r="K39" s="118"/>
    </row>
    <row r="40" spans="1:11" ht="48" customHeight="1" x14ac:dyDescent="0.25">
      <c r="A40" s="116" t="str">
        <f>IFERROR(MATCH(36,Assessment!$M:$M,0),"")</f>
        <v/>
      </c>
      <c r="B40" s="122" t="str">
        <f>IF($A40="","",INDEX(Assessment!$B:$B,$A40))</f>
        <v/>
      </c>
      <c r="C40" s="122" t="str">
        <f>IF($A40="","",INDEX(Assessment!$D:$D,$A40))</f>
        <v/>
      </c>
      <c r="D40" s="122" t="str">
        <f>IF($A40="","",INDEX(Assessment!$E:$E,$A40))</f>
        <v/>
      </c>
      <c r="E40" s="122" t="str">
        <f>IF($A40="","",INDEX(Assessment!$G:$G,$A40))</f>
        <v/>
      </c>
      <c r="F40" s="122" t="str">
        <f>IF($A40="","",INDEX(Assessment!$H:$H,$A40))</f>
        <v/>
      </c>
      <c r="G40" s="120" t="str">
        <f>IF($A40="","",INDEX(Assessment!$I:$I,$A40))</f>
        <v/>
      </c>
      <c r="H40" s="118"/>
      <c r="I40" s="118"/>
      <c r="J40" s="118"/>
      <c r="K40" s="118"/>
    </row>
    <row r="41" spans="1:11" ht="48" customHeight="1" x14ac:dyDescent="0.25">
      <c r="A41" s="116" t="str">
        <f>IFERROR(MATCH(37,Assessment!$M:$M,0),"")</f>
        <v/>
      </c>
      <c r="B41" s="117" t="str">
        <f>IF($A41="","",INDEX(Assessment!$B:$B,$A41))</f>
        <v/>
      </c>
      <c r="C41" s="117" t="str">
        <f>IF($A41="","",INDEX(Assessment!$D:$D,$A41))</f>
        <v/>
      </c>
      <c r="D41" s="117" t="str">
        <f>IF($A41="","",INDEX(Assessment!$E:$E,$A41))</f>
        <v/>
      </c>
      <c r="E41" s="117" t="str">
        <f>IF($A41="","",INDEX(Assessment!$G:$G,$A41))</f>
        <v/>
      </c>
      <c r="F41" s="117" t="str">
        <f>IF($A41="","",INDEX(Assessment!$H:$H,$A41))</f>
        <v/>
      </c>
      <c r="G41" s="38" t="str">
        <f>IF($A41="","",INDEX(Assessment!$I:$I,$A41))</f>
        <v/>
      </c>
      <c r="H41" s="118"/>
      <c r="I41" s="118"/>
      <c r="J41" s="118"/>
      <c r="K41" s="118"/>
    </row>
    <row r="42" spans="1:11" ht="48" customHeight="1" x14ac:dyDescent="0.25">
      <c r="A42" s="116" t="str">
        <f>IFERROR(MATCH(38,Assessment!$M:$M,0),"")</f>
        <v/>
      </c>
      <c r="B42" s="122" t="str">
        <f>IF($A42="","",INDEX(Assessment!$B:$B,$A42))</f>
        <v/>
      </c>
      <c r="C42" s="122" t="str">
        <f>IF($A42="","",INDEX(Assessment!$D:$D,$A42))</f>
        <v/>
      </c>
      <c r="D42" s="122" t="str">
        <f>IF($A42="","",INDEX(Assessment!$E:$E,$A42))</f>
        <v/>
      </c>
      <c r="E42" s="122" t="str">
        <f>IF($A42="","",INDEX(Assessment!$G:$G,$A42))</f>
        <v/>
      </c>
      <c r="F42" s="122" t="str">
        <f>IF($A42="","",INDEX(Assessment!$H:$H,$A42))</f>
        <v/>
      </c>
      <c r="G42" s="120" t="str">
        <f>IF($A42="","",INDEX(Assessment!$I:$I,$A42))</f>
        <v/>
      </c>
      <c r="H42" s="118"/>
      <c r="I42" s="118"/>
      <c r="J42" s="118"/>
      <c r="K42" s="118"/>
    </row>
    <row r="43" spans="1:11" ht="48" customHeight="1" x14ac:dyDescent="0.25">
      <c r="A43" s="116" t="str">
        <f>IFERROR(MATCH(39,Assessment!$M:$M,0),"")</f>
        <v/>
      </c>
      <c r="B43" s="117" t="str">
        <f>IF($A43="","",INDEX(Assessment!$B:$B,$A43))</f>
        <v/>
      </c>
      <c r="C43" s="117" t="str">
        <f>IF($A43="","",INDEX(Assessment!$D:$D,$A43))</f>
        <v/>
      </c>
      <c r="D43" s="117" t="str">
        <f>IF($A43="","",INDEX(Assessment!$E:$E,$A43))</f>
        <v/>
      </c>
      <c r="E43" s="117" t="str">
        <f>IF($A43="","",INDEX(Assessment!$G:$G,$A43))</f>
        <v/>
      </c>
      <c r="F43" s="117" t="str">
        <f>IF($A43="","",INDEX(Assessment!$H:$H,$A43))</f>
        <v/>
      </c>
      <c r="G43" s="38" t="str">
        <f>IF($A43="","",INDEX(Assessment!$I:$I,$A43))</f>
        <v/>
      </c>
      <c r="H43" s="118"/>
      <c r="I43" s="118"/>
      <c r="J43" s="118"/>
      <c r="K43" s="118"/>
    </row>
    <row r="44" spans="1:11" ht="48" customHeight="1" x14ac:dyDescent="0.25">
      <c r="A44" s="116" t="str">
        <f>IFERROR(MATCH(40,Assessment!$M:$M,0),"")</f>
        <v/>
      </c>
      <c r="B44" s="122" t="str">
        <f>IF($A44="","",INDEX(Assessment!$B:$B,$A44))</f>
        <v/>
      </c>
      <c r="C44" s="122" t="str">
        <f>IF($A44="","",INDEX(Assessment!$D:$D,$A44))</f>
        <v/>
      </c>
      <c r="D44" s="122" t="str">
        <f>IF($A44="","",INDEX(Assessment!$E:$E,$A44))</f>
        <v/>
      </c>
      <c r="E44" s="122" t="str">
        <f>IF($A44="","",INDEX(Assessment!$G:$G,$A44))</f>
        <v/>
      </c>
      <c r="F44" s="122" t="str">
        <f>IF($A44="","",INDEX(Assessment!$H:$H,$A44))</f>
        <v/>
      </c>
      <c r="G44" s="120" t="str">
        <f>IF($A44="","",INDEX(Assessment!$I:$I,$A44))</f>
        <v/>
      </c>
      <c r="H44" s="118"/>
      <c r="I44" s="118"/>
      <c r="J44" s="118"/>
      <c r="K44" s="118"/>
    </row>
    <row r="45" spans="1:11" ht="48" customHeight="1" x14ac:dyDescent="0.25">
      <c r="A45" s="116" t="str">
        <f>IFERROR(MATCH(41,Assessment!$M:$M,0),"")</f>
        <v/>
      </c>
      <c r="B45" s="117" t="str">
        <f>IF($A45="","",INDEX(Assessment!$B:$B,$A45))</f>
        <v/>
      </c>
      <c r="C45" s="117" t="str">
        <f>IF($A45="","",INDEX(Assessment!$D:$D,$A45))</f>
        <v/>
      </c>
      <c r="D45" s="117" t="str">
        <f>IF($A45="","",INDEX(Assessment!$E:$E,$A45))</f>
        <v/>
      </c>
      <c r="E45" s="117" t="str">
        <f>IF($A45="","",INDEX(Assessment!$G:$G,$A45))</f>
        <v/>
      </c>
      <c r="F45" s="117" t="str">
        <f>IF($A45="","",INDEX(Assessment!$H:$H,$A45))</f>
        <v/>
      </c>
      <c r="G45" s="38" t="str">
        <f>IF($A45="","",INDEX(Assessment!$I:$I,$A45))</f>
        <v/>
      </c>
      <c r="H45" s="118"/>
      <c r="I45" s="118"/>
      <c r="J45" s="118"/>
      <c r="K45" s="118"/>
    </row>
    <row r="46" spans="1:11" ht="48" customHeight="1" x14ac:dyDescent="0.25">
      <c r="A46" s="116" t="str">
        <f>IFERROR(MATCH(42,Assessment!$M:$M,0),"")</f>
        <v/>
      </c>
      <c r="B46" s="122" t="str">
        <f>IF($A46="","",INDEX(Assessment!$B:$B,$A46))</f>
        <v/>
      </c>
      <c r="C46" s="122" t="str">
        <f>IF($A46="","",INDEX(Assessment!$D:$D,$A46))</f>
        <v/>
      </c>
      <c r="D46" s="122" t="str">
        <f>IF($A46="","",INDEX(Assessment!$E:$E,$A46))</f>
        <v/>
      </c>
      <c r="E46" s="122" t="str">
        <f>IF($A46="","",INDEX(Assessment!$G:$G,$A46))</f>
        <v/>
      </c>
      <c r="F46" s="122" t="str">
        <f>IF($A46="","",INDEX(Assessment!$H:$H,$A46))</f>
        <v/>
      </c>
      <c r="G46" s="120" t="str">
        <f>IF($A46="","",INDEX(Assessment!$I:$I,$A46))</f>
        <v/>
      </c>
      <c r="H46" s="118"/>
      <c r="I46" s="118"/>
      <c r="J46" s="118"/>
      <c r="K46" s="118"/>
    </row>
    <row r="47" spans="1:11" ht="48" customHeight="1" x14ac:dyDescent="0.25">
      <c r="A47" s="116" t="str">
        <f>IFERROR(MATCH(43,Assessment!$M:$M,0),"")</f>
        <v/>
      </c>
      <c r="B47" s="117" t="str">
        <f>IF($A47="","",INDEX(Assessment!$B:$B,$A47))</f>
        <v/>
      </c>
      <c r="C47" s="117" t="str">
        <f>IF($A47="","",INDEX(Assessment!$D:$D,$A47))</f>
        <v/>
      </c>
      <c r="D47" s="117" t="str">
        <f>IF($A47="","",INDEX(Assessment!$E:$E,$A47))</f>
        <v/>
      </c>
      <c r="E47" s="117" t="str">
        <f>IF($A47="","",INDEX(Assessment!$G:$G,$A47))</f>
        <v/>
      </c>
      <c r="F47" s="117" t="str">
        <f>IF($A47="","",INDEX(Assessment!$H:$H,$A47))</f>
        <v/>
      </c>
      <c r="G47" s="38" t="str">
        <f>IF($A47="","",INDEX(Assessment!$I:$I,$A47))</f>
        <v/>
      </c>
      <c r="H47" s="118"/>
      <c r="I47" s="118"/>
      <c r="J47" s="118"/>
      <c r="K47" s="118"/>
    </row>
    <row r="48" spans="1:11" ht="48" customHeight="1" x14ac:dyDescent="0.25">
      <c r="A48" s="116" t="str">
        <f>IFERROR(MATCH(44,Assessment!$M:$M,0),"")</f>
        <v/>
      </c>
      <c r="B48" s="122" t="str">
        <f>IF($A48="","",INDEX(Assessment!$B:$B,$A48))</f>
        <v/>
      </c>
      <c r="C48" s="122" t="str">
        <f>IF($A48="","",INDEX(Assessment!$D:$D,$A48))</f>
        <v/>
      </c>
      <c r="D48" s="122" t="str">
        <f>IF($A48="","",INDEX(Assessment!$E:$E,$A48))</f>
        <v/>
      </c>
      <c r="E48" s="122" t="str">
        <f>IF($A48="","",INDEX(Assessment!$G:$G,$A48))</f>
        <v/>
      </c>
      <c r="F48" s="122" t="str">
        <f>IF($A48="","",INDEX(Assessment!$H:$H,$A48))</f>
        <v/>
      </c>
      <c r="G48" s="120" t="str">
        <f>IF($A48="","",INDEX(Assessment!$I:$I,$A48))</f>
        <v/>
      </c>
      <c r="H48" s="118"/>
      <c r="I48" s="118"/>
      <c r="J48" s="118"/>
      <c r="K48" s="118"/>
    </row>
    <row r="49" spans="1:11" ht="48" customHeight="1" x14ac:dyDescent="0.25">
      <c r="A49" s="116" t="str">
        <f>IFERROR(MATCH(45,Assessment!$M:$M,0),"")</f>
        <v/>
      </c>
      <c r="B49" s="117" t="str">
        <f>IF($A49="","",INDEX(Assessment!$B:$B,$A49))</f>
        <v/>
      </c>
      <c r="C49" s="117" t="str">
        <f>IF($A49="","",INDEX(Assessment!$D:$D,$A49))</f>
        <v/>
      </c>
      <c r="D49" s="117" t="str">
        <f>IF($A49="","",INDEX(Assessment!$E:$E,$A49))</f>
        <v/>
      </c>
      <c r="E49" s="117" t="str">
        <f>IF($A49="","",INDEX(Assessment!$G:$G,$A49))</f>
        <v/>
      </c>
      <c r="F49" s="117" t="str">
        <f>IF($A49="","",INDEX(Assessment!$H:$H,$A49))</f>
        <v/>
      </c>
      <c r="G49" s="38" t="str">
        <f>IF($A49="","",INDEX(Assessment!$I:$I,$A49))</f>
        <v/>
      </c>
      <c r="H49" s="118"/>
      <c r="I49" s="118"/>
      <c r="J49" s="118"/>
      <c r="K49" s="118"/>
    </row>
    <row r="50" spans="1:11" ht="48" customHeight="1" x14ac:dyDescent="0.25">
      <c r="A50" s="116" t="str">
        <f>IFERROR(MATCH(46,Assessment!$M:$M,0),"")</f>
        <v/>
      </c>
      <c r="B50" s="122" t="str">
        <f>IF($A50="","",INDEX(Assessment!$B:$B,$A50))</f>
        <v/>
      </c>
      <c r="C50" s="122" t="str">
        <f>IF($A50="","",INDEX(Assessment!$D:$D,$A50))</f>
        <v/>
      </c>
      <c r="D50" s="122" t="str">
        <f>IF($A50="","",INDEX(Assessment!$E:$E,$A50))</f>
        <v/>
      </c>
      <c r="E50" s="122" t="str">
        <f>IF($A50="","",INDEX(Assessment!$G:$G,$A50))</f>
        <v/>
      </c>
      <c r="F50" s="122" t="str">
        <f>IF($A50="","",INDEX(Assessment!$H:$H,$A50))</f>
        <v/>
      </c>
      <c r="G50" s="120" t="str">
        <f>IF($A50="","",INDEX(Assessment!$I:$I,$A50))</f>
        <v/>
      </c>
      <c r="H50" s="118"/>
      <c r="I50" s="118"/>
      <c r="J50" s="118"/>
      <c r="K50" s="118"/>
    </row>
    <row r="51" spans="1:11" ht="48" customHeight="1" x14ac:dyDescent="0.25">
      <c r="A51" s="116" t="str">
        <f>IFERROR(MATCH(47,Assessment!$M:$M,0),"")</f>
        <v/>
      </c>
      <c r="B51" s="117" t="str">
        <f>IF($A51="","",INDEX(Assessment!$B:$B,$A51))</f>
        <v/>
      </c>
      <c r="C51" s="117" t="str">
        <f>IF($A51="","",INDEX(Assessment!$D:$D,$A51))</f>
        <v/>
      </c>
      <c r="D51" s="117" t="str">
        <f>IF($A51="","",INDEX(Assessment!$E:$E,$A51))</f>
        <v/>
      </c>
      <c r="E51" s="117" t="str">
        <f>IF($A51="","",INDEX(Assessment!$G:$G,$A51))</f>
        <v/>
      </c>
      <c r="F51" s="117" t="str">
        <f>IF($A51="","",INDEX(Assessment!$H:$H,$A51))</f>
        <v/>
      </c>
      <c r="G51" s="38" t="str">
        <f>IF($A51="","",INDEX(Assessment!$I:$I,$A51))</f>
        <v/>
      </c>
      <c r="H51" s="118"/>
      <c r="I51" s="118"/>
      <c r="J51" s="118"/>
      <c r="K51" s="118"/>
    </row>
    <row r="52" spans="1:11" ht="48" customHeight="1" x14ac:dyDescent="0.25">
      <c r="A52" s="116" t="str">
        <f>IFERROR(MATCH(48,Assessment!$M:$M,0),"")</f>
        <v/>
      </c>
      <c r="B52" s="122" t="str">
        <f>IF($A52="","",INDEX(Assessment!$B:$B,$A52))</f>
        <v/>
      </c>
      <c r="C52" s="122" t="str">
        <f>IF($A52="","",INDEX(Assessment!$D:$D,$A52))</f>
        <v/>
      </c>
      <c r="D52" s="122" t="str">
        <f>IF($A52="","",INDEX(Assessment!$E:$E,$A52))</f>
        <v/>
      </c>
      <c r="E52" s="122" t="str">
        <f>IF($A52="","",INDEX(Assessment!$G:$G,$A52))</f>
        <v/>
      </c>
      <c r="F52" s="122" t="str">
        <f>IF($A52="","",INDEX(Assessment!$H:$H,$A52))</f>
        <v/>
      </c>
      <c r="G52" s="120" t="str">
        <f>IF($A52="","",INDEX(Assessment!$I:$I,$A52))</f>
        <v/>
      </c>
      <c r="H52" s="118"/>
      <c r="I52" s="118"/>
      <c r="J52" s="118"/>
      <c r="K52" s="118"/>
    </row>
    <row r="53" spans="1:11" ht="48" customHeight="1" x14ac:dyDescent="0.25">
      <c r="A53" s="116" t="str">
        <f>IFERROR(MATCH(49,Assessment!$M:$M,0),"")</f>
        <v/>
      </c>
      <c r="B53" s="117" t="str">
        <f>IF($A53="","",INDEX(Assessment!$B:$B,$A53))</f>
        <v/>
      </c>
      <c r="C53" s="117" t="str">
        <f>IF($A53="","",INDEX(Assessment!$D:$D,$A53))</f>
        <v/>
      </c>
      <c r="D53" s="117" t="str">
        <f>IF($A53="","",INDEX(Assessment!$E:$E,$A53))</f>
        <v/>
      </c>
      <c r="E53" s="117" t="str">
        <f>IF($A53="","",INDEX(Assessment!$G:$G,$A53))</f>
        <v/>
      </c>
      <c r="F53" s="117" t="str">
        <f>IF($A53="","",INDEX(Assessment!$H:$H,$A53))</f>
        <v/>
      </c>
      <c r="G53" s="38" t="str">
        <f>IF($A53="","",INDEX(Assessment!$I:$I,$A53))</f>
        <v/>
      </c>
      <c r="H53" s="118"/>
      <c r="I53" s="118"/>
      <c r="J53" s="118"/>
      <c r="K53" s="118"/>
    </row>
    <row r="54" spans="1:11" ht="48" customHeight="1" x14ac:dyDescent="0.25">
      <c r="A54" s="116" t="str">
        <f>IFERROR(MATCH(50,Assessment!$M:$M,0),"")</f>
        <v/>
      </c>
      <c r="B54" s="122" t="str">
        <f>IF($A54="","",INDEX(Assessment!$B:$B,$A54))</f>
        <v/>
      </c>
      <c r="C54" s="122" t="str">
        <f>IF($A54="","",INDEX(Assessment!$D:$D,$A54))</f>
        <v/>
      </c>
      <c r="D54" s="122" t="str">
        <f>IF($A54="","",INDEX(Assessment!$E:$E,$A54))</f>
        <v/>
      </c>
      <c r="E54" s="122" t="str">
        <f>IF($A54="","",INDEX(Assessment!$G:$G,$A54))</f>
        <v/>
      </c>
      <c r="F54" s="122" t="str">
        <f>IF($A54="","",INDEX(Assessment!$H:$H,$A54))</f>
        <v/>
      </c>
      <c r="G54" s="120" t="str">
        <f>IF($A54="","",INDEX(Assessment!$I:$I,$A54))</f>
        <v/>
      </c>
      <c r="H54" s="118"/>
      <c r="I54" s="118"/>
      <c r="J54" s="118"/>
      <c r="K54" s="118"/>
    </row>
    <row r="55" spans="1:11" ht="48" customHeight="1" x14ac:dyDescent="0.25">
      <c r="A55" s="116" t="str">
        <f>IFERROR(MATCH(51,Assessment!$M:$M,0),"")</f>
        <v/>
      </c>
      <c r="B55" s="117" t="str">
        <f>IF($A55="","",INDEX(Assessment!$B:$B,$A55))</f>
        <v/>
      </c>
      <c r="C55" s="117" t="str">
        <f>IF($A55="","",INDEX(Assessment!$D:$D,$A55))</f>
        <v/>
      </c>
      <c r="D55" s="117" t="str">
        <f>IF($A55="","",INDEX(Assessment!$E:$E,$A55))</f>
        <v/>
      </c>
      <c r="E55" s="117" t="str">
        <f>IF($A55="","",INDEX(Assessment!$G:$G,$A55))</f>
        <v/>
      </c>
      <c r="F55" s="117" t="str">
        <f>IF($A55="","",INDEX(Assessment!$H:$H,$A55))</f>
        <v/>
      </c>
      <c r="G55" s="38" t="str">
        <f>IF($A55="","",INDEX(Assessment!$I:$I,$A55))</f>
        <v/>
      </c>
      <c r="H55" s="118"/>
      <c r="I55" s="118"/>
      <c r="J55" s="118"/>
      <c r="K55" s="118"/>
    </row>
    <row r="56" spans="1:11" ht="48" customHeight="1" x14ac:dyDescent="0.25">
      <c r="A56" s="116" t="str">
        <f>IFERROR(MATCH(52,Assessment!$M:$M,0),"")</f>
        <v/>
      </c>
      <c r="B56" s="122" t="str">
        <f>IF($A56="","",INDEX(Assessment!$B:$B,$A56))</f>
        <v/>
      </c>
      <c r="C56" s="122" t="str">
        <f>IF($A56="","",INDEX(Assessment!$D:$D,$A56))</f>
        <v/>
      </c>
      <c r="D56" s="122" t="str">
        <f>IF($A56="","",INDEX(Assessment!$E:$E,$A56))</f>
        <v/>
      </c>
      <c r="E56" s="122" t="str">
        <f>IF($A56="","",INDEX(Assessment!$G:$G,$A56))</f>
        <v/>
      </c>
      <c r="F56" s="122" t="str">
        <f>IF($A56="","",INDEX(Assessment!$H:$H,$A56))</f>
        <v/>
      </c>
      <c r="G56" s="120" t="str">
        <f>IF($A56="","",INDEX(Assessment!$I:$I,$A56))</f>
        <v/>
      </c>
      <c r="H56" s="118"/>
      <c r="I56" s="118"/>
      <c r="J56" s="118"/>
      <c r="K56" s="118"/>
    </row>
    <row r="57" spans="1:11" ht="48" customHeight="1" x14ac:dyDescent="0.25">
      <c r="A57" s="116" t="str">
        <f>IFERROR(MATCH(53,Assessment!$M:$M,0),"")</f>
        <v/>
      </c>
      <c r="B57" s="117" t="str">
        <f>IF($A57="","",INDEX(Assessment!$B:$B,$A57))</f>
        <v/>
      </c>
      <c r="C57" s="117" t="str">
        <f>IF($A57="","",INDEX(Assessment!$D:$D,$A57))</f>
        <v/>
      </c>
      <c r="D57" s="117" t="str">
        <f>IF($A57="","",INDEX(Assessment!$E:$E,$A57))</f>
        <v/>
      </c>
      <c r="E57" s="117" t="str">
        <f>IF($A57="","",INDEX(Assessment!$G:$G,$A57))</f>
        <v/>
      </c>
      <c r="F57" s="117" t="str">
        <f>IF($A57="","",INDEX(Assessment!$H:$H,$A57))</f>
        <v/>
      </c>
      <c r="G57" s="38" t="str">
        <f>IF($A57="","",INDEX(Assessment!$I:$I,$A57))</f>
        <v/>
      </c>
      <c r="H57" s="118"/>
      <c r="I57" s="118"/>
      <c r="J57" s="118"/>
      <c r="K57" s="118"/>
    </row>
    <row r="58" spans="1:11" ht="48" customHeight="1" x14ac:dyDescent="0.25">
      <c r="A58" s="116" t="str">
        <f>IFERROR(MATCH(54,Assessment!$M:$M,0),"")</f>
        <v/>
      </c>
      <c r="B58" s="122" t="str">
        <f>IF($A58="","",INDEX(Assessment!$B:$B,$A58))</f>
        <v/>
      </c>
      <c r="C58" s="122" t="str">
        <f>IF($A58="","",INDEX(Assessment!$D:$D,$A58))</f>
        <v/>
      </c>
      <c r="D58" s="122" t="str">
        <f>IF($A58="","",INDEX(Assessment!$E:$E,$A58))</f>
        <v/>
      </c>
      <c r="E58" s="122" t="str">
        <f>IF($A58="","",INDEX(Assessment!$G:$G,$A58))</f>
        <v/>
      </c>
      <c r="F58" s="122" t="str">
        <f>IF($A58="","",INDEX(Assessment!$H:$H,$A58))</f>
        <v/>
      </c>
      <c r="G58" s="120" t="str">
        <f>IF($A58="","",INDEX(Assessment!$I:$I,$A58))</f>
        <v/>
      </c>
      <c r="H58" s="118"/>
      <c r="I58" s="118"/>
      <c r="J58" s="118"/>
      <c r="K58" s="118"/>
    </row>
    <row r="59" spans="1:11" ht="48" customHeight="1" x14ac:dyDescent="0.25">
      <c r="A59" s="116" t="str">
        <f>IFERROR(MATCH(55,Assessment!$M:$M,0),"")</f>
        <v/>
      </c>
      <c r="B59" s="117" t="str">
        <f>IF($A59="","",INDEX(Assessment!$B:$B,$A59))</f>
        <v/>
      </c>
      <c r="C59" s="117" t="str">
        <f>IF($A59="","",INDEX(Assessment!$D:$D,$A59))</f>
        <v/>
      </c>
      <c r="D59" s="117" t="str">
        <f>IF($A59="","",INDEX(Assessment!$E:$E,$A59))</f>
        <v/>
      </c>
      <c r="E59" s="117" t="str">
        <f>IF($A59="","",INDEX(Assessment!$G:$G,$A59))</f>
        <v/>
      </c>
      <c r="F59" s="117" t="str">
        <f>IF($A59="","",INDEX(Assessment!$H:$H,$A59))</f>
        <v/>
      </c>
      <c r="G59" s="38" t="str">
        <f>IF($A59="","",INDEX(Assessment!$I:$I,$A59))</f>
        <v/>
      </c>
      <c r="H59" s="118"/>
      <c r="I59" s="118"/>
      <c r="J59" s="118"/>
      <c r="K59" s="118"/>
    </row>
    <row r="60" spans="1:11" ht="48" customHeight="1" x14ac:dyDescent="0.25">
      <c r="A60" s="116" t="str">
        <f>IFERROR(MATCH(56,Assessment!$M:$M,0),"")</f>
        <v/>
      </c>
      <c r="B60" s="122" t="str">
        <f>IF($A60="","",INDEX(Assessment!$B:$B,$A60))</f>
        <v/>
      </c>
      <c r="C60" s="122" t="str">
        <f>IF($A60="","",INDEX(Assessment!$D:$D,$A60))</f>
        <v/>
      </c>
      <c r="D60" s="122" t="str">
        <f>IF($A60="","",INDEX(Assessment!$E:$E,$A60))</f>
        <v/>
      </c>
      <c r="E60" s="122" t="str">
        <f>IF($A60="","",INDEX(Assessment!$G:$G,$A60))</f>
        <v/>
      </c>
      <c r="F60" s="122" t="str">
        <f>IF($A60="","",INDEX(Assessment!$H:$H,$A60))</f>
        <v/>
      </c>
      <c r="G60" s="120" t="str">
        <f>IF($A60="","",INDEX(Assessment!$I:$I,$A60))</f>
        <v/>
      </c>
      <c r="H60" s="118"/>
      <c r="I60" s="118"/>
      <c r="J60" s="118"/>
      <c r="K60" s="118"/>
    </row>
    <row r="61" spans="1:11" ht="48" customHeight="1" x14ac:dyDescent="0.25">
      <c r="A61" s="116" t="str">
        <f>IFERROR(MATCH(57,Assessment!$M:$M,0),"")</f>
        <v/>
      </c>
      <c r="B61" s="117" t="str">
        <f>IF($A61="","",INDEX(Assessment!$B:$B,$A61))</f>
        <v/>
      </c>
      <c r="C61" s="117" t="str">
        <f>IF($A61="","",INDEX(Assessment!$D:$D,$A61))</f>
        <v/>
      </c>
      <c r="D61" s="117" t="str">
        <f>IF($A61="","",INDEX(Assessment!$E:$E,$A61))</f>
        <v/>
      </c>
      <c r="E61" s="117" t="str">
        <f>IF($A61="","",INDEX(Assessment!$G:$G,$A61))</f>
        <v/>
      </c>
      <c r="F61" s="117" t="str">
        <f>IF($A61="","",INDEX(Assessment!$H:$H,$A61))</f>
        <v/>
      </c>
      <c r="G61" s="38" t="str">
        <f>IF($A61="","",INDEX(Assessment!$I:$I,$A61))</f>
        <v/>
      </c>
      <c r="H61" s="118"/>
      <c r="I61" s="118"/>
      <c r="J61" s="118"/>
      <c r="K61" s="118"/>
    </row>
    <row r="62" spans="1:11" ht="48" customHeight="1" x14ac:dyDescent="0.25">
      <c r="A62" s="116" t="str">
        <f>IFERROR(MATCH(58,Assessment!$M:$M,0),"")</f>
        <v/>
      </c>
      <c r="B62" s="122" t="str">
        <f>IF($A62="","",INDEX(Assessment!$B:$B,$A62))</f>
        <v/>
      </c>
      <c r="C62" s="122" t="str">
        <f>IF($A62="","",INDEX(Assessment!$D:$D,$A62))</f>
        <v/>
      </c>
      <c r="D62" s="122" t="str">
        <f>IF($A62="","",INDEX(Assessment!$E:$E,$A62))</f>
        <v/>
      </c>
      <c r="E62" s="122" t="str">
        <f>IF($A62="","",INDEX(Assessment!$G:$G,$A62))</f>
        <v/>
      </c>
      <c r="F62" s="122" t="str">
        <f>IF($A62="","",INDEX(Assessment!$H:$H,$A62))</f>
        <v/>
      </c>
      <c r="G62" s="120" t="str">
        <f>IF($A62="","",INDEX(Assessment!$I:$I,$A62))</f>
        <v/>
      </c>
      <c r="H62" s="118"/>
      <c r="I62" s="118"/>
      <c r="J62" s="118"/>
      <c r="K62" s="118"/>
    </row>
    <row r="63" spans="1:11" ht="48" customHeight="1" x14ac:dyDescent="0.25">
      <c r="A63" s="116" t="str">
        <f>IFERROR(MATCH(59,Assessment!$M:$M,0),"")</f>
        <v/>
      </c>
      <c r="B63" s="117" t="str">
        <f>IF($A63="","",INDEX(Assessment!$B:$B,$A63))</f>
        <v/>
      </c>
      <c r="C63" s="117" t="str">
        <f>IF($A63="","",INDEX(Assessment!$D:$D,$A63))</f>
        <v/>
      </c>
      <c r="D63" s="117" t="str">
        <f>IF($A63="","",INDEX(Assessment!$E:$E,$A63))</f>
        <v/>
      </c>
      <c r="E63" s="117" t="str">
        <f>IF($A63="","",INDEX(Assessment!$G:$G,$A63))</f>
        <v/>
      </c>
      <c r="F63" s="117" t="str">
        <f>IF($A63="","",INDEX(Assessment!$H:$H,$A63))</f>
        <v/>
      </c>
      <c r="G63" s="38" t="str">
        <f>IF($A63="","",INDEX(Assessment!$I:$I,$A63))</f>
        <v/>
      </c>
      <c r="H63" s="118"/>
      <c r="I63" s="118"/>
      <c r="J63" s="118"/>
      <c r="K63" s="118"/>
    </row>
    <row r="64" spans="1:11" ht="48" customHeight="1" x14ac:dyDescent="0.25">
      <c r="A64" s="116" t="str">
        <f>IFERROR(MATCH(60,Assessment!$M:$M,0),"")</f>
        <v/>
      </c>
      <c r="B64" s="122" t="str">
        <f>IF($A64="","",INDEX(Assessment!$B:$B,$A64))</f>
        <v/>
      </c>
      <c r="C64" s="122" t="str">
        <f>IF($A64="","",INDEX(Assessment!$D:$D,$A64))</f>
        <v/>
      </c>
      <c r="D64" s="122" t="str">
        <f>IF($A64="","",INDEX(Assessment!$E:$E,$A64))</f>
        <v/>
      </c>
      <c r="E64" s="122" t="str">
        <f>IF($A64="","",INDEX(Assessment!$G:$G,$A64))</f>
        <v/>
      </c>
      <c r="F64" s="122" t="str">
        <f>IF($A64="","",INDEX(Assessment!$H:$H,$A64))</f>
        <v/>
      </c>
      <c r="G64" s="120" t="str">
        <f>IF($A64="","",INDEX(Assessment!$I:$I,$A64))</f>
        <v/>
      </c>
      <c r="H64" s="118"/>
      <c r="I64" s="118"/>
      <c r="J64" s="118"/>
      <c r="K64" s="118"/>
    </row>
    <row r="65" spans="1:11" ht="48" customHeight="1" x14ac:dyDescent="0.25">
      <c r="A65" s="116" t="str">
        <f>IFERROR(MATCH(61,Assessment!$M:$M,0),"")</f>
        <v/>
      </c>
      <c r="B65" s="117" t="str">
        <f>IF($A65="","",INDEX(Assessment!$B:$B,$A65))</f>
        <v/>
      </c>
      <c r="C65" s="117" t="str">
        <f>IF($A65="","",INDEX(Assessment!$D:$D,$A65))</f>
        <v/>
      </c>
      <c r="D65" s="117" t="str">
        <f>IF($A65="","",INDEX(Assessment!$E:$E,$A65))</f>
        <v/>
      </c>
      <c r="E65" s="117" t="str">
        <f>IF($A65="","",INDEX(Assessment!$G:$G,$A65))</f>
        <v/>
      </c>
      <c r="F65" s="117" t="str">
        <f>IF($A65="","",INDEX(Assessment!$H:$H,$A65))</f>
        <v/>
      </c>
      <c r="G65" s="38" t="str">
        <f>IF($A65="","",INDEX(Assessment!$I:$I,$A65))</f>
        <v/>
      </c>
      <c r="H65" s="118"/>
      <c r="I65" s="118"/>
      <c r="J65" s="118"/>
      <c r="K65" s="118"/>
    </row>
    <row r="66" spans="1:11" ht="48" customHeight="1" x14ac:dyDescent="0.25">
      <c r="A66" s="116" t="str">
        <f>IFERROR(MATCH(62,Assessment!$M:$M,0),"")</f>
        <v/>
      </c>
      <c r="B66" s="122" t="str">
        <f>IF($A66="","",INDEX(Assessment!$B:$B,$A66))</f>
        <v/>
      </c>
      <c r="C66" s="122" t="str">
        <f>IF($A66="","",INDEX(Assessment!$D:$D,$A66))</f>
        <v/>
      </c>
      <c r="D66" s="122" t="str">
        <f>IF($A66="","",INDEX(Assessment!$E:$E,$A66))</f>
        <v/>
      </c>
      <c r="E66" s="122" t="str">
        <f>IF($A66="","",INDEX(Assessment!$G:$G,$A66))</f>
        <v/>
      </c>
      <c r="F66" s="122" t="str">
        <f>IF($A66="","",INDEX(Assessment!$H:$H,$A66))</f>
        <v/>
      </c>
      <c r="G66" s="120" t="str">
        <f>IF($A66="","",INDEX(Assessment!$I:$I,$A66))</f>
        <v/>
      </c>
      <c r="H66" s="118"/>
      <c r="I66" s="118"/>
      <c r="J66" s="118"/>
      <c r="K66" s="118"/>
    </row>
    <row r="67" spans="1:11" ht="48" customHeight="1" x14ac:dyDescent="0.25">
      <c r="A67" s="116" t="str">
        <f>IFERROR(MATCH(63,Assessment!$M:$M,0),"")</f>
        <v/>
      </c>
      <c r="B67" s="117" t="str">
        <f>IF($A67="","",INDEX(Assessment!$B:$B,$A67))</f>
        <v/>
      </c>
      <c r="C67" s="117" t="str">
        <f>IF($A67="","",INDEX(Assessment!$D:$D,$A67))</f>
        <v/>
      </c>
      <c r="D67" s="117" t="str">
        <f>IF($A67="","",INDEX(Assessment!$E:$E,$A67))</f>
        <v/>
      </c>
      <c r="E67" s="117" t="str">
        <f>IF($A67="","",INDEX(Assessment!$G:$G,$A67))</f>
        <v/>
      </c>
      <c r="F67" s="117" t="str">
        <f>IF($A67="","",INDEX(Assessment!$H:$H,$A67))</f>
        <v/>
      </c>
      <c r="G67" s="38" t="str">
        <f>IF($A67="","",INDEX(Assessment!$I:$I,$A67))</f>
        <v/>
      </c>
      <c r="H67" s="118"/>
      <c r="I67" s="118"/>
      <c r="J67" s="118"/>
      <c r="K67" s="118"/>
    </row>
    <row r="68" spans="1:11" ht="48" customHeight="1" x14ac:dyDescent="0.25">
      <c r="A68" s="116" t="str">
        <f>IFERROR(MATCH(64,Assessment!$M:$M,0),"")</f>
        <v/>
      </c>
      <c r="B68" s="122" t="str">
        <f>IF($A68="","",INDEX(Assessment!$B:$B,$A68))</f>
        <v/>
      </c>
      <c r="C68" s="122" t="str">
        <f>IF($A68="","",INDEX(Assessment!$D:$D,$A68))</f>
        <v/>
      </c>
      <c r="D68" s="122" t="str">
        <f>IF($A68="","",INDEX(Assessment!$E:$E,$A68))</f>
        <v/>
      </c>
      <c r="E68" s="122" t="str">
        <f>IF($A68="","",INDEX(Assessment!$G:$G,$A68))</f>
        <v/>
      </c>
      <c r="F68" s="122" t="str">
        <f>IF($A68="","",INDEX(Assessment!$H:$H,$A68))</f>
        <v/>
      </c>
      <c r="G68" s="120" t="str">
        <f>IF($A68="","",INDEX(Assessment!$I:$I,$A68))</f>
        <v/>
      </c>
      <c r="H68" s="118"/>
      <c r="I68" s="118"/>
      <c r="J68" s="118"/>
      <c r="K68" s="118"/>
    </row>
    <row r="69" spans="1:11" ht="48" customHeight="1" x14ac:dyDescent="0.25">
      <c r="A69" s="116" t="str">
        <f>IFERROR(MATCH(65,Assessment!$M:$M,0),"")</f>
        <v/>
      </c>
      <c r="B69" s="117" t="str">
        <f>IF($A69="","",INDEX(Assessment!$B:$B,$A69))</f>
        <v/>
      </c>
      <c r="C69" s="117" t="str">
        <f>IF($A69="","",INDEX(Assessment!$D:$D,$A69))</f>
        <v/>
      </c>
      <c r="D69" s="117" t="str">
        <f>IF($A69="","",INDEX(Assessment!$E:$E,$A69))</f>
        <v/>
      </c>
      <c r="E69" s="117" t="str">
        <f>IF($A69="","",INDEX(Assessment!$G:$G,$A69))</f>
        <v/>
      </c>
      <c r="F69" s="117" t="str">
        <f>IF($A69="","",INDEX(Assessment!$H:$H,$A69))</f>
        <v/>
      </c>
      <c r="G69" s="38" t="str">
        <f>IF($A69="","",INDEX(Assessment!$I:$I,$A69))</f>
        <v/>
      </c>
      <c r="H69" s="118"/>
      <c r="I69" s="118"/>
      <c r="J69" s="118"/>
      <c r="K69" s="118"/>
    </row>
    <row r="70" spans="1:11" ht="48" customHeight="1" x14ac:dyDescent="0.25">
      <c r="A70" s="116" t="str">
        <f>IFERROR(MATCH(66,Assessment!$M:$M,0),"")</f>
        <v/>
      </c>
      <c r="B70" s="122" t="str">
        <f>IF($A70="","",INDEX(Assessment!$B:$B,$A70))</f>
        <v/>
      </c>
      <c r="C70" s="122" t="str">
        <f>IF($A70="","",INDEX(Assessment!$D:$D,$A70))</f>
        <v/>
      </c>
      <c r="D70" s="122" t="str">
        <f>IF($A70="","",INDEX(Assessment!$E:$E,$A70))</f>
        <v/>
      </c>
      <c r="E70" s="122" t="str">
        <f>IF($A70="","",INDEX(Assessment!$G:$G,$A70))</f>
        <v/>
      </c>
      <c r="F70" s="122" t="str">
        <f>IF($A70="","",INDEX(Assessment!$H:$H,$A70))</f>
        <v/>
      </c>
      <c r="G70" s="120" t="str">
        <f>IF($A70="","",INDEX(Assessment!$I:$I,$A70))</f>
        <v/>
      </c>
      <c r="H70" s="118"/>
      <c r="I70" s="118"/>
      <c r="J70" s="118"/>
      <c r="K70" s="118"/>
    </row>
    <row r="71" spans="1:11" ht="48" customHeight="1" x14ac:dyDescent="0.25">
      <c r="A71" s="116" t="str">
        <f>IFERROR(MATCH(67,Assessment!$M:$M,0),"")</f>
        <v/>
      </c>
      <c r="B71" s="117" t="str">
        <f>IF($A71="","",INDEX(Assessment!$B:$B,$A71))</f>
        <v/>
      </c>
      <c r="C71" s="117" t="str">
        <f>IF($A71="","",INDEX(Assessment!$D:$D,$A71))</f>
        <v/>
      </c>
      <c r="D71" s="117" t="str">
        <f>IF($A71="","",INDEX(Assessment!$E:$E,$A71))</f>
        <v/>
      </c>
      <c r="E71" s="117" t="str">
        <f>IF($A71="","",INDEX(Assessment!$G:$G,$A71))</f>
        <v/>
      </c>
      <c r="F71" s="117" t="str">
        <f>IF($A71="","",INDEX(Assessment!$H:$H,$A71))</f>
        <v/>
      </c>
      <c r="G71" s="38" t="str">
        <f>IF($A71="","",INDEX(Assessment!$I:$I,$A71))</f>
        <v/>
      </c>
      <c r="H71" s="118"/>
      <c r="I71" s="118"/>
      <c r="J71" s="118"/>
      <c r="K71" s="118"/>
    </row>
    <row r="72" spans="1:11" ht="48" customHeight="1" x14ac:dyDescent="0.25">
      <c r="A72" s="116" t="str">
        <f>IFERROR(MATCH(68,Assessment!$M:$M,0),"")</f>
        <v/>
      </c>
      <c r="B72" s="122" t="str">
        <f>IF($A72="","",INDEX(Assessment!$B:$B,$A72))</f>
        <v/>
      </c>
      <c r="C72" s="122" t="str">
        <f>IF($A72="","",INDEX(Assessment!$D:$D,$A72))</f>
        <v/>
      </c>
      <c r="D72" s="122" t="str">
        <f>IF($A72="","",INDEX(Assessment!$E:$E,$A72))</f>
        <v/>
      </c>
      <c r="E72" s="122" t="str">
        <f>IF($A72="","",INDEX(Assessment!$G:$G,$A72))</f>
        <v/>
      </c>
      <c r="F72" s="122" t="str">
        <f>IF($A72="","",INDEX(Assessment!$H:$H,$A72))</f>
        <v/>
      </c>
      <c r="G72" s="120" t="str">
        <f>IF($A72="","",INDEX(Assessment!$I:$I,$A72))</f>
        <v/>
      </c>
      <c r="H72" s="118"/>
      <c r="I72" s="118"/>
      <c r="J72" s="118"/>
      <c r="K72" s="118"/>
    </row>
    <row r="73" spans="1:11" ht="48" customHeight="1" x14ac:dyDescent="0.25">
      <c r="A73" s="116" t="str">
        <f>IFERROR(MATCH(69,Assessment!$M:$M,0),"")</f>
        <v/>
      </c>
      <c r="B73" s="117" t="str">
        <f>IF($A73="","",INDEX(Assessment!$B:$B,$A73))</f>
        <v/>
      </c>
      <c r="C73" s="117" t="str">
        <f>IF($A73="","",INDEX(Assessment!$D:$D,$A73))</f>
        <v/>
      </c>
      <c r="D73" s="117" t="str">
        <f>IF($A73="","",INDEX(Assessment!$E:$E,$A73))</f>
        <v/>
      </c>
      <c r="E73" s="117" t="str">
        <f>IF($A73="","",INDEX(Assessment!$G:$G,$A73))</f>
        <v/>
      </c>
      <c r="F73" s="117" t="str">
        <f>IF($A73="","",INDEX(Assessment!$H:$H,$A73))</f>
        <v/>
      </c>
      <c r="G73" s="38" t="str">
        <f>IF($A73="","",INDEX(Assessment!$I:$I,$A73))</f>
        <v/>
      </c>
      <c r="H73" s="118"/>
      <c r="I73" s="118"/>
      <c r="J73" s="118"/>
      <c r="K73" s="118"/>
    </row>
    <row r="74" spans="1:11" ht="48" customHeight="1" x14ac:dyDescent="0.25">
      <c r="A74" s="116" t="str">
        <f>IFERROR(MATCH(70,Assessment!$M:$M,0),"")</f>
        <v/>
      </c>
      <c r="B74" s="122" t="str">
        <f>IF($A74="","",INDEX(Assessment!$B:$B,$A74))</f>
        <v/>
      </c>
      <c r="C74" s="122" t="str">
        <f>IF($A74="","",INDEX(Assessment!$D:$D,$A74))</f>
        <v/>
      </c>
      <c r="D74" s="122" t="str">
        <f>IF($A74="","",INDEX(Assessment!$E:$E,$A74))</f>
        <v/>
      </c>
      <c r="E74" s="122" t="str">
        <f>IF($A74="","",INDEX(Assessment!$G:$G,$A74))</f>
        <v/>
      </c>
      <c r="F74" s="122" t="str">
        <f>IF($A74="","",INDEX(Assessment!$H:$H,$A74))</f>
        <v/>
      </c>
      <c r="G74" s="120" t="str">
        <f>IF($A74="","",INDEX(Assessment!$I:$I,$A74))</f>
        <v/>
      </c>
      <c r="H74" s="118"/>
      <c r="I74" s="118"/>
      <c r="J74" s="118"/>
      <c r="K74" s="118"/>
    </row>
    <row r="75" spans="1:11" ht="48" customHeight="1" x14ac:dyDescent="0.25">
      <c r="A75" s="116" t="str">
        <f>IFERROR(MATCH(71,Assessment!$M:$M,0),"")</f>
        <v/>
      </c>
      <c r="B75" s="117" t="str">
        <f>IF($A75="","",INDEX(Assessment!$B:$B,$A75))</f>
        <v/>
      </c>
      <c r="C75" s="117" t="str">
        <f>IF($A75="","",INDEX(Assessment!$D:$D,$A75))</f>
        <v/>
      </c>
      <c r="D75" s="117" t="str">
        <f>IF($A75="","",INDEX(Assessment!$E:$E,$A75))</f>
        <v/>
      </c>
      <c r="E75" s="117" t="str">
        <f>IF($A75="","",INDEX(Assessment!$G:$G,$A75))</f>
        <v/>
      </c>
      <c r="F75" s="117" t="str">
        <f>IF($A75="","",INDEX(Assessment!$H:$H,$A75))</f>
        <v/>
      </c>
      <c r="G75" s="38" t="str">
        <f>IF($A75="","",INDEX(Assessment!$I:$I,$A75))</f>
        <v/>
      </c>
      <c r="H75" s="118"/>
      <c r="I75" s="118"/>
      <c r="J75" s="118"/>
      <c r="K75" s="118"/>
    </row>
    <row r="76" spans="1:11" ht="48" customHeight="1" x14ac:dyDescent="0.25">
      <c r="A76" s="116" t="str">
        <f>IFERROR(MATCH(72,Assessment!$M:$M,0),"")</f>
        <v/>
      </c>
      <c r="B76" s="122" t="str">
        <f>IF($A76="","",INDEX(Assessment!$B:$B,$A76))</f>
        <v/>
      </c>
      <c r="C76" s="122" t="str">
        <f>IF($A76="","",INDEX(Assessment!$D:$D,$A76))</f>
        <v/>
      </c>
      <c r="D76" s="122" t="str">
        <f>IF($A76="","",INDEX(Assessment!$E:$E,$A76))</f>
        <v/>
      </c>
      <c r="E76" s="122" t="str">
        <f>IF($A76="","",INDEX(Assessment!$G:$G,$A76))</f>
        <v/>
      </c>
      <c r="F76" s="122" t="str">
        <f>IF($A76="","",INDEX(Assessment!$H:$H,$A76))</f>
        <v/>
      </c>
      <c r="G76" s="120" t="str">
        <f>IF($A76="","",INDEX(Assessment!$I:$I,$A76))</f>
        <v/>
      </c>
      <c r="H76" s="118"/>
      <c r="I76" s="118"/>
      <c r="J76" s="118"/>
      <c r="K76" s="118"/>
    </row>
    <row r="77" spans="1:11" ht="48" customHeight="1" x14ac:dyDescent="0.25">
      <c r="A77" s="116" t="str">
        <f>IFERROR(MATCH(73,Assessment!$M:$M,0),"")</f>
        <v/>
      </c>
      <c r="B77" s="117" t="str">
        <f>IF($A77="","",INDEX(Assessment!$B:$B,$A77))</f>
        <v/>
      </c>
      <c r="C77" s="117" t="str">
        <f>IF($A77="","",INDEX(Assessment!$D:$D,$A77))</f>
        <v/>
      </c>
      <c r="D77" s="117" t="str">
        <f>IF($A77="","",INDEX(Assessment!$E:$E,$A77))</f>
        <v/>
      </c>
      <c r="E77" s="117" t="str">
        <f>IF($A77="","",INDEX(Assessment!$G:$G,$A77))</f>
        <v/>
      </c>
      <c r="F77" s="117" t="str">
        <f>IF($A77="","",INDEX(Assessment!$H:$H,$A77))</f>
        <v/>
      </c>
      <c r="G77" s="38" t="str">
        <f>IF($A77="","",INDEX(Assessment!$I:$I,$A77))</f>
        <v/>
      </c>
      <c r="H77" s="118"/>
      <c r="I77" s="118"/>
      <c r="J77" s="118"/>
      <c r="K77" s="118"/>
    </row>
    <row r="78" spans="1:11" ht="48" customHeight="1" x14ac:dyDescent="0.25">
      <c r="A78" s="116" t="str">
        <f>IFERROR(MATCH(74,Assessment!$M:$M,0),"")</f>
        <v/>
      </c>
      <c r="B78" s="122" t="str">
        <f>IF($A78="","",INDEX(Assessment!$B:$B,$A78))</f>
        <v/>
      </c>
      <c r="C78" s="122" t="str">
        <f>IF($A78="","",INDEX(Assessment!$D:$D,$A78))</f>
        <v/>
      </c>
      <c r="D78" s="122" t="str">
        <f>IF($A78="","",INDEX(Assessment!$E:$E,$A78))</f>
        <v/>
      </c>
      <c r="E78" s="122" t="str">
        <f>IF($A78="","",INDEX(Assessment!$G:$G,$A78))</f>
        <v/>
      </c>
      <c r="F78" s="122" t="str">
        <f>IF($A78="","",INDEX(Assessment!$H:$H,$A78))</f>
        <v/>
      </c>
      <c r="G78" s="120" t="str">
        <f>IF($A78="","",INDEX(Assessment!$I:$I,$A78))</f>
        <v/>
      </c>
      <c r="H78" s="118"/>
      <c r="I78" s="118"/>
      <c r="J78" s="118"/>
      <c r="K78" s="118"/>
    </row>
    <row r="79" spans="1:11" ht="48" customHeight="1" x14ac:dyDescent="0.25">
      <c r="A79" s="116" t="str">
        <f>IFERROR(MATCH(75,Assessment!$M:$M,0),"")</f>
        <v/>
      </c>
      <c r="B79" s="117" t="str">
        <f>IF($A79="","",INDEX(Assessment!$B:$B,$A79))</f>
        <v/>
      </c>
      <c r="C79" s="117" t="str">
        <f>IF($A79="","",INDEX(Assessment!$D:$D,$A79))</f>
        <v/>
      </c>
      <c r="D79" s="117" t="str">
        <f>IF($A79="","",INDEX(Assessment!$E:$E,$A79))</f>
        <v/>
      </c>
      <c r="E79" s="117" t="str">
        <f>IF($A79="","",INDEX(Assessment!$G:$G,$A79))</f>
        <v/>
      </c>
      <c r="F79" s="117" t="str">
        <f>IF($A79="","",INDEX(Assessment!$H:$H,$A79))</f>
        <v/>
      </c>
      <c r="G79" s="38" t="str">
        <f>IF($A79="","",INDEX(Assessment!$I:$I,$A79))</f>
        <v/>
      </c>
      <c r="H79" s="118"/>
      <c r="I79" s="118"/>
      <c r="J79" s="118"/>
      <c r="K79" s="118"/>
    </row>
    <row r="80" spans="1:11" ht="48" customHeight="1" x14ac:dyDescent="0.25">
      <c r="A80" s="116" t="str">
        <f>IFERROR(MATCH(76,Assessment!$M:$M,0),"")</f>
        <v/>
      </c>
      <c r="B80" s="122" t="str">
        <f>IF($A80="","",INDEX(Assessment!$B:$B,$A80))</f>
        <v/>
      </c>
      <c r="C80" s="122" t="str">
        <f>IF($A80="","",INDEX(Assessment!$D:$D,$A80))</f>
        <v/>
      </c>
      <c r="D80" s="122" t="str">
        <f>IF($A80="","",INDEX(Assessment!$E:$E,$A80))</f>
        <v/>
      </c>
      <c r="E80" s="122" t="str">
        <f>IF($A80="","",INDEX(Assessment!$G:$G,$A80))</f>
        <v/>
      </c>
      <c r="F80" s="122" t="str">
        <f>IF($A80="","",INDEX(Assessment!$H:$H,$A80))</f>
        <v/>
      </c>
      <c r="G80" s="120" t="str">
        <f>IF($A80="","",INDEX(Assessment!$I:$I,$A80))</f>
        <v/>
      </c>
      <c r="H80" s="118"/>
      <c r="I80" s="118"/>
      <c r="J80" s="118"/>
      <c r="K80" s="118"/>
    </row>
    <row r="81" spans="1:11" ht="48" customHeight="1" x14ac:dyDescent="0.25">
      <c r="A81" s="116" t="str">
        <f>IFERROR(MATCH(77,Assessment!$M:$M,0),"")</f>
        <v/>
      </c>
      <c r="B81" s="117" t="str">
        <f>IF($A81="","",INDEX(Assessment!$B:$B,$A81))</f>
        <v/>
      </c>
      <c r="C81" s="117" t="str">
        <f>IF($A81="","",INDEX(Assessment!$D:$D,$A81))</f>
        <v/>
      </c>
      <c r="D81" s="117" t="str">
        <f>IF($A81="","",INDEX(Assessment!$E:$E,$A81))</f>
        <v/>
      </c>
      <c r="E81" s="117" t="str">
        <f>IF($A81="","",INDEX(Assessment!$G:$G,$A81))</f>
        <v/>
      </c>
      <c r="F81" s="117" t="str">
        <f>IF($A81="","",INDEX(Assessment!$H:$H,$A81))</f>
        <v/>
      </c>
      <c r="G81" s="38" t="str">
        <f>IF($A81="","",INDEX(Assessment!$I:$I,$A81))</f>
        <v/>
      </c>
      <c r="H81" s="118"/>
      <c r="I81" s="118"/>
      <c r="J81" s="118"/>
      <c r="K81" s="118"/>
    </row>
    <row r="82" spans="1:11" ht="48" customHeight="1" x14ac:dyDescent="0.25">
      <c r="A82" s="116" t="str">
        <f>IFERROR(MATCH(78,Assessment!$M:$M,0),"")</f>
        <v/>
      </c>
      <c r="B82" s="122" t="str">
        <f>IF($A82="","",INDEX(Assessment!$B:$B,$A82))</f>
        <v/>
      </c>
      <c r="C82" s="122" t="str">
        <f>IF($A82="","",INDEX(Assessment!$D:$D,$A82))</f>
        <v/>
      </c>
      <c r="D82" s="122" t="str">
        <f>IF($A82="","",INDEX(Assessment!$E:$E,$A82))</f>
        <v/>
      </c>
      <c r="E82" s="122" t="str">
        <f>IF($A82="","",INDEX(Assessment!$G:$G,$A82))</f>
        <v/>
      </c>
      <c r="F82" s="122" t="str">
        <f>IF($A82="","",INDEX(Assessment!$H:$H,$A82))</f>
        <v/>
      </c>
      <c r="G82" s="120" t="str">
        <f>IF($A82="","",INDEX(Assessment!$I:$I,$A82))</f>
        <v/>
      </c>
      <c r="H82" s="118"/>
      <c r="I82" s="118"/>
      <c r="J82" s="118"/>
      <c r="K82" s="118"/>
    </row>
    <row r="83" spans="1:11" ht="48" customHeight="1" x14ac:dyDescent="0.25">
      <c r="A83" s="116" t="str">
        <f>IFERROR(MATCH(79,Assessment!$M:$M,0),"")</f>
        <v/>
      </c>
      <c r="B83" s="117" t="str">
        <f>IF($A83="","",INDEX(Assessment!$B:$B,$A83))</f>
        <v/>
      </c>
      <c r="C83" s="117" t="str">
        <f>IF($A83="","",INDEX(Assessment!$D:$D,$A83))</f>
        <v/>
      </c>
      <c r="D83" s="117" t="str">
        <f>IF($A83="","",INDEX(Assessment!$E:$E,$A83))</f>
        <v/>
      </c>
      <c r="E83" s="117" t="str">
        <f>IF($A83="","",INDEX(Assessment!$G:$G,$A83))</f>
        <v/>
      </c>
      <c r="F83" s="117" t="str">
        <f>IF($A83="","",INDEX(Assessment!$H:$H,$A83))</f>
        <v/>
      </c>
      <c r="G83" s="38" t="str">
        <f>IF($A83="","",INDEX(Assessment!$I:$I,$A83))</f>
        <v/>
      </c>
      <c r="H83" s="118"/>
      <c r="I83" s="118"/>
      <c r="J83" s="118"/>
      <c r="K83" s="118"/>
    </row>
    <row r="84" spans="1:11" ht="48" customHeight="1" x14ac:dyDescent="0.25">
      <c r="A84" s="116" t="str">
        <f>IFERROR(MATCH(80,Assessment!$M:$M,0),"")</f>
        <v/>
      </c>
      <c r="B84" s="122" t="str">
        <f>IF($A84="","",INDEX(Assessment!$B:$B,$A84))</f>
        <v/>
      </c>
      <c r="C84" s="122" t="str">
        <f>IF($A84="","",INDEX(Assessment!$D:$D,$A84))</f>
        <v/>
      </c>
      <c r="D84" s="122" t="str">
        <f>IF($A84="","",INDEX(Assessment!$E:$E,$A84))</f>
        <v/>
      </c>
      <c r="E84" s="122" t="str">
        <f>IF($A84="","",INDEX(Assessment!$G:$G,$A84))</f>
        <v/>
      </c>
      <c r="F84" s="122" t="str">
        <f>IF($A84="","",INDEX(Assessment!$H:$H,$A84))</f>
        <v/>
      </c>
      <c r="G84" s="120" t="str">
        <f>IF($A84="","",INDEX(Assessment!$I:$I,$A84))</f>
        <v/>
      </c>
      <c r="H84" s="118"/>
      <c r="I84" s="118"/>
      <c r="J84" s="118"/>
      <c r="K84" s="118"/>
    </row>
    <row r="85" spans="1:11" ht="48" customHeight="1" x14ac:dyDescent="0.25">
      <c r="A85" s="116" t="str">
        <f>IFERROR(MATCH(81,Assessment!$M:$M,0),"")</f>
        <v/>
      </c>
      <c r="B85" s="117" t="str">
        <f>IF($A85="","",INDEX(Assessment!$B:$B,$A85))</f>
        <v/>
      </c>
      <c r="C85" s="117" t="str">
        <f>IF($A85="","",INDEX(Assessment!$D:$D,$A85))</f>
        <v/>
      </c>
      <c r="D85" s="117" t="str">
        <f>IF($A85="","",INDEX(Assessment!$E:$E,$A85))</f>
        <v/>
      </c>
      <c r="E85" s="117" t="str">
        <f>IF($A85="","",INDEX(Assessment!$G:$G,$A85))</f>
        <v/>
      </c>
      <c r="F85" s="117" t="str">
        <f>IF($A85="","",INDEX(Assessment!$H:$H,$A85))</f>
        <v/>
      </c>
      <c r="G85" s="38" t="str">
        <f>IF($A85="","",INDEX(Assessment!$I:$I,$A85))</f>
        <v/>
      </c>
      <c r="H85" s="118"/>
      <c r="I85" s="118"/>
      <c r="J85" s="118"/>
      <c r="K85" s="118"/>
    </row>
    <row r="86" spans="1:11" ht="48" customHeight="1" x14ac:dyDescent="0.25">
      <c r="A86" s="116" t="str">
        <f>IFERROR(MATCH(82,Assessment!$M:$M,0),"")</f>
        <v/>
      </c>
      <c r="B86" s="122" t="str">
        <f>IF($A86="","",INDEX(Assessment!$B:$B,$A86))</f>
        <v/>
      </c>
      <c r="C86" s="122" t="str">
        <f>IF($A86="","",INDEX(Assessment!$D:$D,$A86))</f>
        <v/>
      </c>
      <c r="D86" s="122" t="str">
        <f>IF($A86="","",INDEX(Assessment!$E:$E,$A86))</f>
        <v/>
      </c>
      <c r="E86" s="122" t="str">
        <f>IF($A86="","",INDEX(Assessment!$G:$G,$A86))</f>
        <v/>
      </c>
      <c r="F86" s="122" t="str">
        <f>IF($A86="","",INDEX(Assessment!$H:$H,$A86))</f>
        <v/>
      </c>
      <c r="G86" s="120" t="str">
        <f>IF($A86="","",INDEX(Assessment!$I:$I,$A86))</f>
        <v/>
      </c>
      <c r="H86" s="118"/>
      <c r="I86" s="118"/>
      <c r="J86" s="118"/>
      <c r="K86" s="118"/>
    </row>
    <row r="87" spans="1:11" ht="48" customHeight="1" x14ac:dyDescent="0.25">
      <c r="A87" s="116" t="str">
        <f>IFERROR(MATCH(83,Assessment!$M:$M,0),"")</f>
        <v/>
      </c>
      <c r="B87" s="117" t="str">
        <f>IF($A87="","",INDEX(Assessment!$B:$B,$A87))</f>
        <v/>
      </c>
      <c r="C87" s="117" t="str">
        <f>IF($A87="","",INDEX(Assessment!$D:$D,$A87))</f>
        <v/>
      </c>
      <c r="D87" s="117" t="str">
        <f>IF($A87="","",INDEX(Assessment!$E:$E,$A87))</f>
        <v/>
      </c>
      <c r="E87" s="117" t="str">
        <f>IF($A87="","",INDEX(Assessment!$G:$G,$A87))</f>
        <v/>
      </c>
      <c r="F87" s="117" t="str">
        <f>IF($A87="","",INDEX(Assessment!$H:$H,$A87))</f>
        <v/>
      </c>
      <c r="G87" s="38" t="str">
        <f>IF($A87="","",INDEX(Assessment!$I:$I,$A87))</f>
        <v/>
      </c>
      <c r="H87" s="118"/>
      <c r="I87" s="118"/>
      <c r="J87" s="118"/>
      <c r="K87" s="118"/>
    </row>
    <row r="88" spans="1:11" ht="48" customHeight="1" x14ac:dyDescent="0.25">
      <c r="A88" s="116" t="str">
        <f>IFERROR(MATCH(84,Assessment!$M:$M,0),"")</f>
        <v/>
      </c>
      <c r="B88" s="122" t="str">
        <f>IF($A88="","",INDEX(Assessment!$B:$B,$A88))</f>
        <v/>
      </c>
      <c r="C88" s="122" t="str">
        <f>IF($A88="","",INDEX(Assessment!$D:$D,$A88))</f>
        <v/>
      </c>
      <c r="D88" s="122" t="str">
        <f>IF($A88="","",INDEX(Assessment!$E:$E,$A88))</f>
        <v/>
      </c>
      <c r="E88" s="122" t="str">
        <f>IF($A88="","",INDEX(Assessment!$G:$G,$A88))</f>
        <v/>
      </c>
      <c r="F88" s="122" t="str">
        <f>IF($A88="","",INDEX(Assessment!$H:$H,$A88))</f>
        <v/>
      </c>
      <c r="G88" s="120" t="str">
        <f>IF($A88="","",INDEX(Assessment!$I:$I,$A88))</f>
        <v/>
      </c>
      <c r="H88" s="118"/>
      <c r="I88" s="118"/>
      <c r="J88" s="118"/>
      <c r="K88" s="118"/>
    </row>
    <row r="89" spans="1:11" ht="48" customHeight="1" x14ac:dyDescent="0.25">
      <c r="A89" s="116" t="str">
        <f>IFERROR(MATCH(85,Assessment!$M:$M,0),"")</f>
        <v/>
      </c>
      <c r="B89" s="117" t="str">
        <f>IF($A89="","",INDEX(Assessment!$B:$B,$A89))</f>
        <v/>
      </c>
      <c r="C89" s="117" t="str">
        <f>IF($A89="","",INDEX(Assessment!$D:$D,$A89))</f>
        <v/>
      </c>
      <c r="D89" s="117" t="str">
        <f>IF($A89="","",INDEX(Assessment!$E:$E,$A89))</f>
        <v/>
      </c>
      <c r="E89" s="117" t="str">
        <f>IF($A89="","",INDEX(Assessment!$G:$G,$A89))</f>
        <v/>
      </c>
      <c r="F89" s="117" t="str">
        <f>IF($A89="","",INDEX(Assessment!$H:$H,$A89))</f>
        <v/>
      </c>
      <c r="G89" s="38" t="str">
        <f>IF($A89="","",INDEX(Assessment!$I:$I,$A89))</f>
        <v/>
      </c>
      <c r="H89" s="118"/>
      <c r="I89" s="118"/>
      <c r="J89" s="118"/>
      <c r="K89" s="118"/>
    </row>
    <row r="90" spans="1:11" ht="48" customHeight="1" x14ac:dyDescent="0.25">
      <c r="A90" s="116" t="str">
        <f>IFERROR(MATCH(86,Assessment!$M:$M,0),"")</f>
        <v/>
      </c>
      <c r="B90" s="122" t="str">
        <f>IF($A90="","",INDEX(Assessment!$B:$B,$A90))</f>
        <v/>
      </c>
      <c r="C90" s="122" t="str">
        <f>IF($A90="","",INDEX(Assessment!$D:$D,$A90))</f>
        <v/>
      </c>
      <c r="D90" s="122" t="str">
        <f>IF($A90="","",INDEX(Assessment!$E:$E,$A90))</f>
        <v/>
      </c>
      <c r="E90" s="122" t="str">
        <f>IF($A90="","",INDEX(Assessment!$G:$G,$A90))</f>
        <v/>
      </c>
      <c r="F90" s="122" t="str">
        <f>IF($A90="","",INDEX(Assessment!$H:$H,$A90))</f>
        <v/>
      </c>
      <c r="G90" s="120" t="str">
        <f>IF($A90="","",INDEX(Assessment!$I:$I,$A90))</f>
        <v/>
      </c>
      <c r="H90" s="118"/>
      <c r="I90" s="118"/>
      <c r="J90" s="118"/>
      <c r="K90" s="118"/>
    </row>
    <row r="91" spans="1:11" ht="48" customHeight="1" x14ac:dyDescent="0.25">
      <c r="A91" s="116" t="str">
        <f>IFERROR(MATCH(87,Assessment!$M:$M,0),"")</f>
        <v/>
      </c>
      <c r="B91" s="117" t="str">
        <f>IF($A91="","",INDEX(Assessment!$B:$B,$A91))</f>
        <v/>
      </c>
      <c r="C91" s="117" t="str">
        <f>IF($A91="","",INDEX(Assessment!$D:$D,$A91))</f>
        <v/>
      </c>
      <c r="D91" s="117" t="str">
        <f>IF($A91="","",INDEX(Assessment!$E:$E,$A91))</f>
        <v/>
      </c>
      <c r="E91" s="117" t="str">
        <f>IF($A91="","",INDEX(Assessment!$G:$G,$A91))</f>
        <v/>
      </c>
      <c r="F91" s="117" t="str">
        <f>IF($A91="","",INDEX(Assessment!$H:$H,$A91))</f>
        <v/>
      </c>
      <c r="G91" s="38" t="str">
        <f>IF($A91="","",INDEX(Assessment!$I:$I,$A91))</f>
        <v/>
      </c>
      <c r="H91" s="118"/>
      <c r="I91" s="118"/>
      <c r="J91" s="118"/>
      <c r="K91" s="118"/>
    </row>
    <row r="92" spans="1:11" ht="48" customHeight="1" x14ac:dyDescent="0.25">
      <c r="A92" s="116" t="str">
        <f>IFERROR(MATCH(88,Assessment!$M:$M,0),"")</f>
        <v/>
      </c>
      <c r="B92" s="122" t="str">
        <f>IF($A92="","",INDEX(Assessment!$B:$B,$A92))</f>
        <v/>
      </c>
      <c r="C92" s="122" t="str">
        <f>IF($A92="","",INDEX(Assessment!$D:$D,$A92))</f>
        <v/>
      </c>
      <c r="D92" s="122" t="str">
        <f>IF($A92="","",INDEX(Assessment!$E:$E,$A92))</f>
        <v/>
      </c>
      <c r="E92" s="122" t="str">
        <f>IF($A92="","",INDEX(Assessment!$G:$G,$A92))</f>
        <v/>
      </c>
      <c r="F92" s="122" t="str">
        <f>IF($A92="","",INDEX(Assessment!$H:$H,$A92))</f>
        <v/>
      </c>
      <c r="G92" s="120" t="str">
        <f>IF($A92="","",INDEX(Assessment!$I:$I,$A92))</f>
        <v/>
      </c>
      <c r="H92" s="118"/>
      <c r="I92" s="118"/>
      <c r="J92" s="118"/>
      <c r="K92" s="118"/>
    </row>
    <row r="93" spans="1:11" ht="48" customHeight="1" x14ac:dyDescent="0.25">
      <c r="A93" s="116" t="str">
        <f>IFERROR(MATCH(89,Assessment!$M:$M,0),"")</f>
        <v/>
      </c>
      <c r="B93" s="117" t="str">
        <f>IF($A93="","",INDEX(Assessment!$B:$B,$A93))</f>
        <v/>
      </c>
      <c r="C93" s="117" t="str">
        <f>IF($A93="","",INDEX(Assessment!$D:$D,$A93))</f>
        <v/>
      </c>
      <c r="D93" s="117" t="str">
        <f>IF($A93="","",INDEX(Assessment!$E:$E,$A93))</f>
        <v/>
      </c>
      <c r="E93" s="117" t="str">
        <f>IF($A93="","",INDEX(Assessment!$G:$G,$A93))</f>
        <v/>
      </c>
      <c r="F93" s="117" t="str">
        <f>IF($A93="","",INDEX(Assessment!$H:$H,$A93))</f>
        <v/>
      </c>
      <c r="G93" s="38" t="str">
        <f>IF($A93="","",INDEX(Assessment!$I:$I,$A93))</f>
        <v/>
      </c>
      <c r="H93" s="118"/>
      <c r="I93" s="118"/>
      <c r="J93" s="118"/>
      <c r="K93" s="118"/>
    </row>
    <row r="94" spans="1:11" ht="48" customHeight="1" x14ac:dyDescent="0.25">
      <c r="A94" s="116" t="str">
        <f>IFERROR(MATCH(90,Assessment!$M:$M,0),"")</f>
        <v/>
      </c>
      <c r="B94" s="122" t="str">
        <f>IF($A94="","",INDEX(Assessment!$B:$B,$A94))</f>
        <v/>
      </c>
      <c r="C94" s="122" t="str">
        <f>IF($A94="","",INDEX(Assessment!$D:$D,$A94))</f>
        <v/>
      </c>
      <c r="D94" s="122" t="str">
        <f>IF($A94="","",INDEX(Assessment!$E:$E,$A94))</f>
        <v/>
      </c>
      <c r="E94" s="122" t="str">
        <f>IF($A94="","",INDEX(Assessment!$G:$G,$A94))</f>
        <v/>
      </c>
      <c r="F94" s="122" t="str">
        <f>IF($A94="","",INDEX(Assessment!$H:$H,$A94))</f>
        <v/>
      </c>
      <c r="G94" s="120" t="str">
        <f>IF($A94="","",INDEX(Assessment!$I:$I,$A94))</f>
        <v/>
      </c>
      <c r="H94" s="118"/>
      <c r="I94" s="118"/>
      <c r="J94" s="118"/>
      <c r="K94" s="118"/>
    </row>
    <row r="95" spans="1:11" ht="48" customHeight="1" x14ac:dyDescent="0.25">
      <c r="A95" s="116" t="str">
        <f>IFERROR(MATCH(91,Assessment!$M:$M,0),"")</f>
        <v/>
      </c>
      <c r="B95" s="117" t="str">
        <f>IF($A95="","",INDEX(Assessment!$B:$B,$A95))</f>
        <v/>
      </c>
      <c r="C95" s="117" t="str">
        <f>IF($A95="","",INDEX(Assessment!$D:$D,$A95))</f>
        <v/>
      </c>
      <c r="D95" s="117" t="str">
        <f>IF($A95="","",INDEX(Assessment!$E:$E,$A95))</f>
        <v/>
      </c>
      <c r="E95" s="117" t="str">
        <f>IF($A95="","",INDEX(Assessment!$G:$G,$A95))</f>
        <v/>
      </c>
      <c r="F95" s="117" t="str">
        <f>IF($A95="","",INDEX(Assessment!$H:$H,$A95))</f>
        <v/>
      </c>
      <c r="G95" s="38" t="str">
        <f>IF($A95="","",INDEX(Assessment!$I:$I,$A95))</f>
        <v/>
      </c>
      <c r="H95" s="118"/>
      <c r="I95" s="118"/>
      <c r="J95" s="118"/>
      <c r="K95" s="118"/>
    </row>
    <row r="96" spans="1:11" ht="48" customHeight="1" x14ac:dyDescent="0.25">
      <c r="A96" s="116" t="str">
        <f>IFERROR(MATCH(92,Assessment!$M:$M,0),"")</f>
        <v/>
      </c>
      <c r="B96" s="122" t="str">
        <f>IF($A96="","",INDEX(Assessment!$B:$B,$A96))</f>
        <v/>
      </c>
      <c r="C96" s="122" t="str">
        <f>IF($A96="","",INDEX(Assessment!$D:$D,$A96))</f>
        <v/>
      </c>
      <c r="D96" s="122" t="str">
        <f>IF($A96="","",INDEX(Assessment!$E:$E,$A96))</f>
        <v/>
      </c>
      <c r="E96" s="122" t="str">
        <f>IF($A96="","",INDEX(Assessment!$G:$G,$A96))</f>
        <v/>
      </c>
      <c r="F96" s="122" t="str">
        <f>IF($A96="","",INDEX(Assessment!$H:$H,$A96))</f>
        <v/>
      </c>
      <c r="G96" s="120" t="str">
        <f>IF($A96="","",INDEX(Assessment!$I:$I,$A96))</f>
        <v/>
      </c>
      <c r="H96" s="118"/>
      <c r="I96" s="118"/>
      <c r="J96" s="118"/>
      <c r="K96" s="118"/>
    </row>
    <row r="97" spans="1:11" ht="48" customHeight="1" x14ac:dyDescent="0.25">
      <c r="A97" s="116" t="str">
        <f>IFERROR(MATCH(93,Assessment!$M:$M,0),"")</f>
        <v/>
      </c>
      <c r="B97" s="117" t="str">
        <f>IF($A97="","",INDEX(Assessment!$B:$B,$A97))</f>
        <v/>
      </c>
      <c r="C97" s="117" t="str">
        <f>IF($A97="","",INDEX(Assessment!$D:$D,$A97))</f>
        <v/>
      </c>
      <c r="D97" s="117" t="str">
        <f>IF($A97="","",INDEX(Assessment!$E:$E,$A97))</f>
        <v/>
      </c>
      <c r="E97" s="117" t="str">
        <f>IF($A97="","",INDEX(Assessment!$G:$G,$A97))</f>
        <v/>
      </c>
      <c r="F97" s="117" t="str">
        <f>IF($A97="","",INDEX(Assessment!$H:$H,$A97))</f>
        <v/>
      </c>
      <c r="G97" s="38" t="str">
        <f>IF($A97="","",INDEX(Assessment!$I:$I,$A97))</f>
        <v/>
      </c>
      <c r="H97" s="118"/>
      <c r="I97" s="118"/>
      <c r="J97" s="118"/>
      <c r="K97" s="118"/>
    </row>
    <row r="98" spans="1:11" ht="48" customHeight="1" x14ac:dyDescent="0.25">
      <c r="A98" s="116" t="str">
        <f>IFERROR(MATCH(94,Assessment!$M:$M,0),"")</f>
        <v/>
      </c>
      <c r="B98" s="122" t="str">
        <f>IF($A98="","",INDEX(Assessment!$B:$B,$A98))</f>
        <v/>
      </c>
      <c r="C98" s="122" t="str">
        <f>IF($A98="","",INDEX(Assessment!$D:$D,$A98))</f>
        <v/>
      </c>
      <c r="D98" s="122" t="str">
        <f>IF($A98="","",INDEX(Assessment!$E:$E,$A98))</f>
        <v/>
      </c>
      <c r="E98" s="122" t="str">
        <f>IF($A98="","",INDEX(Assessment!$G:$G,$A98))</f>
        <v/>
      </c>
      <c r="F98" s="122" t="str">
        <f>IF($A98="","",INDEX(Assessment!$H:$H,$A98))</f>
        <v/>
      </c>
      <c r="G98" s="120" t="str">
        <f>IF($A98="","",INDEX(Assessment!$I:$I,$A98))</f>
        <v/>
      </c>
      <c r="H98" s="118"/>
      <c r="I98" s="118"/>
      <c r="J98" s="118"/>
      <c r="K98" s="118"/>
    </row>
    <row r="99" spans="1:11" ht="48" customHeight="1" x14ac:dyDescent="0.25">
      <c r="A99" s="116" t="str">
        <f>IFERROR(MATCH(95,Assessment!$M:$M,0),"")</f>
        <v/>
      </c>
      <c r="B99" s="117" t="str">
        <f>IF($A99="","",INDEX(Assessment!$B:$B,$A99))</f>
        <v/>
      </c>
      <c r="C99" s="117" t="str">
        <f>IF($A99="","",INDEX(Assessment!$D:$D,$A99))</f>
        <v/>
      </c>
      <c r="D99" s="117" t="str">
        <f>IF($A99="","",INDEX(Assessment!$E:$E,$A99))</f>
        <v/>
      </c>
      <c r="E99" s="117" t="str">
        <f>IF($A99="","",INDEX(Assessment!$G:$G,$A99))</f>
        <v/>
      </c>
      <c r="F99" s="117" t="str">
        <f>IF($A99="","",INDEX(Assessment!$H:$H,$A99))</f>
        <v/>
      </c>
      <c r="G99" s="38" t="str">
        <f>IF($A99="","",INDEX(Assessment!$I:$I,$A99))</f>
        <v/>
      </c>
      <c r="H99" s="118"/>
      <c r="I99" s="118"/>
      <c r="J99" s="118"/>
      <c r="K99" s="118"/>
    </row>
    <row r="100" spans="1:11" ht="48" customHeight="1" x14ac:dyDescent="0.25">
      <c r="A100" s="116" t="str">
        <f>IFERROR(MATCH(96,Assessment!$M:$M,0),"")</f>
        <v/>
      </c>
      <c r="B100" s="122" t="str">
        <f>IF($A100="","",INDEX(Assessment!$B:$B,$A100))</f>
        <v/>
      </c>
      <c r="C100" s="122" t="str">
        <f>IF($A100="","",INDEX(Assessment!$D:$D,$A100))</f>
        <v/>
      </c>
      <c r="D100" s="122" t="str">
        <f>IF($A100="","",INDEX(Assessment!$E:$E,$A100))</f>
        <v/>
      </c>
      <c r="E100" s="122" t="str">
        <f>IF($A100="","",INDEX(Assessment!$G:$G,$A100))</f>
        <v/>
      </c>
      <c r="F100" s="122" t="str">
        <f>IF($A100="","",INDEX(Assessment!$H:$H,$A100))</f>
        <v/>
      </c>
      <c r="G100" s="120" t="str">
        <f>IF($A100="","",INDEX(Assessment!$I:$I,$A100))</f>
        <v/>
      </c>
      <c r="H100" s="118"/>
      <c r="I100" s="118"/>
      <c r="J100" s="118"/>
      <c r="K100" s="118"/>
    </row>
    <row r="101" spans="1:11" ht="48" customHeight="1" x14ac:dyDescent="0.25">
      <c r="A101" s="116" t="str">
        <f>IFERROR(MATCH(97,Assessment!$M:$M,0),"")</f>
        <v/>
      </c>
      <c r="B101" s="117" t="str">
        <f>IF($A101="","",INDEX(Assessment!$B:$B,$A101))</f>
        <v/>
      </c>
      <c r="C101" s="117" t="str">
        <f>IF($A101="","",INDEX(Assessment!$D:$D,$A101))</f>
        <v/>
      </c>
      <c r="D101" s="117" t="str">
        <f>IF($A101="","",INDEX(Assessment!$E:$E,$A101))</f>
        <v/>
      </c>
      <c r="E101" s="117" t="str">
        <f>IF($A101="","",INDEX(Assessment!$G:$G,$A101))</f>
        <v/>
      </c>
      <c r="F101" s="117" t="str">
        <f>IF($A101="","",INDEX(Assessment!$H:$H,$A101))</f>
        <v/>
      </c>
      <c r="G101" s="38" t="str">
        <f>IF($A101="","",INDEX(Assessment!$I:$I,$A101))</f>
        <v/>
      </c>
      <c r="H101" s="118"/>
      <c r="I101" s="118"/>
      <c r="J101" s="118"/>
      <c r="K101" s="118"/>
    </row>
    <row r="102" spans="1:11" ht="48" customHeight="1" x14ac:dyDescent="0.25">
      <c r="A102" s="116" t="str">
        <f>IFERROR(MATCH(98,Assessment!$M:$M,0),"")</f>
        <v/>
      </c>
      <c r="B102" s="122" t="str">
        <f>IF($A102="","",INDEX(Assessment!$B:$B,$A102))</f>
        <v/>
      </c>
      <c r="C102" s="122" t="str">
        <f>IF($A102="","",INDEX(Assessment!$D:$D,$A102))</f>
        <v/>
      </c>
      <c r="D102" s="122" t="str">
        <f>IF($A102="","",INDEX(Assessment!$E:$E,$A102))</f>
        <v/>
      </c>
      <c r="E102" s="122" t="str">
        <f>IF($A102="","",INDEX(Assessment!$G:$G,$A102))</f>
        <v/>
      </c>
      <c r="F102" s="122" t="str">
        <f>IF($A102="","",INDEX(Assessment!$H:$H,$A102))</f>
        <v/>
      </c>
      <c r="G102" s="120" t="str">
        <f>IF($A102="","",INDEX(Assessment!$I:$I,$A102))</f>
        <v/>
      </c>
      <c r="H102" s="118"/>
      <c r="I102" s="118"/>
      <c r="J102" s="118"/>
      <c r="K102" s="118"/>
    </row>
    <row r="103" spans="1:11" ht="48" customHeight="1" x14ac:dyDescent="0.25">
      <c r="A103" s="116" t="str">
        <f>IFERROR(MATCH(99,Assessment!$M:$M,0),"")</f>
        <v/>
      </c>
      <c r="B103" s="117" t="str">
        <f>IF($A103="","",INDEX(Assessment!$B:$B,$A103))</f>
        <v/>
      </c>
      <c r="C103" s="117" t="str">
        <f>IF($A103="","",INDEX(Assessment!$D:$D,$A103))</f>
        <v/>
      </c>
      <c r="D103" s="117" t="str">
        <f>IF($A103="","",INDEX(Assessment!$E:$E,$A103))</f>
        <v/>
      </c>
      <c r="E103" s="117" t="str">
        <f>IF($A103="","",INDEX(Assessment!$G:$G,$A103))</f>
        <v/>
      </c>
      <c r="F103" s="117" t="str">
        <f>IF($A103="","",INDEX(Assessment!$H:$H,$A103))</f>
        <v/>
      </c>
      <c r="G103" s="38" t="str">
        <f>IF($A103="","",INDEX(Assessment!$I:$I,$A103))</f>
        <v/>
      </c>
      <c r="H103" s="118"/>
      <c r="I103" s="118"/>
      <c r="J103" s="118"/>
      <c r="K103" s="118"/>
    </row>
    <row r="104" spans="1:11" ht="48" customHeight="1" x14ac:dyDescent="0.25">
      <c r="A104" s="116" t="str">
        <f>IFERROR(MATCH(100,Assessment!$M:$M,0),"")</f>
        <v/>
      </c>
      <c r="B104" s="122" t="str">
        <f>IF($A104="","",INDEX(Assessment!$B:$B,$A104))</f>
        <v/>
      </c>
      <c r="C104" s="122" t="str">
        <f>IF($A104="","",INDEX(Assessment!$D:$D,$A104))</f>
        <v/>
      </c>
      <c r="D104" s="122" t="str">
        <f>IF($A104="","",INDEX(Assessment!$E:$E,$A104))</f>
        <v/>
      </c>
      <c r="E104" s="122" t="str">
        <f>IF($A104="","",INDEX(Assessment!$G:$G,$A104))</f>
        <v/>
      </c>
      <c r="F104" s="122" t="str">
        <f>IF($A104="","",INDEX(Assessment!$H:$H,$A104))</f>
        <v/>
      </c>
      <c r="G104" s="120" t="str">
        <f>IF($A104="","",INDEX(Assessment!$I:$I,$A104))</f>
        <v/>
      </c>
      <c r="H104" s="118"/>
      <c r="I104" s="118"/>
      <c r="J104" s="118"/>
      <c r="K104" s="118"/>
    </row>
    <row r="105" spans="1:11" ht="48" customHeight="1" x14ac:dyDescent="0.25">
      <c r="A105" s="116" t="str">
        <f>IFERROR(MATCH(101,Assessment!$M:$M,0),"")</f>
        <v/>
      </c>
      <c r="B105" s="117" t="str">
        <f>IF($A105="","",INDEX(Assessment!$B:$B,$A105))</f>
        <v/>
      </c>
      <c r="C105" s="117" t="str">
        <f>IF($A105="","",INDEX(Assessment!$D:$D,$A105))</f>
        <v/>
      </c>
      <c r="D105" s="117" t="str">
        <f>IF($A105="","",INDEX(Assessment!$E:$E,$A105))</f>
        <v/>
      </c>
      <c r="E105" s="117" t="str">
        <f>IF($A105="","",INDEX(Assessment!$G:$G,$A105))</f>
        <v/>
      </c>
      <c r="F105" s="117" t="str">
        <f>IF($A105="","",INDEX(Assessment!$H:$H,$A105))</f>
        <v/>
      </c>
      <c r="G105" s="38" t="str">
        <f>IF($A105="","",INDEX(Assessment!$I:$I,$A105))</f>
        <v/>
      </c>
      <c r="H105" s="118"/>
      <c r="I105" s="118"/>
      <c r="J105" s="118"/>
      <c r="K105" s="118"/>
    </row>
    <row r="106" spans="1:11" ht="48" customHeight="1" x14ac:dyDescent="0.25">
      <c r="A106" s="116" t="str">
        <f>IFERROR(MATCH(102,Assessment!$M:$M,0),"")</f>
        <v/>
      </c>
      <c r="B106" s="122" t="str">
        <f>IF($A106="","",INDEX(Assessment!$B:$B,$A106))</f>
        <v/>
      </c>
      <c r="C106" s="122" t="str">
        <f>IF($A106="","",INDEX(Assessment!$D:$D,$A106))</f>
        <v/>
      </c>
      <c r="D106" s="122" t="str">
        <f>IF($A106="","",INDEX(Assessment!$E:$E,$A106))</f>
        <v/>
      </c>
      <c r="E106" s="122" t="str">
        <f>IF($A106="","",INDEX(Assessment!$G:$G,$A106))</f>
        <v/>
      </c>
      <c r="F106" s="122" t="str">
        <f>IF($A106="","",INDEX(Assessment!$H:$H,$A106))</f>
        <v/>
      </c>
      <c r="G106" s="120" t="str">
        <f>IF($A106="","",INDEX(Assessment!$I:$I,$A106))</f>
        <v/>
      </c>
      <c r="H106" s="118"/>
      <c r="I106" s="118"/>
      <c r="J106" s="118"/>
      <c r="K106" s="118"/>
    </row>
    <row r="107" spans="1:11" ht="48" customHeight="1" x14ac:dyDescent="0.25">
      <c r="A107" s="116" t="str">
        <f>IFERROR(MATCH(103,Assessment!$M:$M,0),"")</f>
        <v/>
      </c>
      <c r="B107" s="117" t="str">
        <f>IF($A107="","",INDEX(Assessment!$B:$B,$A107))</f>
        <v/>
      </c>
      <c r="C107" s="117" t="str">
        <f>IF($A107="","",INDEX(Assessment!$D:$D,$A107))</f>
        <v/>
      </c>
      <c r="D107" s="117" t="str">
        <f>IF($A107="","",INDEX(Assessment!$E:$E,$A107))</f>
        <v/>
      </c>
      <c r="E107" s="117" t="str">
        <f>IF($A107="","",INDEX(Assessment!$G:$G,$A107))</f>
        <v/>
      </c>
      <c r="F107" s="117" t="str">
        <f>IF($A107="","",INDEX(Assessment!$H:$H,$A107))</f>
        <v/>
      </c>
      <c r="G107" s="38" t="str">
        <f>IF($A107="","",INDEX(Assessment!$I:$I,$A107))</f>
        <v/>
      </c>
      <c r="H107" s="118"/>
      <c r="I107" s="118"/>
      <c r="J107" s="118"/>
      <c r="K107" s="118"/>
    </row>
    <row r="108" spans="1:11" ht="48" customHeight="1" x14ac:dyDescent="0.25">
      <c r="A108" s="116" t="str">
        <f>IFERROR(MATCH(104,Assessment!$M:$M,0),"")</f>
        <v/>
      </c>
      <c r="B108" s="122" t="str">
        <f>IF($A108="","",INDEX(Assessment!$B:$B,$A108))</f>
        <v/>
      </c>
      <c r="C108" s="122" t="str">
        <f>IF($A108="","",INDEX(Assessment!$D:$D,$A108))</f>
        <v/>
      </c>
      <c r="D108" s="122" t="str">
        <f>IF($A108="","",INDEX(Assessment!$E:$E,$A108))</f>
        <v/>
      </c>
      <c r="E108" s="122" t="str">
        <f>IF($A108="","",INDEX(Assessment!$G:$G,$A108))</f>
        <v/>
      </c>
      <c r="F108" s="122" t="str">
        <f>IF($A108="","",INDEX(Assessment!$H:$H,$A108))</f>
        <v/>
      </c>
      <c r="G108" s="120" t="str">
        <f>IF($A108="","",INDEX(Assessment!$I:$I,$A108))</f>
        <v/>
      </c>
      <c r="H108" s="118"/>
      <c r="I108" s="118"/>
      <c r="J108" s="118"/>
      <c r="K108" s="118"/>
    </row>
    <row r="109" spans="1:11" ht="48" customHeight="1" x14ac:dyDescent="0.25">
      <c r="A109" s="116" t="str">
        <f>IFERROR(MATCH(105,Assessment!$M:$M,0),"")</f>
        <v/>
      </c>
      <c r="B109" s="117" t="str">
        <f>IF($A109="","",INDEX(Assessment!$B:$B,$A109))</f>
        <v/>
      </c>
      <c r="C109" s="117" t="str">
        <f>IF($A109="","",INDEX(Assessment!$D:$D,$A109))</f>
        <v/>
      </c>
      <c r="D109" s="117" t="str">
        <f>IF($A109="","",INDEX(Assessment!$E:$E,$A109))</f>
        <v/>
      </c>
      <c r="E109" s="117" t="str">
        <f>IF($A109="","",INDEX(Assessment!$G:$G,$A109))</f>
        <v/>
      </c>
      <c r="F109" s="117" t="str">
        <f>IF($A109="","",INDEX(Assessment!$H:$H,$A109))</f>
        <v/>
      </c>
      <c r="G109" s="38" t="str">
        <f>IF($A109="","",INDEX(Assessment!$I:$I,$A109))</f>
        <v/>
      </c>
      <c r="H109" s="118"/>
      <c r="I109" s="118"/>
      <c r="J109" s="118"/>
      <c r="K109" s="118"/>
    </row>
    <row r="110" spans="1:11" ht="48" customHeight="1" x14ac:dyDescent="0.25">
      <c r="A110" s="116" t="str">
        <f>IFERROR(MATCH(106,Assessment!$M:$M,0),"")</f>
        <v/>
      </c>
      <c r="B110" s="122" t="str">
        <f>IF($A110="","",INDEX(Assessment!$B:$B,$A110))</f>
        <v/>
      </c>
      <c r="C110" s="122" t="str">
        <f>IF($A110="","",INDEX(Assessment!$D:$D,$A110))</f>
        <v/>
      </c>
      <c r="D110" s="122" t="str">
        <f>IF($A110="","",INDEX(Assessment!$E:$E,$A110))</f>
        <v/>
      </c>
      <c r="E110" s="122" t="str">
        <f>IF($A110="","",INDEX(Assessment!$G:$G,$A110))</f>
        <v/>
      </c>
      <c r="F110" s="122" t="str">
        <f>IF($A110="","",INDEX(Assessment!$H:$H,$A110))</f>
        <v/>
      </c>
      <c r="G110" s="120" t="str">
        <f>IF($A110="","",INDEX(Assessment!$I:$I,$A110))</f>
        <v/>
      </c>
      <c r="H110" s="118"/>
      <c r="I110" s="118"/>
      <c r="J110" s="118"/>
      <c r="K110" s="118"/>
    </row>
    <row r="111" spans="1:11" ht="48" customHeight="1" x14ac:dyDescent="0.25">
      <c r="A111" s="116" t="str">
        <f>IFERROR(MATCH(107,Assessment!$M:$M,0),"")</f>
        <v/>
      </c>
      <c r="B111" s="117" t="str">
        <f>IF($A111="","",INDEX(Assessment!$B:$B,$A111))</f>
        <v/>
      </c>
      <c r="C111" s="117" t="str">
        <f>IF($A111="","",INDEX(Assessment!$D:$D,$A111))</f>
        <v/>
      </c>
      <c r="D111" s="117" t="str">
        <f>IF($A111="","",INDEX(Assessment!$E:$E,$A111))</f>
        <v/>
      </c>
      <c r="E111" s="117" t="str">
        <f>IF($A111="","",INDEX(Assessment!$G:$G,$A111))</f>
        <v/>
      </c>
      <c r="F111" s="117" t="str">
        <f>IF($A111="","",INDEX(Assessment!$H:$H,$A111))</f>
        <v/>
      </c>
      <c r="G111" s="38" t="str">
        <f>IF($A111="","",INDEX(Assessment!$I:$I,$A111))</f>
        <v/>
      </c>
      <c r="H111" s="118"/>
      <c r="I111" s="118"/>
      <c r="J111" s="118"/>
      <c r="K111" s="118"/>
    </row>
    <row r="112" spans="1:11" ht="48" customHeight="1" x14ac:dyDescent="0.25">
      <c r="A112" s="116" t="str">
        <f>IFERROR(MATCH(108,Assessment!$M:$M,0),"")</f>
        <v/>
      </c>
      <c r="B112" s="122" t="str">
        <f>IF($A112="","",INDEX(Assessment!$B:$B,$A112))</f>
        <v/>
      </c>
      <c r="C112" s="122" t="str">
        <f>IF($A112="","",INDEX(Assessment!$D:$D,$A112))</f>
        <v/>
      </c>
      <c r="D112" s="122" t="str">
        <f>IF($A112="","",INDEX(Assessment!$E:$E,$A112))</f>
        <v/>
      </c>
      <c r="E112" s="122" t="str">
        <f>IF($A112="","",INDEX(Assessment!$G:$G,$A112))</f>
        <v/>
      </c>
      <c r="F112" s="122" t="str">
        <f>IF($A112="","",INDEX(Assessment!$H:$H,$A112))</f>
        <v/>
      </c>
      <c r="G112" s="120" t="str">
        <f>IF($A112="","",INDEX(Assessment!$I:$I,$A112))</f>
        <v/>
      </c>
      <c r="H112" s="118"/>
      <c r="I112" s="118"/>
      <c r="J112" s="118"/>
      <c r="K112" s="118"/>
    </row>
    <row r="113" spans="1:11" ht="48" customHeight="1" x14ac:dyDescent="0.25">
      <c r="A113" s="116" t="str">
        <f>IFERROR(MATCH(109,Assessment!$M:$M,0),"")</f>
        <v/>
      </c>
      <c r="B113" s="117" t="str">
        <f>IF($A113="","",INDEX(Assessment!$B:$B,$A113))</f>
        <v/>
      </c>
      <c r="C113" s="117" t="str">
        <f>IF($A113="","",INDEX(Assessment!$D:$D,$A113))</f>
        <v/>
      </c>
      <c r="D113" s="117" t="str">
        <f>IF($A113="","",INDEX(Assessment!$E:$E,$A113))</f>
        <v/>
      </c>
      <c r="E113" s="117" t="str">
        <f>IF($A113="","",INDEX(Assessment!$G:$G,$A113))</f>
        <v/>
      </c>
      <c r="F113" s="117" t="str">
        <f>IF($A113="","",INDEX(Assessment!$H:$H,$A113))</f>
        <v/>
      </c>
      <c r="G113" s="38" t="str">
        <f>IF($A113="","",INDEX(Assessment!$I:$I,$A113))</f>
        <v/>
      </c>
      <c r="H113" s="118"/>
      <c r="I113" s="118"/>
      <c r="J113" s="118"/>
      <c r="K113" s="118"/>
    </row>
    <row r="114" spans="1:11" ht="48" customHeight="1" x14ac:dyDescent="0.25">
      <c r="A114" s="116" t="str">
        <f>IFERROR(MATCH(110,Assessment!$M:$M,0),"")</f>
        <v/>
      </c>
      <c r="B114" s="122" t="str">
        <f>IF($A114="","",INDEX(Assessment!$B:$B,$A114))</f>
        <v/>
      </c>
      <c r="C114" s="122" t="str">
        <f>IF($A114="","",INDEX(Assessment!$D:$D,$A114))</f>
        <v/>
      </c>
      <c r="D114" s="122" t="str">
        <f>IF($A114="","",INDEX(Assessment!$E:$E,$A114))</f>
        <v/>
      </c>
      <c r="E114" s="122" t="str">
        <f>IF($A114="","",INDEX(Assessment!$G:$G,$A114))</f>
        <v/>
      </c>
      <c r="F114" s="122" t="str">
        <f>IF($A114="","",INDEX(Assessment!$H:$H,$A114))</f>
        <v/>
      </c>
      <c r="G114" s="120" t="str">
        <f>IF($A114="","",INDEX(Assessment!$I:$I,$A114))</f>
        <v/>
      </c>
      <c r="H114" s="118"/>
      <c r="I114" s="118"/>
      <c r="J114" s="118"/>
      <c r="K114" s="118"/>
    </row>
    <row r="115" spans="1:11" ht="48" customHeight="1" x14ac:dyDescent="0.25">
      <c r="A115" s="116" t="str">
        <f>IFERROR(MATCH(111,Assessment!$M:$M,0),"")</f>
        <v/>
      </c>
      <c r="B115" s="117" t="str">
        <f>IF($A115="","",INDEX(Assessment!$B:$B,$A115))</f>
        <v/>
      </c>
      <c r="C115" s="117" t="str">
        <f>IF($A115="","",INDEX(Assessment!$D:$D,$A115))</f>
        <v/>
      </c>
      <c r="D115" s="117" t="str">
        <f>IF($A115="","",INDEX(Assessment!$E:$E,$A115))</f>
        <v/>
      </c>
      <c r="E115" s="117" t="str">
        <f>IF($A115="","",INDEX(Assessment!$G:$G,$A115))</f>
        <v/>
      </c>
      <c r="F115" s="117" t="str">
        <f>IF($A115="","",INDEX(Assessment!$H:$H,$A115))</f>
        <v/>
      </c>
      <c r="G115" s="38" t="str">
        <f>IF($A115="","",INDEX(Assessment!$I:$I,$A115))</f>
        <v/>
      </c>
      <c r="H115" s="118"/>
      <c r="I115" s="118"/>
      <c r="J115" s="118"/>
      <c r="K115" s="118"/>
    </row>
    <row r="116" spans="1:11" ht="48" customHeight="1" x14ac:dyDescent="0.25">
      <c r="A116" s="116" t="str">
        <f>IFERROR(MATCH(112,Assessment!$M:$M,0),"")</f>
        <v/>
      </c>
      <c r="B116" s="122" t="str">
        <f>IF($A116="","",INDEX(Assessment!$B:$B,$A116))</f>
        <v/>
      </c>
      <c r="C116" s="122" t="str">
        <f>IF($A116="","",INDEX(Assessment!$D:$D,$A116))</f>
        <v/>
      </c>
      <c r="D116" s="122" t="str">
        <f>IF($A116="","",INDEX(Assessment!$E:$E,$A116))</f>
        <v/>
      </c>
      <c r="E116" s="122" t="str">
        <f>IF($A116="","",INDEX(Assessment!$G:$G,$A116))</f>
        <v/>
      </c>
      <c r="F116" s="122" t="str">
        <f>IF($A116="","",INDEX(Assessment!$H:$H,$A116))</f>
        <v/>
      </c>
      <c r="G116" s="120" t="str">
        <f>IF($A116="","",INDEX(Assessment!$I:$I,$A116))</f>
        <v/>
      </c>
      <c r="H116" s="118"/>
      <c r="I116" s="118"/>
      <c r="J116" s="118"/>
      <c r="K116" s="118"/>
    </row>
    <row r="117" spans="1:11" ht="48" customHeight="1" x14ac:dyDescent="0.25">
      <c r="A117" s="116" t="str">
        <f>IFERROR(MATCH(113,Assessment!$M:$M,0),"")</f>
        <v/>
      </c>
      <c r="B117" s="117" t="str">
        <f>IF($A117="","",INDEX(Assessment!$B:$B,$A117))</f>
        <v/>
      </c>
      <c r="C117" s="117" t="str">
        <f>IF($A117="","",INDEX(Assessment!$D:$D,$A117))</f>
        <v/>
      </c>
      <c r="D117" s="117" t="str">
        <f>IF($A117="","",INDEX(Assessment!$E:$E,$A117))</f>
        <v/>
      </c>
      <c r="E117" s="117" t="str">
        <f>IF($A117="","",INDEX(Assessment!$G:$G,$A117))</f>
        <v/>
      </c>
      <c r="F117" s="117" t="str">
        <f>IF($A117="","",INDEX(Assessment!$H:$H,$A117))</f>
        <v/>
      </c>
      <c r="G117" s="38" t="str">
        <f>IF($A117="","",INDEX(Assessment!$I:$I,$A117))</f>
        <v/>
      </c>
      <c r="H117" s="118"/>
      <c r="I117" s="118"/>
      <c r="J117" s="118"/>
      <c r="K117" s="118"/>
    </row>
    <row r="118" spans="1:11" ht="48" customHeight="1" x14ac:dyDescent="0.25">
      <c r="A118" s="116" t="str">
        <f>IFERROR(MATCH(114,Assessment!$M:$M,0),"")</f>
        <v/>
      </c>
      <c r="B118" s="122" t="str">
        <f>IF($A118="","",INDEX(Assessment!$B:$B,$A118))</f>
        <v/>
      </c>
      <c r="C118" s="122" t="str">
        <f>IF($A118="","",INDEX(Assessment!$D:$D,$A118))</f>
        <v/>
      </c>
      <c r="D118" s="122" t="str">
        <f>IF($A118="","",INDEX(Assessment!$E:$E,$A118))</f>
        <v/>
      </c>
      <c r="E118" s="122" t="str">
        <f>IF($A118="","",INDEX(Assessment!$G:$G,$A118))</f>
        <v/>
      </c>
      <c r="F118" s="122" t="str">
        <f>IF($A118="","",INDEX(Assessment!$H:$H,$A118))</f>
        <v/>
      </c>
      <c r="G118" s="120" t="str">
        <f>IF($A118="","",INDEX(Assessment!$I:$I,$A118))</f>
        <v/>
      </c>
      <c r="H118" s="118"/>
      <c r="I118" s="118"/>
      <c r="J118" s="118"/>
      <c r="K118" s="118"/>
    </row>
    <row r="119" spans="1:11" ht="48" customHeight="1" x14ac:dyDescent="0.25">
      <c r="A119" s="116" t="str">
        <f>IFERROR(MATCH(115,Assessment!$M:$M,0),"")</f>
        <v/>
      </c>
      <c r="B119" s="117" t="str">
        <f>IF($A119="","",INDEX(Assessment!$B:$B,$A119))</f>
        <v/>
      </c>
      <c r="C119" s="117" t="str">
        <f>IF($A119="","",INDEX(Assessment!$D:$D,$A119))</f>
        <v/>
      </c>
      <c r="D119" s="117" t="str">
        <f>IF($A119="","",INDEX(Assessment!$E:$E,$A119))</f>
        <v/>
      </c>
      <c r="E119" s="117" t="str">
        <f>IF($A119="","",INDEX(Assessment!$G:$G,$A119))</f>
        <v/>
      </c>
      <c r="F119" s="117" t="str">
        <f>IF($A119="","",INDEX(Assessment!$H:$H,$A119))</f>
        <v/>
      </c>
      <c r="G119" s="38" t="str">
        <f>IF($A119="","",INDEX(Assessment!$I:$I,$A119))</f>
        <v/>
      </c>
      <c r="H119" s="118"/>
      <c r="I119" s="118"/>
      <c r="J119" s="118"/>
      <c r="K119" s="118"/>
    </row>
    <row r="120" spans="1:11" ht="48" customHeight="1" x14ac:dyDescent="0.25">
      <c r="A120" s="116" t="str">
        <f>IFERROR(MATCH(116,Assessment!$M:$M,0),"")</f>
        <v/>
      </c>
      <c r="B120" s="122" t="str">
        <f>IF($A120="","",INDEX(Assessment!$B:$B,$A120))</f>
        <v/>
      </c>
      <c r="C120" s="122" t="str">
        <f>IF($A120="","",INDEX(Assessment!$D:$D,$A120))</f>
        <v/>
      </c>
      <c r="D120" s="122" t="str">
        <f>IF($A120="","",INDEX(Assessment!$E:$E,$A120))</f>
        <v/>
      </c>
      <c r="E120" s="122" t="str">
        <f>IF($A120="","",INDEX(Assessment!$G:$G,$A120))</f>
        <v/>
      </c>
      <c r="F120" s="122" t="str">
        <f>IF($A120="","",INDEX(Assessment!$H:$H,$A120))</f>
        <v/>
      </c>
      <c r="G120" s="120" t="str">
        <f>IF($A120="","",INDEX(Assessment!$I:$I,$A120))</f>
        <v/>
      </c>
      <c r="H120" s="118"/>
      <c r="I120" s="118"/>
      <c r="J120" s="118"/>
      <c r="K120" s="118"/>
    </row>
    <row r="121" spans="1:11" ht="48" customHeight="1" x14ac:dyDescent="0.25">
      <c r="A121" s="116" t="str">
        <f>IFERROR(MATCH(117,Assessment!$M:$M,0),"")</f>
        <v/>
      </c>
      <c r="B121" s="117" t="str">
        <f>IF($A121="","",INDEX(Assessment!$B:$B,$A121))</f>
        <v/>
      </c>
      <c r="C121" s="117" t="str">
        <f>IF($A121="","",INDEX(Assessment!$D:$D,$A121))</f>
        <v/>
      </c>
      <c r="D121" s="117" t="str">
        <f>IF($A121="","",INDEX(Assessment!$E:$E,$A121))</f>
        <v/>
      </c>
      <c r="E121" s="117" t="str">
        <f>IF($A121="","",INDEX(Assessment!$G:$G,$A121))</f>
        <v/>
      </c>
      <c r="F121" s="117" t="str">
        <f>IF($A121="","",INDEX(Assessment!$H:$H,$A121))</f>
        <v/>
      </c>
      <c r="G121" s="38" t="str">
        <f>IF($A121="","",INDEX(Assessment!$I:$I,$A121))</f>
        <v/>
      </c>
      <c r="H121" s="118"/>
      <c r="I121" s="118"/>
      <c r="J121" s="118"/>
      <c r="K121" s="118"/>
    </row>
    <row r="122" spans="1:11" ht="48" customHeight="1" x14ac:dyDescent="0.25">
      <c r="A122" s="116" t="str">
        <f>IFERROR(MATCH(118,Assessment!$M:$M,0),"")</f>
        <v/>
      </c>
      <c r="B122" s="122" t="str">
        <f>IF($A122="","",INDEX(Assessment!$B:$B,$A122))</f>
        <v/>
      </c>
      <c r="C122" s="122" t="str">
        <f>IF($A122="","",INDEX(Assessment!$D:$D,$A122))</f>
        <v/>
      </c>
      <c r="D122" s="122" t="str">
        <f>IF($A122="","",INDEX(Assessment!$E:$E,$A122))</f>
        <v/>
      </c>
      <c r="E122" s="122" t="str">
        <f>IF($A122="","",INDEX(Assessment!$G:$G,$A122))</f>
        <v/>
      </c>
      <c r="F122" s="122" t="str">
        <f>IF($A122="","",INDEX(Assessment!$H:$H,$A122))</f>
        <v/>
      </c>
      <c r="G122" s="120" t="str">
        <f>IF($A122="","",INDEX(Assessment!$I:$I,$A122))</f>
        <v/>
      </c>
      <c r="H122" s="118"/>
      <c r="I122" s="118"/>
      <c r="J122" s="118"/>
      <c r="K122" s="118"/>
    </row>
    <row r="123" spans="1:11" ht="48" customHeight="1" x14ac:dyDescent="0.25">
      <c r="A123" s="116" t="str">
        <f>IFERROR(MATCH(119,Assessment!$M:$M,0),"")</f>
        <v/>
      </c>
      <c r="B123" s="117" t="str">
        <f>IF($A123="","",INDEX(Assessment!$B:$B,$A123))</f>
        <v/>
      </c>
      <c r="C123" s="117" t="str">
        <f>IF($A123="","",INDEX(Assessment!$D:$D,$A123))</f>
        <v/>
      </c>
      <c r="D123" s="117" t="str">
        <f>IF($A123="","",INDEX(Assessment!$E:$E,$A123))</f>
        <v/>
      </c>
      <c r="E123" s="117" t="str">
        <f>IF($A123="","",INDEX(Assessment!$G:$G,$A123))</f>
        <v/>
      </c>
      <c r="F123" s="117" t="str">
        <f>IF($A123="","",INDEX(Assessment!$H:$H,$A123))</f>
        <v/>
      </c>
      <c r="G123" s="38" t="str">
        <f>IF($A123="","",INDEX(Assessment!$I:$I,$A123))</f>
        <v/>
      </c>
      <c r="H123" s="118"/>
      <c r="I123" s="118"/>
      <c r="J123" s="118"/>
      <c r="K123" s="118"/>
    </row>
    <row r="124" spans="1:11" ht="48" customHeight="1" x14ac:dyDescent="0.25">
      <c r="A124" s="116" t="str">
        <f>IFERROR(MATCH(120,Assessment!$M:$M,0),"")</f>
        <v/>
      </c>
      <c r="B124" s="122" t="str">
        <f>IF($A124="","",INDEX(Assessment!$B:$B,$A124))</f>
        <v/>
      </c>
      <c r="C124" s="122" t="str">
        <f>IF($A124="","",INDEX(Assessment!$D:$D,$A124))</f>
        <v/>
      </c>
      <c r="D124" s="122" t="str">
        <f>IF($A124="","",INDEX(Assessment!$E:$E,$A124))</f>
        <v/>
      </c>
      <c r="E124" s="122" t="str">
        <f>IF($A124="","",INDEX(Assessment!$G:$G,$A124))</f>
        <v/>
      </c>
      <c r="F124" s="122" t="str">
        <f>IF($A124="","",INDEX(Assessment!$H:$H,$A124))</f>
        <v/>
      </c>
      <c r="G124" s="120" t="str">
        <f>IF($A124="","",INDEX(Assessment!$I:$I,$A124))</f>
        <v/>
      </c>
      <c r="H124" s="118"/>
      <c r="I124" s="118"/>
      <c r="J124" s="118"/>
      <c r="K124" s="118"/>
    </row>
    <row r="125" spans="1:11" ht="48" customHeight="1" x14ac:dyDescent="0.25">
      <c r="A125" s="116" t="str">
        <f>IFERROR(MATCH(121,Assessment!$M:$M,0),"")</f>
        <v/>
      </c>
      <c r="B125" s="117" t="str">
        <f>IF($A125="","",INDEX(Assessment!$B:$B,$A125))</f>
        <v/>
      </c>
      <c r="C125" s="117" t="str">
        <f>IF($A125="","",INDEX(Assessment!$D:$D,$A125))</f>
        <v/>
      </c>
      <c r="D125" s="117" t="str">
        <f>IF($A125="","",INDEX(Assessment!$E:$E,$A125))</f>
        <v/>
      </c>
      <c r="E125" s="117" t="str">
        <f>IF($A125="","",INDEX(Assessment!$G:$G,$A125))</f>
        <v/>
      </c>
      <c r="F125" s="117" t="str">
        <f>IF($A125="","",INDEX(Assessment!$H:$H,$A125))</f>
        <v/>
      </c>
      <c r="G125" s="38" t="str">
        <f>IF($A125="","",INDEX(Assessment!$I:$I,$A125))</f>
        <v/>
      </c>
      <c r="H125" s="118"/>
      <c r="I125" s="118"/>
      <c r="J125" s="118"/>
      <c r="K125" s="118"/>
    </row>
    <row r="126" spans="1:11" ht="48" customHeight="1" x14ac:dyDescent="0.25">
      <c r="A126" s="116" t="str">
        <f>IFERROR(MATCH(122,Assessment!$M:$M,0),"")</f>
        <v/>
      </c>
      <c r="B126" s="122" t="str">
        <f>IF($A126="","",INDEX(Assessment!$B:$B,$A126))</f>
        <v/>
      </c>
      <c r="C126" s="122" t="str">
        <f>IF($A126="","",INDEX(Assessment!$D:$D,$A126))</f>
        <v/>
      </c>
      <c r="D126" s="122" t="str">
        <f>IF($A126="","",INDEX(Assessment!$E:$E,$A126))</f>
        <v/>
      </c>
      <c r="E126" s="122" t="str">
        <f>IF($A126="","",INDEX(Assessment!$G:$G,$A126))</f>
        <v/>
      </c>
      <c r="F126" s="122" t="str">
        <f>IF($A126="","",INDEX(Assessment!$H:$H,$A126))</f>
        <v/>
      </c>
      <c r="G126" s="120" t="str">
        <f>IF($A126="","",INDEX(Assessment!$I:$I,$A126))</f>
        <v/>
      </c>
      <c r="H126" s="118"/>
      <c r="I126" s="118"/>
      <c r="J126" s="118"/>
      <c r="K126" s="118"/>
    </row>
    <row r="127" spans="1:11" ht="48" customHeight="1" x14ac:dyDescent="0.25">
      <c r="A127" s="116" t="str">
        <f>IFERROR(MATCH(123,Assessment!$M:$M,0),"")</f>
        <v/>
      </c>
      <c r="B127" s="117" t="str">
        <f>IF($A127="","",INDEX(Assessment!$B:$B,$A127))</f>
        <v/>
      </c>
      <c r="C127" s="117" t="str">
        <f>IF($A127="","",INDEX(Assessment!$D:$D,$A127))</f>
        <v/>
      </c>
      <c r="D127" s="117" t="str">
        <f>IF($A127="","",INDEX(Assessment!$E:$E,$A127))</f>
        <v/>
      </c>
      <c r="E127" s="117" t="str">
        <f>IF($A127="","",INDEX(Assessment!$G:$G,$A127))</f>
        <v/>
      </c>
      <c r="F127" s="117" t="str">
        <f>IF($A127="","",INDEX(Assessment!$H:$H,$A127))</f>
        <v/>
      </c>
      <c r="G127" s="38" t="str">
        <f>IF($A127="","",INDEX(Assessment!$I:$I,$A127))</f>
        <v/>
      </c>
      <c r="H127" s="118"/>
      <c r="I127" s="118"/>
      <c r="J127" s="118"/>
      <c r="K127" s="118"/>
    </row>
    <row r="128" spans="1:11" ht="48" customHeight="1" x14ac:dyDescent="0.25">
      <c r="A128" s="116" t="str">
        <f>IFERROR(MATCH(124,Assessment!$M:$M,0),"")</f>
        <v/>
      </c>
      <c r="B128" s="122" t="str">
        <f>IF($A128="","",INDEX(Assessment!$B:$B,$A128))</f>
        <v/>
      </c>
      <c r="C128" s="122" t="str">
        <f>IF($A128="","",INDEX(Assessment!$D:$D,$A128))</f>
        <v/>
      </c>
      <c r="D128" s="122" t="str">
        <f>IF($A128="","",INDEX(Assessment!$E:$E,$A128))</f>
        <v/>
      </c>
      <c r="E128" s="122" t="str">
        <f>IF($A128="","",INDEX(Assessment!$G:$G,$A128))</f>
        <v/>
      </c>
      <c r="F128" s="122" t="str">
        <f>IF($A128="","",INDEX(Assessment!$H:$H,$A128))</f>
        <v/>
      </c>
      <c r="G128" s="120" t="str">
        <f>IF($A128="","",INDEX(Assessment!$I:$I,$A128))</f>
        <v/>
      </c>
      <c r="H128" s="118"/>
      <c r="I128" s="118"/>
      <c r="J128" s="118"/>
      <c r="K128" s="118"/>
    </row>
    <row r="129" spans="1:11" ht="48" customHeight="1" x14ac:dyDescent="0.25">
      <c r="A129" s="116" t="str">
        <f>IFERROR(MATCH(125,Assessment!$M:$M,0),"")</f>
        <v/>
      </c>
      <c r="B129" s="117" t="str">
        <f>IF($A129="","",INDEX(Assessment!$B:$B,$A129))</f>
        <v/>
      </c>
      <c r="C129" s="117" t="str">
        <f>IF($A129="","",INDEX(Assessment!$D:$D,$A129))</f>
        <v/>
      </c>
      <c r="D129" s="117" t="str">
        <f>IF($A129="","",INDEX(Assessment!$E:$E,$A129))</f>
        <v/>
      </c>
      <c r="E129" s="117" t="str">
        <f>IF($A129="","",INDEX(Assessment!$G:$G,$A129))</f>
        <v/>
      </c>
      <c r="F129" s="117" t="str">
        <f>IF($A129="","",INDEX(Assessment!$H:$H,$A129))</f>
        <v/>
      </c>
      <c r="G129" s="38" t="str">
        <f>IF($A129="","",INDEX(Assessment!$I:$I,$A129))</f>
        <v/>
      </c>
      <c r="H129" s="118"/>
      <c r="I129" s="118"/>
      <c r="J129" s="118"/>
      <c r="K129" s="118"/>
    </row>
    <row r="130" spans="1:11" ht="48" customHeight="1" x14ac:dyDescent="0.25">
      <c r="A130" s="116" t="str">
        <f>IFERROR(MATCH(126,Assessment!$M:$M,0),"")</f>
        <v/>
      </c>
      <c r="B130" s="122" t="str">
        <f>IF($A130="","",INDEX(Assessment!$B:$B,$A130))</f>
        <v/>
      </c>
      <c r="C130" s="122" t="str">
        <f>IF($A130="","",INDEX(Assessment!$D:$D,$A130))</f>
        <v/>
      </c>
      <c r="D130" s="122" t="str">
        <f>IF($A130="","",INDEX(Assessment!$E:$E,$A130))</f>
        <v/>
      </c>
      <c r="E130" s="122" t="str">
        <f>IF($A130="","",INDEX(Assessment!$G:$G,$A130))</f>
        <v/>
      </c>
      <c r="F130" s="122" t="str">
        <f>IF($A130="","",INDEX(Assessment!$H:$H,$A130))</f>
        <v/>
      </c>
      <c r="G130" s="120" t="str">
        <f>IF($A130="","",INDEX(Assessment!$I:$I,$A130))</f>
        <v/>
      </c>
      <c r="H130" s="118"/>
      <c r="I130" s="118"/>
      <c r="J130" s="118"/>
      <c r="K130" s="118"/>
    </row>
    <row r="131" spans="1:11" ht="48" customHeight="1" x14ac:dyDescent="0.25">
      <c r="A131" s="116" t="str">
        <f>IFERROR(MATCH(127,Assessment!$M:$M,0),"")</f>
        <v/>
      </c>
      <c r="B131" s="117" t="str">
        <f>IF($A131="","",INDEX(Assessment!$B:$B,$A131))</f>
        <v/>
      </c>
      <c r="C131" s="117" t="str">
        <f>IF($A131="","",INDEX(Assessment!$D:$D,$A131))</f>
        <v/>
      </c>
      <c r="D131" s="117" t="str">
        <f>IF($A131="","",INDEX(Assessment!$E:$E,$A131))</f>
        <v/>
      </c>
      <c r="E131" s="117" t="str">
        <f>IF($A131="","",INDEX(Assessment!$G:$G,$A131))</f>
        <v/>
      </c>
      <c r="F131" s="117" t="str">
        <f>IF($A131="","",INDEX(Assessment!$H:$H,$A131))</f>
        <v/>
      </c>
      <c r="G131" s="38" t="str">
        <f>IF($A131="","",INDEX(Assessment!$I:$I,$A131))</f>
        <v/>
      </c>
      <c r="H131" s="118"/>
      <c r="I131" s="118"/>
      <c r="J131" s="118"/>
      <c r="K131" s="118"/>
    </row>
    <row r="132" spans="1:11" ht="48" customHeight="1" x14ac:dyDescent="0.25">
      <c r="A132" s="116" t="str">
        <f>IFERROR(MATCH(128,Assessment!$M:$M,0),"")</f>
        <v/>
      </c>
      <c r="B132" s="122" t="str">
        <f>IF($A132="","",INDEX(Assessment!$B:$B,$A132))</f>
        <v/>
      </c>
      <c r="C132" s="122" t="str">
        <f>IF($A132="","",INDEX(Assessment!$D:$D,$A132))</f>
        <v/>
      </c>
      <c r="D132" s="122" t="str">
        <f>IF($A132="","",INDEX(Assessment!$E:$E,$A132))</f>
        <v/>
      </c>
      <c r="E132" s="122" t="str">
        <f>IF($A132="","",INDEX(Assessment!$G:$G,$A132))</f>
        <v/>
      </c>
      <c r="F132" s="122" t="str">
        <f>IF($A132="","",INDEX(Assessment!$H:$H,$A132))</f>
        <v/>
      </c>
      <c r="G132" s="120" t="str">
        <f>IF($A132="","",INDEX(Assessment!$I:$I,$A132))</f>
        <v/>
      </c>
      <c r="H132" s="118"/>
      <c r="I132" s="118"/>
      <c r="J132" s="118"/>
      <c r="K132" s="118"/>
    </row>
    <row r="133" spans="1:11" ht="48" customHeight="1" x14ac:dyDescent="0.25">
      <c r="A133" s="116" t="str">
        <f>IFERROR(MATCH(129,Assessment!$M:$M,0),"")</f>
        <v/>
      </c>
      <c r="B133" s="117" t="str">
        <f>IF($A133="","",INDEX(Assessment!$B:$B,$A133))</f>
        <v/>
      </c>
      <c r="C133" s="117" t="str">
        <f>IF($A133="","",INDEX(Assessment!$D:$D,$A133))</f>
        <v/>
      </c>
      <c r="D133" s="117" t="str">
        <f>IF($A133="","",INDEX(Assessment!$E:$E,$A133))</f>
        <v/>
      </c>
      <c r="E133" s="117" t="str">
        <f>IF($A133="","",INDEX(Assessment!$G:$G,$A133))</f>
        <v/>
      </c>
      <c r="F133" s="117" t="str">
        <f>IF($A133="","",INDEX(Assessment!$H:$H,$A133))</f>
        <v/>
      </c>
      <c r="G133" s="38" t="str">
        <f>IF($A133="","",INDEX(Assessment!$I:$I,$A133))</f>
        <v/>
      </c>
      <c r="H133" s="118"/>
      <c r="I133" s="118"/>
      <c r="J133" s="118"/>
      <c r="K133" s="118"/>
    </row>
    <row r="134" spans="1:11" ht="48" customHeight="1" x14ac:dyDescent="0.25">
      <c r="A134" s="116" t="str">
        <f>IFERROR(MATCH(130,Assessment!$M:$M,0),"")</f>
        <v/>
      </c>
      <c r="B134" s="122" t="str">
        <f>IF($A134="","",INDEX(Assessment!$B:$B,$A134))</f>
        <v/>
      </c>
      <c r="C134" s="122" t="str">
        <f>IF($A134="","",INDEX(Assessment!$D:$D,$A134))</f>
        <v/>
      </c>
      <c r="D134" s="122" t="str">
        <f>IF($A134="","",INDEX(Assessment!$E:$E,$A134))</f>
        <v/>
      </c>
      <c r="E134" s="122" t="str">
        <f>IF($A134="","",INDEX(Assessment!$G:$G,$A134))</f>
        <v/>
      </c>
      <c r="F134" s="122" t="str">
        <f>IF($A134="","",INDEX(Assessment!$H:$H,$A134))</f>
        <v/>
      </c>
      <c r="G134" s="120" t="str">
        <f>IF($A134="","",INDEX(Assessment!$I:$I,$A134))</f>
        <v/>
      </c>
      <c r="H134" s="118"/>
      <c r="I134" s="118"/>
      <c r="J134" s="118"/>
      <c r="K134" s="118"/>
    </row>
    <row r="135" spans="1:11" ht="48" customHeight="1" x14ac:dyDescent="0.25">
      <c r="A135" s="116" t="str">
        <f>IFERROR(MATCH(131,Assessment!$M:$M,0),"")</f>
        <v/>
      </c>
      <c r="B135" s="117" t="str">
        <f>IF($A135="","",INDEX(Assessment!$B:$B,$A135))</f>
        <v/>
      </c>
      <c r="C135" s="117" t="str">
        <f>IF($A135="","",INDEX(Assessment!$D:$D,$A135))</f>
        <v/>
      </c>
      <c r="D135" s="117" t="str">
        <f>IF($A135="","",INDEX(Assessment!$E:$E,$A135))</f>
        <v/>
      </c>
      <c r="E135" s="117" t="str">
        <f>IF($A135="","",INDEX(Assessment!$G:$G,$A135))</f>
        <v/>
      </c>
      <c r="F135" s="117" t="str">
        <f>IF($A135="","",INDEX(Assessment!$H:$H,$A135))</f>
        <v/>
      </c>
      <c r="G135" s="38" t="str">
        <f>IF($A135="","",INDEX(Assessment!$I:$I,$A135))</f>
        <v/>
      </c>
      <c r="H135" s="118"/>
      <c r="I135" s="118"/>
      <c r="J135" s="118"/>
      <c r="K135" s="118"/>
    </row>
    <row r="136" spans="1:11" ht="48" customHeight="1" x14ac:dyDescent="0.25">
      <c r="A136" s="116" t="str">
        <f>IFERROR(MATCH(132,Assessment!$M:$M,0),"")</f>
        <v/>
      </c>
      <c r="B136" s="122" t="str">
        <f>IF($A136="","",INDEX(Assessment!$B:$B,$A136))</f>
        <v/>
      </c>
      <c r="C136" s="122" t="str">
        <f>IF($A136="","",INDEX(Assessment!$D:$D,$A136))</f>
        <v/>
      </c>
      <c r="D136" s="122" t="str">
        <f>IF($A136="","",INDEX(Assessment!$E:$E,$A136))</f>
        <v/>
      </c>
      <c r="E136" s="122" t="str">
        <f>IF($A136="","",INDEX(Assessment!$G:$G,$A136))</f>
        <v/>
      </c>
      <c r="F136" s="122" t="str">
        <f>IF($A136="","",INDEX(Assessment!$H:$H,$A136))</f>
        <v/>
      </c>
      <c r="G136" s="120" t="str">
        <f>IF($A136="","",INDEX(Assessment!$I:$I,$A136))</f>
        <v/>
      </c>
      <c r="H136" s="118"/>
      <c r="I136" s="118"/>
      <c r="J136" s="118"/>
      <c r="K136" s="118"/>
    </row>
    <row r="137" spans="1:11" ht="48" customHeight="1" x14ac:dyDescent="0.25">
      <c r="A137" s="116" t="str">
        <f>IFERROR(MATCH(133,Assessment!$M:$M,0),"")</f>
        <v/>
      </c>
      <c r="B137" s="117" t="str">
        <f>IF($A137="","",INDEX(Assessment!$B:$B,$A137))</f>
        <v/>
      </c>
      <c r="C137" s="117" t="str">
        <f>IF($A137="","",INDEX(Assessment!$D:$D,$A137))</f>
        <v/>
      </c>
      <c r="D137" s="117" t="str">
        <f>IF($A137="","",INDEX(Assessment!$E:$E,$A137))</f>
        <v/>
      </c>
      <c r="E137" s="117" t="str">
        <f>IF($A137="","",INDEX(Assessment!$G:$G,$A137))</f>
        <v/>
      </c>
      <c r="F137" s="117" t="str">
        <f>IF($A137="","",INDEX(Assessment!$H:$H,$A137))</f>
        <v/>
      </c>
      <c r="G137" s="38" t="str">
        <f>IF($A137="","",INDEX(Assessment!$I:$I,$A137))</f>
        <v/>
      </c>
      <c r="H137" s="118"/>
      <c r="I137" s="118"/>
      <c r="J137" s="118"/>
      <c r="K137" s="118"/>
    </row>
    <row r="138" spans="1:11" ht="48" customHeight="1" x14ac:dyDescent="0.25">
      <c r="A138" s="116" t="str">
        <f>IFERROR(MATCH(134,Assessment!$M:$M,0),"")</f>
        <v/>
      </c>
      <c r="B138" s="122" t="str">
        <f>IF($A138="","",INDEX(Assessment!$B:$B,$A138))</f>
        <v/>
      </c>
      <c r="C138" s="122" t="str">
        <f>IF($A138="","",INDEX(Assessment!$D:$D,$A138))</f>
        <v/>
      </c>
      <c r="D138" s="122" t="str">
        <f>IF($A138="","",INDEX(Assessment!$E:$E,$A138))</f>
        <v/>
      </c>
      <c r="E138" s="122" t="str">
        <f>IF($A138="","",INDEX(Assessment!$G:$G,$A138))</f>
        <v/>
      </c>
      <c r="F138" s="122" t="str">
        <f>IF($A138="","",INDEX(Assessment!$H:$H,$A138))</f>
        <v/>
      </c>
      <c r="G138" s="120" t="str">
        <f>IF($A138="","",INDEX(Assessment!$I:$I,$A138))</f>
        <v/>
      </c>
      <c r="H138" s="118"/>
      <c r="I138" s="118"/>
      <c r="J138" s="118"/>
      <c r="K138" s="118"/>
    </row>
    <row r="139" spans="1:11" ht="48" customHeight="1" x14ac:dyDescent="0.25">
      <c r="A139" s="116" t="str">
        <f>IFERROR(MATCH(135,Assessment!$M:$M,0),"")</f>
        <v/>
      </c>
      <c r="B139" s="117" t="str">
        <f>IF($A139="","",INDEX(Assessment!$B:$B,$A139))</f>
        <v/>
      </c>
      <c r="C139" s="117" t="str">
        <f>IF($A139="","",INDEX(Assessment!$D:$D,$A139))</f>
        <v/>
      </c>
      <c r="D139" s="117" t="str">
        <f>IF($A139="","",INDEX(Assessment!$E:$E,$A139))</f>
        <v/>
      </c>
      <c r="E139" s="117" t="str">
        <f>IF($A139="","",INDEX(Assessment!$G:$G,$A139))</f>
        <v/>
      </c>
      <c r="F139" s="117" t="str">
        <f>IF($A139="","",INDEX(Assessment!$H:$H,$A139))</f>
        <v/>
      </c>
      <c r="G139" s="38" t="str">
        <f>IF($A139="","",INDEX(Assessment!$I:$I,$A139))</f>
        <v/>
      </c>
      <c r="H139" s="118"/>
      <c r="I139" s="118"/>
      <c r="J139" s="118"/>
      <c r="K139" s="118"/>
    </row>
    <row r="140" spans="1:11" ht="48" customHeight="1" x14ac:dyDescent="0.25">
      <c r="A140" s="116" t="str">
        <f>IFERROR(MATCH(136,Assessment!$M:$M,0),"")</f>
        <v/>
      </c>
      <c r="B140" s="122" t="str">
        <f>IF($A140="","",INDEX(Assessment!$B:$B,$A140))</f>
        <v/>
      </c>
      <c r="C140" s="122" t="str">
        <f>IF($A140="","",INDEX(Assessment!$D:$D,$A140))</f>
        <v/>
      </c>
      <c r="D140" s="122" t="str">
        <f>IF($A140="","",INDEX(Assessment!$E:$E,$A140))</f>
        <v/>
      </c>
      <c r="E140" s="122" t="str">
        <f>IF($A140="","",INDEX(Assessment!$G:$G,$A140))</f>
        <v/>
      </c>
      <c r="F140" s="122" t="str">
        <f>IF($A140="","",INDEX(Assessment!$H:$H,$A140))</f>
        <v/>
      </c>
      <c r="G140" s="120" t="str">
        <f>IF($A140="","",INDEX(Assessment!$I:$I,$A140))</f>
        <v/>
      </c>
      <c r="H140" s="118"/>
      <c r="I140" s="118"/>
      <c r="J140" s="118"/>
      <c r="K140" s="118"/>
    </row>
    <row r="141" spans="1:11" ht="48" customHeight="1" x14ac:dyDescent="0.25">
      <c r="A141" s="116" t="str">
        <f>IFERROR(MATCH(137,Assessment!$M:$M,0),"")</f>
        <v/>
      </c>
      <c r="B141" s="117" t="str">
        <f>IF($A141="","",INDEX(Assessment!$B:$B,$A141))</f>
        <v/>
      </c>
      <c r="C141" s="117" t="str">
        <f>IF($A141="","",INDEX(Assessment!$D:$D,$A141))</f>
        <v/>
      </c>
      <c r="D141" s="117" t="str">
        <f>IF($A141="","",INDEX(Assessment!$E:$E,$A141))</f>
        <v/>
      </c>
      <c r="E141" s="117" t="str">
        <f>IF($A141="","",INDEX(Assessment!$G:$G,$A141))</f>
        <v/>
      </c>
      <c r="F141" s="117" t="str">
        <f>IF($A141="","",INDEX(Assessment!$H:$H,$A141))</f>
        <v/>
      </c>
      <c r="G141" s="38" t="str">
        <f>IF($A141="","",INDEX(Assessment!$I:$I,$A141))</f>
        <v/>
      </c>
      <c r="H141" s="118"/>
      <c r="I141" s="118"/>
      <c r="J141" s="118"/>
      <c r="K141" s="118"/>
    </row>
    <row r="142" spans="1:11" ht="48" customHeight="1" x14ac:dyDescent="0.25">
      <c r="A142" s="116" t="str">
        <f>IFERROR(MATCH(138,Assessment!$M:$M,0),"")</f>
        <v/>
      </c>
      <c r="B142" s="122" t="str">
        <f>IF($A142="","",INDEX(Assessment!$B:$B,$A142))</f>
        <v/>
      </c>
      <c r="C142" s="122" t="str">
        <f>IF($A142="","",INDEX(Assessment!$D:$D,$A142))</f>
        <v/>
      </c>
      <c r="D142" s="122" t="str">
        <f>IF($A142="","",INDEX(Assessment!$E:$E,$A142))</f>
        <v/>
      </c>
      <c r="E142" s="122" t="str">
        <f>IF($A142="","",INDEX(Assessment!$G:$G,$A142))</f>
        <v/>
      </c>
      <c r="F142" s="122" t="str">
        <f>IF($A142="","",INDEX(Assessment!$H:$H,$A142))</f>
        <v/>
      </c>
      <c r="G142" s="120" t="str">
        <f>IF($A142="","",INDEX(Assessment!$I:$I,$A142))</f>
        <v/>
      </c>
      <c r="H142" s="118"/>
      <c r="I142" s="118"/>
      <c r="J142" s="118"/>
      <c r="K142" s="118"/>
    </row>
    <row r="143" spans="1:11" ht="48" customHeight="1" x14ac:dyDescent="0.25">
      <c r="A143" s="116" t="str">
        <f>IFERROR(MATCH(139,Assessment!$M:$M,0),"")</f>
        <v/>
      </c>
      <c r="B143" s="117" t="str">
        <f>IF($A143="","",INDEX(Assessment!$B:$B,$A143))</f>
        <v/>
      </c>
      <c r="C143" s="117" t="str">
        <f>IF($A143="","",INDEX(Assessment!$D:$D,$A143))</f>
        <v/>
      </c>
      <c r="D143" s="117" t="str">
        <f>IF($A143="","",INDEX(Assessment!$E:$E,$A143))</f>
        <v/>
      </c>
      <c r="E143" s="117" t="str">
        <f>IF($A143="","",INDEX(Assessment!$G:$G,$A143))</f>
        <v/>
      </c>
      <c r="F143" s="117" t="str">
        <f>IF($A143="","",INDEX(Assessment!$H:$H,$A143))</f>
        <v/>
      </c>
      <c r="G143" s="38" t="str">
        <f>IF($A143="","",INDEX(Assessment!$I:$I,$A143))</f>
        <v/>
      </c>
      <c r="H143" s="118"/>
      <c r="I143" s="118"/>
      <c r="J143" s="118"/>
      <c r="K143" s="118"/>
    </row>
    <row r="144" spans="1:11" ht="48" customHeight="1" x14ac:dyDescent="0.25">
      <c r="A144" s="116" t="str">
        <f>IFERROR(MATCH(140,Assessment!$M:$M,0),"")</f>
        <v/>
      </c>
      <c r="B144" s="122" t="str">
        <f>IF($A144="","",INDEX(Assessment!$B:$B,$A144))</f>
        <v/>
      </c>
      <c r="C144" s="122" t="str">
        <f>IF($A144="","",INDEX(Assessment!$D:$D,$A144))</f>
        <v/>
      </c>
      <c r="D144" s="122" t="str">
        <f>IF($A144="","",INDEX(Assessment!$E:$E,$A144))</f>
        <v/>
      </c>
      <c r="E144" s="122" t="str">
        <f>IF($A144="","",INDEX(Assessment!$G:$G,$A144))</f>
        <v/>
      </c>
      <c r="F144" s="122" t="str">
        <f>IF($A144="","",INDEX(Assessment!$H:$H,$A144))</f>
        <v/>
      </c>
      <c r="G144" s="120" t="str">
        <f>IF($A144="","",INDEX(Assessment!$I:$I,$A144))</f>
        <v/>
      </c>
      <c r="H144" s="118"/>
      <c r="I144" s="118"/>
      <c r="J144" s="118"/>
      <c r="K144" s="118"/>
    </row>
    <row r="145" spans="1:11" ht="48" customHeight="1" x14ac:dyDescent="0.25">
      <c r="A145" s="116" t="str">
        <f>IFERROR(MATCH(141,Assessment!$M:$M,0),"")</f>
        <v/>
      </c>
      <c r="B145" s="117" t="str">
        <f>IF($A145="","",INDEX(Assessment!$B:$B,$A145))</f>
        <v/>
      </c>
      <c r="C145" s="117" t="str">
        <f>IF($A145="","",INDEX(Assessment!$D:$D,$A145))</f>
        <v/>
      </c>
      <c r="D145" s="117" t="str">
        <f>IF($A145="","",INDEX(Assessment!$E:$E,$A145))</f>
        <v/>
      </c>
      <c r="E145" s="117" t="str">
        <f>IF($A145="","",INDEX(Assessment!$G:$G,$A145))</f>
        <v/>
      </c>
      <c r="F145" s="117" t="str">
        <f>IF($A145="","",INDEX(Assessment!$H:$H,$A145))</f>
        <v/>
      </c>
      <c r="G145" s="38" t="str">
        <f>IF($A145="","",INDEX(Assessment!$I:$I,$A145))</f>
        <v/>
      </c>
      <c r="H145" s="118"/>
      <c r="I145" s="118"/>
      <c r="J145" s="118"/>
      <c r="K145" s="118"/>
    </row>
    <row r="146" spans="1:11" ht="48" customHeight="1" x14ac:dyDescent="0.25">
      <c r="A146" s="116" t="str">
        <f>IFERROR(MATCH(142,Assessment!$M:$M,0),"")</f>
        <v/>
      </c>
      <c r="B146" s="122" t="str">
        <f>IF($A146="","",INDEX(Assessment!$B:$B,$A146))</f>
        <v/>
      </c>
      <c r="C146" s="122" t="str">
        <f>IF($A146="","",INDEX(Assessment!$D:$D,$A146))</f>
        <v/>
      </c>
      <c r="D146" s="122" t="str">
        <f>IF($A146="","",INDEX(Assessment!$E:$E,$A146))</f>
        <v/>
      </c>
      <c r="E146" s="122" t="str">
        <f>IF($A146="","",INDEX(Assessment!$G:$G,$A146))</f>
        <v/>
      </c>
      <c r="F146" s="122" t="str">
        <f>IF($A146="","",INDEX(Assessment!$H:$H,$A146))</f>
        <v/>
      </c>
      <c r="G146" s="120" t="str">
        <f>IF($A146="","",INDEX(Assessment!$I:$I,$A146))</f>
        <v/>
      </c>
      <c r="H146" s="118"/>
      <c r="I146" s="118"/>
      <c r="J146" s="118"/>
      <c r="K146" s="118"/>
    </row>
    <row r="147" spans="1:11" ht="48" customHeight="1" x14ac:dyDescent="0.25">
      <c r="A147" s="116" t="str">
        <f>IFERROR(MATCH(143,Assessment!$M:$M,0),"")</f>
        <v/>
      </c>
      <c r="B147" s="117" t="str">
        <f>IF($A147="","",INDEX(Assessment!$B:$B,$A147))</f>
        <v/>
      </c>
      <c r="C147" s="117" t="str">
        <f>IF($A147="","",INDEX(Assessment!$D:$D,$A147))</f>
        <v/>
      </c>
      <c r="D147" s="117" t="str">
        <f>IF($A147="","",INDEX(Assessment!$E:$E,$A147))</f>
        <v/>
      </c>
      <c r="E147" s="117" t="str">
        <f>IF($A147="","",INDEX(Assessment!$G:$G,$A147))</f>
        <v/>
      </c>
      <c r="F147" s="117" t="str">
        <f>IF($A147="","",INDEX(Assessment!$H:$H,$A147))</f>
        <v/>
      </c>
      <c r="G147" s="38" t="str">
        <f>IF($A147="","",INDEX(Assessment!$I:$I,$A147))</f>
        <v/>
      </c>
      <c r="H147" s="118"/>
      <c r="I147" s="118"/>
      <c r="J147" s="118"/>
      <c r="K147" s="118"/>
    </row>
    <row r="148" spans="1:11" ht="48" customHeight="1" x14ac:dyDescent="0.25">
      <c r="A148" s="116" t="str">
        <f>IFERROR(MATCH(144,Assessment!$M:$M,0),"")</f>
        <v/>
      </c>
      <c r="B148" s="122" t="str">
        <f>IF($A148="","",INDEX(Assessment!$B:$B,$A148))</f>
        <v/>
      </c>
      <c r="C148" s="122" t="str">
        <f>IF($A148="","",INDEX(Assessment!$D:$D,$A148))</f>
        <v/>
      </c>
      <c r="D148" s="122" t="str">
        <f>IF($A148="","",INDEX(Assessment!$E:$E,$A148))</f>
        <v/>
      </c>
      <c r="E148" s="122" t="str">
        <f>IF($A148="","",INDEX(Assessment!$G:$G,$A148))</f>
        <v/>
      </c>
      <c r="F148" s="122" t="str">
        <f>IF($A148="","",INDEX(Assessment!$H:$H,$A148))</f>
        <v/>
      </c>
      <c r="G148" s="120" t="str">
        <f>IF($A148="","",INDEX(Assessment!$I:$I,$A148))</f>
        <v/>
      </c>
      <c r="H148" s="118"/>
      <c r="I148" s="118"/>
      <c r="J148" s="118"/>
      <c r="K148" s="118"/>
    </row>
    <row r="149" spans="1:11" ht="48" customHeight="1" x14ac:dyDescent="0.25">
      <c r="A149" s="116" t="str">
        <f>IFERROR(MATCH(145,Assessment!$M:$M,0),"")</f>
        <v/>
      </c>
      <c r="B149" s="117" t="str">
        <f>IF($A149="","",INDEX(Assessment!$B:$B,$A149))</f>
        <v/>
      </c>
      <c r="C149" s="117" t="str">
        <f>IF($A149="","",INDEX(Assessment!$D:$D,$A149))</f>
        <v/>
      </c>
      <c r="D149" s="117" t="str">
        <f>IF($A149="","",INDEX(Assessment!$E:$E,$A149))</f>
        <v/>
      </c>
      <c r="E149" s="117" t="str">
        <f>IF($A149="","",INDEX(Assessment!$G:$G,$A149))</f>
        <v/>
      </c>
      <c r="F149" s="117" t="str">
        <f>IF($A149="","",INDEX(Assessment!$H:$H,$A149))</f>
        <v/>
      </c>
      <c r="G149" s="38" t="str">
        <f>IF($A149="","",INDEX(Assessment!$I:$I,$A149))</f>
        <v/>
      </c>
      <c r="H149" s="118"/>
      <c r="I149" s="118"/>
      <c r="J149" s="118"/>
      <c r="K149" s="118"/>
    </row>
    <row r="150" spans="1:11" ht="48" customHeight="1" x14ac:dyDescent="0.25">
      <c r="A150" s="116" t="str">
        <f>IFERROR(MATCH(146,Assessment!$M:$M,0),"")</f>
        <v/>
      </c>
      <c r="B150" s="122" t="str">
        <f>IF($A150="","",INDEX(Assessment!$B:$B,$A150))</f>
        <v/>
      </c>
      <c r="C150" s="122" t="str">
        <f>IF($A150="","",INDEX(Assessment!$D:$D,$A150))</f>
        <v/>
      </c>
      <c r="D150" s="122" t="str">
        <f>IF($A150="","",INDEX(Assessment!$E:$E,$A150))</f>
        <v/>
      </c>
      <c r="E150" s="122" t="str">
        <f>IF($A150="","",INDEX(Assessment!$G:$G,$A150))</f>
        <v/>
      </c>
      <c r="F150" s="122" t="str">
        <f>IF($A150="","",INDEX(Assessment!$H:$H,$A150))</f>
        <v/>
      </c>
      <c r="G150" s="120" t="str">
        <f>IF($A150="","",INDEX(Assessment!$I:$I,$A150))</f>
        <v/>
      </c>
      <c r="H150" s="118"/>
      <c r="I150" s="118"/>
      <c r="J150" s="118"/>
      <c r="K150" s="118"/>
    </row>
    <row r="151" spans="1:11" ht="48" customHeight="1" x14ac:dyDescent="0.25">
      <c r="A151" s="116" t="str">
        <f>IFERROR(MATCH(147,Assessment!$M:$M,0),"")</f>
        <v/>
      </c>
      <c r="B151" s="117" t="str">
        <f>IF($A151="","",INDEX(Assessment!$B:$B,$A151))</f>
        <v/>
      </c>
      <c r="C151" s="117" t="str">
        <f>IF($A151="","",INDEX(Assessment!$D:$D,$A151))</f>
        <v/>
      </c>
      <c r="D151" s="117" t="str">
        <f>IF($A151="","",INDEX(Assessment!$E:$E,$A151))</f>
        <v/>
      </c>
      <c r="E151" s="117" t="str">
        <f>IF($A151="","",INDEX(Assessment!$G:$G,$A151))</f>
        <v/>
      </c>
      <c r="F151" s="117" t="str">
        <f>IF($A151="","",INDEX(Assessment!$H:$H,$A151))</f>
        <v/>
      </c>
      <c r="G151" s="38" t="str">
        <f>IF($A151="","",INDEX(Assessment!$I:$I,$A151))</f>
        <v/>
      </c>
      <c r="H151" s="118"/>
      <c r="I151" s="118"/>
      <c r="J151" s="118"/>
      <c r="K151" s="118"/>
    </row>
    <row r="152" spans="1:11" ht="48" customHeight="1" x14ac:dyDescent="0.25">
      <c r="A152" s="116" t="str">
        <f>IFERROR(MATCH(148,Assessment!$M:$M,0),"")</f>
        <v/>
      </c>
      <c r="B152" s="122" t="str">
        <f>IF($A152="","",INDEX(Assessment!$B:$B,$A152))</f>
        <v/>
      </c>
      <c r="C152" s="122" t="str">
        <f>IF($A152="","",INDEX(Assessment!$D:$D,$A152))</f>
        <v/>
      </c>
      <c r="D152" s="122" t="str">
        <f>IF($A152="","",INDEX(Assessment!$E:$E,$A152))</f>
        <v/>
      </c>
      <c r="E152" s="122" t="str">
        <f>IF($A152="","",INDEX(Assessment!$G:$G,$A152))</f>
        <v/>
      </c>
      <c r="F152" s="122" t="str">
        <f>IF($A152="","",INDEX(Assessment!$H:$H,$A152))</f>
        <v/>
      </c>
      <c r="G152" s="120" t="str">
        <f>IF($A152="","",INDEX(Assessment!$I:$I,$A152))</f>
        <v/>
      </c>
      <c r="H152" s="118"/>
      <c r="I152" s="118"/>
      <c r="J152" s="118"/>
      <c r="K152" s="118"/>
    </row>
    <row r="153" spans="1:11" ht="48" customHeight="1" x14ac:dyDescent="0.25">
      <c r="A153" s="116" t="str">
        <f>IFERROR(MATCH(149,Assessment!$M:$M,0),"")</f>
        <v/>
      </c>
      <c r="B153" s="117" t="str">
        <f>IF($A153="","",INDEX(Assessment!$B:$B,$A153))</f>
        <v/>
      </c>
      <c r="C153" s="117" t="str">
        <f>IF($A153="","",INDEX(Assessment!$D:$D,$A153))</f>
        <v/>
      </c>
      <c r="D153" s="117" t="str">
        <f>IF($A153="","",INDEX(Assessment!$E:$E,$A153))</f>
        <v/>
      </c>
      <c r="E153" s="117" t="str">
        <f>IF($A153="","",INDEX(Assessment!$G:$G,$A153))</f>
        <v/>
      </c>
      <c r="F153" s="117" t="str">
        <f>IF($A153="","",INDEX(Assessment!$H:$H,$A153))</f>
        <v/>
      </c>
      <c r="G153" s="38" t="str">
        <f>IF($A153="","",INDEX(Assessment!$I:$I,$A153))</f>
        <v/>
      </c>
      <c r="H153" s="118"/>
      <c r="I153" s="118"/>
      <c r="J153" s="118"/>
      <c r="K153" s="118"/>
    </row>
    <row r="154" spans="1:11" ht="48" customHeight="1" x14ac:dyDescent="0.25">
      <c r="A154" s="116" t="str">
        <f>IFERROR(MATCH(150,Assessment!$M:$M,0),"")</f>
        <v/>
      </c>
      <c r="B154" s="122" t="str">
        <f>IF($A154="","",INDEX(Assessment!$B:$B,$A154))</f>
        <v/>
      </c>
      <c r="C154" s="122" t="str">
        <f>IF($A154="","",INDEX(Assessment!$D:$D,$A154))</f>
        <v/>
      </c>
      <c r="D154" s="122" t="str">
        <f>IF($A154="","",INDEX(Assessment!$E:$E,$A154))</f>
        <v/>
      </c>
      <c r="E154" s="122" t="str">
        <f>IF($A154="","",INDEX(Assessment!$G:$G,$A154))</f>
        <v/>
      </c>
      <c r="F154" s="122" t="str">
        <f>IF($A154="","",INDEX(Assessment!$H:$H,$A154))</f>
        <v/>
      </c>
      <c r="G154" s="120" t="str">
        <f>IF($A154="","",INDEX(Assessment!$I:$I,$A154))</f>
        <v/>
      </c>
      <c r="H154" s="118"/>
      <c r="I154" s="118"/>
      <c r="J154" s="118"/>
      <c r="K154" s="118"/>
    </row>
    <row r="155" spans="1:11" ht="48" customHeight="1" x14ac:dyDescent="0.25">
      <c r="A155" s="116" t="str">
        <f>IFERROR(MATCH(151,Assessment!$M:$M,0),"")</f>
        <v/>
      </c>
      <c r="B155" s="117" t="str">
        <f>IF($A155="","",INDEX(Assessment!$B:$B,$A155))</f>
        <v/>
      </c>
      <c r="C155" s="117" t="str">
        <f>IF($A155="","",INDEX(Assessment!$D:$D,$A155))</f>
        <v/>
      </c>
      <c r="D155" s="117" t="str">
        <f>IF($A155="","",INDEX(Assessment!$E:$E,$A155))</f>
        <v/>
      </c>
      <c r="E155" s="117" t="str">
        <f>IF($A155="","",INDEX(Assessment!$G:$G,$A155))</f>
        <v/>
      </c>
      <c r="F155" s="117" t="str">
        <f>IF($A155="","",INDEX(Assessment!$H:$H,$A155))</f>
        <v/>
      </c>
      <c r="G155" s="38" t="str">
        <f>IF($A155="","",INDEX(Assessment!$I:$I,$A155))</f>
        <v/>
      </c>
      <c r="H155" s="118"/>
      <c r="I155" s="118"/>
      <c r="J155" s="118"/>
      <c r="K155" s="118"/>
    </row>
    <row r="156" spans="1:11" ht="48" customHeight="1" x14ac:dyDescent="0.25">
      <c r="A156" s="116" t="str">
        <f>IFERROR(MATCH(152,Assessment!$M:$M,0),"")</f>
        <v/>
      </c>
      <c r="B156" s="122" t="str">
        <f>IF($A156="","",INDEX(Assessment!$B:$B,$A156))</f>
        <v/>
      </c>
      <c r="C156" s="122" t="str">
        <f>IF($A156="","",INDEX(Assessment!$D:$D,$A156))</f>
        <v/>
      </c>
      <c r="D156" s="122" t="str">
        <f>IF($A156="","",INDEX(Assessment!$E:$E,$A156))</f>
        <v/>
      </c>
      <c r="E156" s="122" t="str">
        <f>IF($A156="","",INDEX(Assessment!$G:$G,$A156))</f>
        <v/>
      </c>
      <c r="F156" s="122" t="str">
        <f>IF($A156="","",INDEX(Assessment!$H:$H,$A156))</f>
        <v/>
      </c>
      <c r="G156" s="120" t="str">
        <f>IF($A156="","",INDEX(Assessment!$I:$I,$A156))</f>
        <v/>
      </c>
      <c r="H156" s="118"/>
      <c r="I156" s="118"/>
      <c r="J156" s="118"/>
      <c r="K156" s="118"/>
    </row>
    <row r="157" spans="1:11" ht="48" customHeight="1" x14ac:dyDescent="0.25">
      <c r="A157" s="116" t="str">
        <f>IFERROR(MATCH(153,Assessment!$M:$M,0),"")</f>
        <v/>
      </c>
      <c r="B157" s="117" t="str">
        <f>IF($A157="","",INDEX(Assessment!$B:$B,$A157))</f>
        <v/>
      </c>
      <c r="C157" s="117" t="str">
        <f>IF($A157="","",INDEX(Assessment!$D:$D,$A157))</f>
        <v/>
      </c>
      <c r="D157" s="117" t="str">
        <f>IF($A157="","",INDEX(Assessment!$E:$E,$A157))</f>
        <v/>
      </c>
      <c r="E157" s="117" t="str">
        <f>IF($A157="","",INDEX(Assessment!$G:$G,$A157))</f>
        <v/>
      </c>
      <c r="F157" s="117" t="str">
        <f>IF($A157="","",INDEX(Assessment!$H:$H,$A157))</f>
        <v/>
      </c>
      <c r="G157" s="38" t="str">
        <f>IF($A157="","",INDEX(Assessment!$I:$I,$A157))</f>
        <v/>
      </c>
      <c r="H157" s="118"/>
      <c r="I157" s="118"/>
      <c r="J157" s="118"/>
      <c r="K157" s="118"/>
    </row>
    <row r="158" spans="1:11" ht="48" customHeight="1" x14ac:dyDescent="0.25">
      <c r="A158" s="116" t="str">
        <f>IFERROR(MATCH(154,Assessment!$M:$M,0),"")</f>
        <v/>
      </c>
      <c r="B158" s="122" t="str">
        <f>IF($A158="","",INDEX(Assessment!$B:$B,$A158))</f>
        <v/>
      </c>
      <c r="C158" s="122" t="str">
        <f>IF($A158="","",INDEX(Assessment!$D:$D,$A158))</f>
        <v/>
      </c>
      <c r="D158" s="122" t="str">
        <f>IF($A158="","",INDEX(Assessment!$E:$E,$A158))</f>
        <v/>
      </c>
      <c r="E158" s="122" t="str">
        <f>IF($A158="","",INDEX(Assessment!$G:$G,$A158))</f>
        <v/>
      </c>
      <c r="F158" s="122" t="str">
        <f>IF($A158="","",INDEX(Assessment!$H:$H,$A158))</f>
        <v/>
      </c>
      <c r="G158" s="120" t="str">
        <f>IF($A158="","",INDEX(Assessment!$I:$I,$A158))</f>
        <v/>
      </c>
      <c r="H158" s="118"/>
      <c r="I158" s="118"/>
      <c r="J158" s="118"/>
      <c r="K158" s="118"/>
    </row>
    <row r="159" spans="1:11" ht="48" customHeight="1" x14ac:dyDescent="0.25">
      <c r="A159" s="116" t="str">
        <f>IFERROR(MATCH(155,Assessment!$M:$M,0),"")</f>
        <v/>
      </c>
      <c r="B159" s="117" t="str">
        <f>IF($A159="","",INDEX(Assessment!$B:$B,$A159))</f>
        <v/>
      </c>
      <c r="C159" s="117" t="str">
        <f>IF($A159="","",INDEX(Assessment!$D:$D,$A159))</f>
        <v/>
      </c>
      <c r="D159" s="117" t="str">
        <f>IF($A159="","",INDEX(Assessment!$E:$E,$A159))</f>
        <v/>
      </c>
      <c r="E159" s="117" t="str">
        <f>IF($A159="","",INDEX(Assessment!$G:$G,$A159))</f>
        <v/>
      </c>
      <c r="F159" s="117" t="str">
        <f>IF($A159="","",INDEX(Assessment!$H:$H,$A159))</f>
        <v/>
      </c>
      <c r="G159" s="38" t="str">
        <f>IF($A159="","",INDEX(Assessment!$I:$I,$A159))</f>
        <v/>
      </c>
      <c r="H159" s="118"/>
      <c r="I159" s="118"/>
      <c r="J159" s="118"/>
      <c r="K159" s="118"/>
    </row>
    <row r="160" spans="1:11" ht="48" customHeight="1" x14ac:dyDescent="0.25">
      <c r="A160" s="116" t="str">
        <f>IFERROR(MATCH(156,Assessment!$M:$M,0),"")</f>
        <v/>
      </c>
      <c r="B160" s="122" t="str">
        <f>IF($A160="","",INDEX(Assessment!$B:$B,$A160))</f>
        <v/>
      </c>
      <c r="C160" s="122" t="str">
        <f>IF($A160="","",INDEX(Assessment!$D:$D,$A160))</f>
        <v/>
      </c>
      <c r="D160" s="122" t="str">
        <f>IF($A160="","",INDEX(Assessment!$E:$E,$A160))</f>
        <v/>
      </c>
      <c r="E160" s="122" t="str">
        <f>IF($A160="","",INDEX(Assessment!$G:$G,$A160))</f>
        <v/>
      </c>
      <c r="F160" s="122" t="str">
        <f>IF($A160="","",INDEX(Assessment!$H:$H,$A160))</f>
        <v/>
      </c>
      <c r="G160" s="120" t="str">
        <f>IF($A160="","",INDEX(Assessment!$I:$I,$A160))</f>
        <v/>
      </c>
      <c r="H160" s="118"/>
      <c r="I160" s="118"/>
      <c r="J160" s="118"/>
      <c r="K160" s="118"/>
    </row>
    <row r="161" spans="1:11" ht="48" customHeight="1" x14ac:dyDescent="0.25">
      <c r="A161" s="116" t="str">
        <f>IFERROR(MATCH(157,Assessment!$M:$M,0),"")</f>
        <v/>
      </c>
      <c r="B161" s="117" t="str">
        <f>IF($A161="","",INDEX(Assessment!$B:$B,$A161))</f>
        <v/>
      </c>
      <c r="C161" s="117" t="str">
        <f>IF($A161="","",INDEX(Assessment!$D:$D,$A161))</f>
        <v/>
      </c>
      <c r="D161" s="117" t="str">
        <f>IF($A161="","",INDEX(Assessment!$E:$E,$A161))</f>
        <v/>
      </c>
      <c r="E161" s="117" t="str">
        <f>IF($A161="","",INDEX(Assessment!$G:$G,$A161))</f>
        <v/>
      </c>
      <c r="F161" s="117" t="str">
        <f>IF($A161="","",INDEX(Assessment!$H:$H,$A161))</f>
        <v/>
      </c>
      <c r="G161" s="38" t="str">
        <f>IF($A161="","",INDEX(Assessment!$I:$I,$A161))</f>
        <v/>
      </c>
      <c r="H161" s="118"/>
      <c r="I161" s="118"/>
      <c r="J161" s="118"/>
      <c r="K161" s="118"/>
    </row>
    <row r="162" spans="1:11" ht="48" customHeight="1" x14ac:dyDescent="0.25">
      <c r="A162" s="116" t="str">
        <f>IFERROR(MATCH(158,Assessment!$M:$M,0),"")</f>
        <v/>
      </c>
      <c r="B162" s="122" t="str">
        <f>IF($A162="","",INDEX(Assessment!$B:$B,$A162))</f>
        <v/>
      </c>
      <c r="C162" s="122" t="str">
        <f>IF($A162="","",INDEX(Assessment!$D:$D,$A162))</f>
        <v/>
      </c>
      <c r="D162" s="122" t="str">
        <f>IF($A162="","",INDEX(Assessment!$E:$E,$A162))</f>
        <v/>
      </c>
      <c r="E162" s="122" t="str">
        <f>IF($A162="","",INDEX(Assessment!$G:$G,$A162))</f>
        <v/>
      </c>
      <c r="F162" s="122" t="str">
        <f>IF($A162="","",INDEX(Assessment!$H:$H,$A162))</f>
        <v/>
      </c>
      <c r="G162" s="120" t="str">
        <f>IF($A162="","",INDEX(Assessment!$I:$I,$A162))</f>
        <v/>
      </c>
      <c r="H162" s="118"/>
      <c r="I162" s="118"/>
      <c r="J162" s="118"/>
      <c r="K162" s="118"/>
    </row>
    <row r="163" spans="1:11" ht="48" customHeight="1" x14ac:dyDescent="0.25">
      <c r="A163" s="116" t="str">
        <f>IFERROR(MATCH(159,Assessment!$M:$M,0),"")</f>
        <v/>
      </c>
      <c r="B163" s="117" t="str">
        <f>IF($A163="","",INDEX(Assessment!$B:$B,$A163))</f>
        <v/>
      </c>
      <c r="C163" s="117" t="str">
        <f>IF($A163="","",INDEX(Assessment!$D:$D,$A163))</f>
        <v/>
      </c>
      <c r="D163" s="117" t="str">
        <f>IF($A163="","",INDEX(Assessment!$E:$E,$A163))</f>
        <v/>
      </c>
      <c r="E163" s="117" t="str">
        <f>IF($A163="","",INDEX(Assessment!$G:$G,$A163))</f>
        <v/>
      </c>
      <c r="F163" s="117" t="str">
        <f>IF($A163="","",INDEX(Assessment!$H:$H,$A163))</f>
        <v/>
      </c>
      <c r="G163" s="38" t="str">
        <f>IF($A163="","",INDEX(Assessment!$I:$I,$A163))</f>
        <v/>
      </c>
      <c r="H163" s="118"/>
      <c r="I163" s="118"/>
      <c r="J163" s="118"/>
      <c r="K163" s="118"/>
    </row>
    <row r="164" spans="1:11" ht="48" customHeight="1" x14ac:dyDescent="0.25">
      <c r="A164" s="116" t="str">
        <f>IFERROR(MATCH(160,Assessment!$M:$M,0),"")</f>
        <v/>
      </c>
      <c r="B164" s="122" t="str">
        <f>IF($A164="","",INDEX(Assessment!$B:$B,$A164))</f>
        <v/>
      </c>
      <c r="C164" s="122" t="str">
        <f>IF($A164="","",INDEX(Assessment!$D:$D,$A164))</f>
        <v/>
      </c>
      <c r="D164" s="122" t="str">
        <f>IF($A164="","",INDEX(Assessment!$E:$E,$A164))</f>
        <v/>
      </c>
      <c r="E164" s="122" t="str">
        <f>IF($A164="","",INDEX(Assessment!$G:$G,$A164))</f>
        <v/>
      </c>
      <c r="F164" s="122" t="str">
        <f>IF($A164="","",INDEX(Assessment!$H:$H,$A164))</f>
        <v/>
      </c>
      <c r="G164" s="120" t="str">
        <f>IF($A164="","",INDEX(Assessment!$I:$I,$A164))</f>
        <v/>
      </c>
      <c r="H164" s="118"/>
      <c r="I164" s="118"/>
      <c r="J164" s="118"/>
      <c r="K164" s="118"/>
    </row>
    <row r="165" spans="1:11" ht="48" customHeight="1" x14ac:dyDescent="0.25">
      <c r="A165" s="116" t="str">
        <f>IFERROR(MATCH(161,Assessment!$M:$M,0),"")</f>
        <v/>
      </c>
      <c r="B165" s="117" t="str">
        <f>IF($A165="","",INDEX(Assessment!$B:$B,$A165))</f>
        <v/>
      </c>
      <c r="C165" s="117" t="str">
        <f>IF($A165="","",INDEX(Assessment!$D:$D,$A165))</f>
        <v/>
      </c>
      <c r="D165" s="117" t="str">
        <f>IF($A165="","",INDEX(Assessment!$E:$E,$A165))</f>
        <v/>
      </c>
      <c r="E165" s="117" t="str">
        <f>IF($A165="","",INDEX(Assessment!$G:$G,$A165))</f>
        <v/>
      </c>
      <c r="F165" s="117" t="str">
        <f>IF($A165="","",INDEX(Assessment!$H:$H,$A165))</f>
        <v/>
      </c>
      <c r="G165" s="38" t="str">
        <f>IF($A165="","",INDEX(Assessment!$I:$I,$A165))</f>
        <v/>
      </c>
      <c r="H165" s="118"/>
      <c r="I165" s="118"/>
      <c r="J165" s="118"/>
      <c r="K165" s="118"/>
    </row>
    <row r="166" spans="1:11" ht="48" customHeight="1" x14ac:dyDescent="0.25">
      <c r="A166" s="116" t="str">
        <f>IFERROR(MATCH(162,Assessment!$M:$M,0),"")</f>
        <v/>
      </c>
      <c r="B166" s="122" t="str">
        <f>IF($A166="","",INDEX(Assessment!$B:$B,$A166))</f>
        <v/>
      </c>
      <c r="C166" s="122" t="str">
        <f>IF($A166="","",INDEX(Assessment!$D:$D,$A166))</f>
        <v/>
      </c>
      <c r="D166" s="122" t="str">
        <f>IF($A166="","",INDEX(Assessment!$E:$E,$A166))</f>
        <v/>
      </c>
      <c r="E166" s="122" t="str">
        <f>IF($A166="","",INDEX(Assessment!$G:$G,$A166))</f>
        <v/>
      </c>
      <c r="F166" s="122" t="str">
        <f>IF($A166="","",INDEX(Assessment!$H:$H,$A166))</f>
        <v/>
      </c>
      <c r="G166" s="120" t="str">
        <f>IF($A166="","",INDEX(Assessment!$I:$I,$A166))</f>
        <v/>
      </c>
      <c r="H166" s="118"/>
      <c r="I166" s="118"/>
      <c r="J166" s="118"/>
      <c r="K166" s="118"/>
    </row>
    <row r="167" spans="1:11" ht="48" customHeight="1" x14ac:dyDescent="0.25">
      <c r="A167" s="116" t="str">
        <f>IFERROR(MATCH(163,Assessment!$M:$M,0),"")</f>
        <v/>
      </c>
      <c r="B167" s="117" t="str">
        <f>IF($A167="","",INDEX(Assessment!$B:$B,$A167))</f>
        <v/>
      </c>
      <c r="C167" s="117" t="str">
        <f>IF($A167="","",INDEX(Assessment!$D:$D,$A167))</f>
        <v/>
      </c>
      <c r="D167" s="117" t="str">
        <f>IF($A167="","",INDEX(Assessment!$E:$E,$A167))</f>
        <v/>
      </c>
      <c r="E167" s="117" t="str">
        <f>IF($A167="","",INDEX(Assessment!$G:$G,$A167))</f>
        <v/>
      </c>
      <c r="F167" s="117" t="str">
        <f>IF($A167="","",INDEX(Assessment!$H:$H,$A167))</f>
        <v/>
      </c>
      <c r="G167" s="38" t="str">
        <f>IF($A167="","",INDEX(Assessment!$I:$I,$A167))</f>
        <v/>
      </c>
      <c r="H167" s="118"/>
      <c r="I167" s="118"/>
      <c r="J167" s="118"/>
      <c r="K167" s="118"/>
    </row>
    <row r="168" spans="1:11" ht="48" customHeight="1" x14ac:dyDescent="0.25">
      <c r="A168" s="116" t="str">
        <f>IFERROR(MATCH(164,Assessment!$M:$M,0),"")</f>
        <v/>
      </c>
      <c r="B168" s="122" t="str">
        <f>IF($A168="","",INDEX(Assessment!$B:$B,$A168))</f>
        <v/>
      </c>
      <c r="C168" s="122" t="str">
        <f>IF($A168="","",INDEX(Assessment!$D:$D,$A168))</f>
        <v/>
      </c>
      <c r="D168" s="122" t="str">
        <f>IF($A168="","",INDEX(Assessment!$E:$E,$A168))</f>
        <v/>
      </c>
      <c r="E168" s="122" t="str">
        <f>IF($A168="","",INDEX(Assessment!$G:$G,$A168))</f>
        <v/>
      </c>
      <c r="F168" s="122" t="str">
        <f>IF($A168="","",INDEX(Assessment!$H:$H,$A168))</f>
        <v/>
      </c>
      <c r="G168" s="120" t="str">
        <f>IF($A168="","",INDEX(Assessment!$I:$I,$A168))</f>
        <v/>
      </c>
      <c r="H168" s="118"/>
      <c r="I168" s="118"/>
      <c r="J168" s="118"/>
      <c r="K168" s="118"/>
    </row>
    <row r="169" spans="1:11" ht="48" customHeight="1" x14ac:dyDescent="0.25">
      <c r="A169" s="116" t="str">
        <f>IFERROR(MATCH(165,Assessment!$M:$M,0),"")</f>
        <v/>
      </c>
      <c r="B169" s="117" t="str">
        <f>IF($A169="","",INDEX(Assessment!$B:$B,$A169))</f>
        <v/>
      </c>
      <c r="C169" s="117" t="str">
        <f>IF($A169="","",INDEX(Assessment!$D:$D,$A169))</f>
        <v/>
      </c>
      <c r="D169" s="117" t="str">
        <f>IF($A169="","",INDEX(Assessment!$E:$E,$A169))</f>
        <v/>
      </c>
      <c r="E169" s="117" t="str">
        <f>IF($A169="","",INDEX(Assessment!$G:$G,$A169))</f>
        <v/>
      </c>
      <c r="F169" s="117" t="str">
        <f>IF($A169="","",INDEX(Assessment!$H:$H,$A169))</f>
        <v/>
      </c>
      <c r="G169" s="38" t="str">
        <f>IF($A169="","",INDEX(Assessment!$I:$I,$A169))</f>
        <v/>
      </c>
      <c r="H169" s="118"/>
      <c r="I169" s="118"/>
      <c r="J169" s="118"/>
      <c r="K169" s="118"/>
    </row>
    <row r="170" spans="1:11" ht="48" customHeight="1" x14ac:dyDescent="0.25">
      <c r="A170" s="116" t="str">
        <f>IFERROR(MATCH(166,Assessment!$M:$M,0),"")</f>
        <v/>
      </c>
      <c r="B170" s="122" t="str">
        <f>IF($A170="","",INDEX(Assessment!$B:$B,$A170))</f>
        <v/>
      </c>
      <c r="C170" s="122" t="str">
        <f>IF($A170="","",INDEX(Assessment!$D:$D,$A170))</f>
        <v/>
      </c>
      <c r="D170" s="122" t="str">
        <f>IF($A170="","",INDEX(Assessment!$E:$E,$A170))</f>
        <v/>
      </c>
      <c r="E170" s="122" t="str">
        <f>IF($A170="","",INDEX(Assessment!$G:$G,$A170))</f>
        <v/>
      </c>
      <c r="F170" s="122" t="str">
        <f>IF($A170="","",INDEX(Assessment!$H:$H,$A170))</f>
        <v/>
      </c>
      <c r="G170" s="120" t="str">
        <f>IF($A170="","",INDEX(Assessment!$I:$I,$A170))</f>
        <v/>
      </c>
      <c r="H170" s="118"/>
      <c r="I170" s="118"/>
      <c r="J170" s="118"/>
      <c r="K170" s="118"/>
    </row>
    <row r="171" spans="1:11" ht="48" customHeight="1" x14ac:dyDescent="0.25">
      <c r="A171" s="116" t="str">
        <f>IFERROR(MATCH(167,Assessment!$M:$M,0),"")</f>
        <v/>
      </c>
      <c r="B171" s="117" t="str">
        <f>IF($A171="","",INDEX(Assessment!$B:$B,$A171))</f>
        <v/>
      </c>
      <c r="C171" s="117" t="str">
        <f>IF($A171="","",INDEX(Assessment!$D:$D,$A171))</f>
        <v/>
      </c>
      <c r="D171" s="117" t="str">
        <f>IF($A171="","",INDEX(Assessment!$E:$E,$A171))</f>
        <v/>
      </c>
      <c r="E171" s="117" t="str">
        <f>IF($A171="","",INDEX(Assessment!$G:$G,$A171))</f>
        <v/>
      </c>
      <c r="F171" s="117" t="str">
        <f>IF($A171="","",INDEX(Assessment!$H:$H,$A171))</f>
        <v/>
      </c>
      <c r="G171" s="38" t="str">
        <f>IF($A171="","",INDEX(Assessment!$I:$I,$A171))</f>
        <v/>
      </c>
      <c r="H171" s="118"/>
      <c r="I171" s="118"/>
      <c r="J171" s="118"/>
      <c r="K171" s="118"/>
    </row>
    <row r="172" spans="1:11" ht="48" customHeight="1" x14ac:dyDescent="0.25">
      <c r="A172" s="116" t="str">
        <f>IFERROR(MATCH(168,Assessment!$M:$M,0),"")</f>
        <v/>
      </c>
      <c r="B172" s="122" t="str">
        <f>IF($A172="","",INDEX(Assessment!$B:$B,$A172))</f>
        <v/>
      </c>
      <c r="C172" s="122" t="str">
        <f>IF($A172="","",INDEX(Assessment!$D:$D,$A172))</f>
        <v/>
      </c>
      <c r="D172" s="122" t="str">
        <f>IF($A172="","",INDEX(Assessment!$E:$E,$A172))</f>
        <v/>
      </c>
      <c r="E172" s="122" t="str">
        <f>IF($A172="","",INDEX(Assessment!$G:$G,$A172))</f>
        <v/>
      </c>
      <c r="F172" s="122" t="str">
        <f>IF($A172="","",INDEX(Assessment!$H:$H,$A172))</f>
        <v/>
      </c>
      <c r="G172" s="120" t="str">
        <f>IF($A172="","",INDEX(Assessment!$I:$I,$A172))</f>
        <v/>
      </c>
      <c r="H172" s="118"/>
      <c r="I172" s="118"/>
      <c r="J172" s="118"/>
      <c r="K172" s="118"/>
    </row>
    <row r="173" spans="1:11" ht="48" customHeight="1" x14ac:dyDescent="0.25">
      <c r="A173" s="116" t="str">
        <f>IFERROR(MATCH(169,Assessment!$M:$M,0),"")</f>
        <v/>
      </c>
      <c r="B173" s="117" t="str">
        <f>IF($A173="","",INDEX(Assessment!$B:$B,$A173))</f>
        <v/>
      </c>
      <c r="C173" s="117" t="str">
        <f>IF($A173="","",INDEX(Assessment!$D:$D,$A173))</f>
        <v/>
      </c>
      <c r="D173" s="117" t="str">
        <f>IF($A173="","",INDEX(Assessment!$E:$E,$A173))</f>
        <v/>
      </c>
      <c r="E173" s="117" t="str">
        <f>IF($A173="","",INDEX(Assessment!$G:$G,$A173))</f>
        <v/>
      </c>
      <c r="F173" s="117" t="str">
        <f>IF($A173="","",INDEX(Assessment!$H:$H,$A173))</f>
        <v/>
      </c>
      <c r="G173" s="38" t="str">
        <f>IF($A173="","",INDEX(Assessment!$I:$I,$A173))</f>
        <v/>
      </c>
      <c r="H173" s="118"/>
      <c r="I173" s="118"/>
      <c r="J173" s="118"/>
      <c r="K173" s="118"/>
    </row>
    <row r="174" spans="1:11" ht="48" customHeight="1" x14ac:dyDescent="0.25">
      <c r="A174" s="116" t="str">
        <f>IFERROR(MATCH(170,Assessment!$M:$M,0),"")</f>
        <v/>
      </c>
      <c r="B174" s="122" t="str">
        <f>IF($A174="","",INDEX(Assessment!$B:$B,$A174))</f>
        <v/>
      </c>
      <c r="C174" s="122" t="str">
        <f>IF($A174="","",INDEX(Assessment!$D:$D,$A174))</f>
        <v/>
      </c>
      <c r="D174" s="122" t="str">
        <f>IF($A174="","",INDEX(Assessment!$E:$E,$A174))</f>
        <v/>
      </c>
      <c r="E174" s="122" t="str">
        <f>IF($A174="","",INDEX(Assessment!$G:$G,$A174))</f>
        <v/>
      </c>
      <c r="F174" s="122" t="str">
        <f>IF($A174="","",INDEX(Assessment!$H:$H,$A174))</f>
        <v/>
      </c>
      <c r="G174" s="120" t="str">
        <f>IF($A174="","",INDEX(Assessment!$I:$I,$A174))</f>
        <v/>
      </c>
      <c r="H174" s="118"/>
      <c r="I174" s="118"/>
      <c r="J174" s="118"/>
      <c r="K174" s="118"/>
    </row>
    <row r="175" spans="1:11" ht="48" customHeight="1" x14ac:dyDescent="0.25">
      <c r="A175" s="116" t="str">
        <f>IFERROR(MATCH(171,Assessment!$M:$M,0),"")</f>
        <v/>
      </c>
      <c r="B175" s="117" t="str">
        <f>IF($A175="","",INDEX(Assessment!$B:$B,$A175))</f>
        <v/>
      </c>
      <c r="C175" s="117" t="str">
        <f>IF($A175="","",INDEX(Assessment!$D:$D,$A175))</f>
        <v/>
      </c>
      <c r="D175" s="117" t="str">
        <f>IF($A175="","",INDEX(Assessment!$E:$E,$A175))</f>
        <v/>
      </c>
      <c r="E175" s="117" t="str">
        <f>IF($A175="","",INDEX(Assessment!$G:$G,$A175))</f>
        <v/>
      </c>
      <c r="F175" s="117" t="str">
        <f>IF($A175="","",INDEX(Assessment!$H:$H,$A175))</f>
        <v/>
      </c>
      <c r="G175" s="38" t="str">
        <f>IF($A175="","",INDEX(Assessment!$I:$I,$A175))</f>
        <v/>
      </c>
      <c r="H175" s="118"/>
      <c r="I175" s="118"/>
      <c r="J175" s="118"/>
      <c r="K175" s="118"/>
    </row>
    <row r="176" spans="1:11" ht="48" customHeight="1" x14ac:dyDescent="0.25">
      <c r="A176" s="116" t="str">
        <f>IFERROR(MATCH(172,Assessment!$M:$M,0),"")</f>
        <v/>
      </c>
      <c r="B176" s="122" t="str">
        <f>IF($A176="","",INDEX(Assessment!$B:$B,$A176))</f>
        <v/>
      </c>
      <c r="C176" s="122" t="str">
        <f>IF($A176="","",INDEX(Assessment!$D:$D,$A176))</f>
        <v/>
      </c>
      <c r="D176" s="122" t="str">
        <f>IF($A176="","",INDEX(Assessment!$E:$E,$A176))</f>
        <v/>
      </c>
      <c r="E176" s="122" t="str">
        <f>IF($A176="","",INDEX(Assessment!$G:$G,$A176))</f>
        <v/>
      </c>
      <c r="F176" s="122" t="str">
        <f>IF($A176="","",INDEX(Assessment!$H:$H,$A176))</f>
        <v/>
      </c>
      <c r="G176" s="120" t="str">
        <f>IF($A176="","",INDEX(Assessment!$I:$I,$A176))</f>
        <v/>
      </c>
      <c r="H176" s="118"/>
      <c r="I176" s="118"/>
      <c r="J176" s="118"/>
      <c r="K176" s="118"/>
    </row>
    <row r="177" spans="1:11" ht="48" customHeight="1" x14ac:dyDescent="0.25">
      <c r="A177" s="116" t="str">
        <f>IFERROR(MATCH(173,Assessment!$M:$M,0),"")</f>
        <v/>
      </c>
      <c r="B177" s="117" t="str">
        <f>IF($A177="","",INDEX(Assessment!$B:$B,$A177))</f>
        <v/>
      </c>
      <c r="C177" s="117" t="str">
        <f>IF($A177="","",INDEX(Assessment!$D:$D,$A177))</f>
        <v/>
      </c>
      <c r="D177" s="117" t="str">
        <f>IF($A177="","",INDEX(Assessment!$E:$E,$A177))</f>
        <v/>
      </c>
      <c r="E177" s="117" t="str">
        <f>IF($A177="","",INDEX(Assessment!$G:$G,$A177))</f>
        <v/>
      </c>
      <c r="F177" s="117" t="str">
        <f>IF($A177="","",INDEX(Assessment!$H:$H,$A177))</f>
        <v/>
      </c>
      <c r="G177" s="38" t="str">
        <f>IF($A177="","",INDEX(Assessment!$I:$I,$A177))</f>
        <v/>
      </c>
      <c r="H177" s="118"/>
      <c r="I177" s="118"/>
      <c r="J177" s="118"/>
      <c r="K177" s="118"/>
    </row>
    <row r="178" spans="1:11" ht="48" customHeight="1" x14ac:dyDescent="0.25">
      <c r="A178" s="116" t="str">
        <f>IFERROR(MATCH(174,Assessment!$M:$M,0),"")</f>
        <v/>
      </c>
      <c r="B178" s="122" t="str">
        <f>IF($A178="","",INDEX(Assessment!$B:$B,$A178))</f>
        <v/>
      </c>
      <c r="C178" s="122" t="str">
        <f>IF($A178="","",INDEX(Assessment!$D:$D,$A178))</f>
        <v/>
      </c>
      <c r="D178" s="122" t="str">
        <f>IF($A178="","",INDEX(Assessment!$E:$E,$A178))</f>
        <v/>
      </c>
      <c r="E178" s="122" t="str">
        <f>IF($A178="","",INDEX(Assessment!$G:$G,$A178))</f>
        <v/>
      </c>
      <c r="F178" s="122" t="str">
        <f>IF($A178="","",INDEX(Assessment!$H:$H,$A178))</f>
        <v/>
      </c>
      <c r="G178" s="120" t="str">
        <f>IF($A178="","",INDEX(Assessment!$I:$I,$A178))</f>
        <v/>
      </c>
      <c r="H178" s="118"/>
      <c r="I178" s="118"/>
      <c r="J178" s="118"/>
      <c r="K178" s="118"/>
    </row>
    <row r="179" spans="1:11" ht="48" customHeight="1" x14ac:dyDescent="0.25">
      <c r="A179" s="116" t="str">
        <f>IFERROR(MATCH(175,Assessment!$M:$M,0),"")</f>
        <v/>
      </c>
      <c r="B179" s="117" t="str">
        <f>IF($A179="","",INDEX(Assessment!$B:$B,$A179))</f>
        <v/>
      </c>
      <c r="C179" s="117" t="str">
        <f>IF($A179="","",INDEX(Assessment!$D:$D,$A179))</f>
        <v/>
      </c>
      <c r="D179" s="117" t="str">
        <f>IF($A179="","",INDEX(Assessment!$E:$E,$A179))</f>
        <v/>
      </c>
      <c r="E179" s="117" t="str">
        <f>IF($A179="","",INDEX(Assessment!$G:$G,$A179))</f>
        <v/>
      </c>
      <c r="F179" s="117" t="str">
        <f>IF($A179="","",INDEX(Assessment!$H:$H,$A179))</f>
        <v/>
      </c>
      <c r="G179" s="38" t="str">
        <f>IF($A179="","",INDEX(Assessment!$I:$I,$A179))</f>
        <v/>
      </c>
      <c r="H179" s="118"/>
      <c r="I179" s="118"/>
      <c r="J179" s="118"/>
      <c r="K179" s="118"/>
    </row>
    <row r="180" spans="1:11" ht="48" customHeight="1" x14ac:dyDescent="0.25">
      <c r="A180" s="116" t="str">
        <f>IFERROR(MATCH(176,Assessment!$M:$M,0),"")</f>
        <v/>
      </c>
      <c r="B180" s="122" t="str">
        <f>IF($A180="","",INDEX(Assessment!$B:$B,$A180))</f>
        <v/>
      </c>
      <c r="C180" s="122" t="str">
        <f>IF($A180="","",INDEX(Assessment!$D:$D,$A180))</f>
        <v/>
      </c>
      <c r="D180" s="122" t="str">
        <f>IF($A180="","",INDEX(Assessment!$E:$E,$A180))</f>
        <v/>
      </c>
      <c r="E180" s="122" t="str">
        <f>IF($A180="","",INDEX(Assessment!$G:$G,$A180))</f>
        <v/>
      </c>
      <c r="F180" s="122" t="str">
        <f>IF($A180="","",INDEX(Assessment!$H:$H,$A180))</f>
        <v/>
      </c>
      <c r="G180" s="120" t="str">
        <f>IF($A180="","",INDEX(Assessment!$I:$I,$A180))</f>
        <v/>
      </c>
      <c r="H180" s="118"/>
      <c r="I180" s="118"/>
      <c r="J180" s="118"/>
      <c r="K180" s="118"/>
    </row>
    <row r="181" spans="1:11" ht="48" customHeight="1" x14ac:dyDescent="0.25">
      <c r="A181" s="116" t="str">
        <f>IFERROR(MATCH(177,Assessment!$M:$M,0),"")</f>
        <v/>
      </c>
      <c r="B181" s="117" t="str">
        <f>IF($A181="","",INDEX(Assessment!$B:$B,$A181))</f>
        <v/>
      </c>
      <c r="C181" s="117" t="str">
        <f>IF($A181="","",INDEX(Assessment!$D:$D,$A181))</f>
        <v/>
      </c>
      <c r="D181" s="117" t="str">
        <f>IF($A181="","",INDEX(Assessment!$E:$E,$A181))</f>
        <v/>
      </c>
      <c r="E181" s="117" t="str">
        <f>IF($A181="","",INDEX(Assessment!$G:$G,$A181))</f>
        <v/>
      </c>
      <c r="F181" s="117" t="str">
        <f>IF($A181="","",INDEX(Assessment!$H:$H,$A181))</f>
        <v/>
      </c>
      <c r="G181" s="38" t="str">
        <f>IF($A181="","",INDEX(Assessment!$I:$I,$A181))</f>
        <v/>
      </c>
      <c r="H181" s="118"/>
      <c r="I181" s="118"/>
      <c r="J181" s="118"/>
      <c r="K181" s="118"/>
    </row>
    <row r="182" spans="1:11" ht="48" customHeight="1" x14ac:dyDescent="0.25">
      <c r="A182" s="116" t="str">
        <f>IFERROR(MATCH(178,Assessment!$M:$M,0),"")</f>
        <v/>
      </c>
      <c r="B182" s="122" t="str">
        <f>IF($A182="","",INDEX(Assessment!$B:$B,$A182))</f>
        <v/>
      </c>
      <c r="C182" s="122" t="str">
        <f>IF($A182="","",INDEX(Assessment!$D:$D,$A182))</f>
        <v/>
      </c>
      <c r="D182" s="122" t="str">
        <f>IF($A182="","",INDEX(Assessment!$E:$E,$A182))</f>
        <v/>
      </c>
      <c r="E182" s="122" t="str">
        <f>IF($A182="","",INDEX(Assessment!$G:$G,$A182))</f>
        <v/>
      </c>
      <c r="F182" s="122" t="str">
        <f>IF($A182="","",INDEX(Assessment!$H:$H,$A182))</f>
        <v/>
      </c>
      <c r="G182" s="120" t="str">
        <f>IF($A182="","",INDEX(Assessment!$I:$I,$A182))</f>
        <v/>
      </c>
      <c r="H182" s="118"/>
      <c r="I182" s="118"/>
      <c r="J182" s="118"/>
      <c r="K182" s="118"/>
    </row>
    <row r="183" spans="1:11" ht="48" customHeight="1" x14ac:dyDescent="0.25">
      <c r="A183" s="116" t="str">
        <f>IFERROR(MATCH(179,Assessment!$M:$M,0),"")</f>
        <v/>
      </c>
      <c r="B183" s="117" t="str">
        <f>IF($A183="","",INDEX(Assessment!$B:$B,$A183))</f>
        <v/>
      </c>
      <c r="C183" s="117" t="str">
        <f>IF($A183="","",INDEX(Assessment!$D:$D,$A183))</f>
        <v/>
      </c>
      <c r="D183" s="117" t="str">
        <f>IF($A183="","",INDEX(Assessment!$E:$E,$A183))</f>
        <v/>
      </c>
      <c r="E183" s="117" t="str">
        <f>IF($A183="","",INDEX(Assessment!$G:$G,$A183))</f>
        <v/>
      </c>
      <c r="F183" s="117" t="str">
        <f>IF($A183="","",INDEX(Assessment!$H:$H,$A183))</f>
        <v/>
      </c>
      <c r="G183" s="38" t="str">
        <f>IF($A183="","",INDEX(Assessment!$I:$I,$A183))</f>
        <v/>
      </c>
      <c r="H183" s="118"/>
      <c r="I183" s="118"/>
      <c r="J183" s="118"/>
      <c r="K183" s="118"/>
    </row>
    <row r="184" spans="1:11" ht="48" customHeight="1" x14ac:dyDescent="0.25">
      <c r="A184" s="116" t="str">
        <f>IFERROR(MATCH(180,Assessment!$M:$M,0),"")</f>
        <v/>
      </c>
      <c r="B184" s="122" t="str">
        <f>IF($A184="","",INDEX(Assessment!$B:$B,$A184))</f>
        <v/>
      </c>
      <c r="C184" s="122" t="str">
        <f>IF($A184="","",INDEX(Assessment!$D:$D,$A184))</f>
        <v/>
      </c>
      <c r="D184" s="122" t="str">
        <f>IF($A184="","",INDEX(Assessment!$E:$E,$A184))</f>
        <v/>
      </c>
      <c r="E184" s="122" t="str">
        <f>IF($A184="","",INDEX(Assessment!$G:$G,$A184))</f>
        <v/>
      </c>
      <c r="F184" s="122" t="str">
        <f>IF($A184="","",INDEX(Assessment!$H:$H,$A184))</f>
        <v/>
      </c>
      <c r="G184" s="120" t="str">
        <f>IF($A184="","",INDEX(Assessment!$I:$I,$A184))</f>
        <v/>
      </c>
      <c r="H184" s="118"/>
      <c r="I184" s="118"/>
      <c r="J184" s="118"/>
      <c r="K184" s="118"/>
    </row>
    <row r="185" spans="1:11" ht="48" customHeight="1" x14ac:dyDescent="0.25">
      <c r="A185" s="116" t="str">
        <f>IFERROR(MATCH(181,Assessment!$M:$M,0),"")</f>
        <v/>
      </c>
      <c r="B185" s="117" t="str">
        <f>IF($A185="","",INDEX(Assessment!$B:$B,$A185))</f>
        <v/>
      </c>
      <c r="C185" s="117" t="str">
        <f>IF($A185="","",INDEX(Assessment!$D:$D,$A185))</f>
        <v/>
      </c>
      <c r="D185" s="117" t="str">
        <f>IF($A185="","",INDEX(Assessment!$E:$E,$A185))</f>
        <v/>
      </c>
      <c r="E185" s="117" t="str">
        <f>IF($A185="","",INDEX(Assessment!$G:$G,$A185))</f>
        <v/>
      </c>
      <c r="F185" s="117" t="str">
        <f>IF($A185="","",INDEX(Assessment!$H:$H,$A185))</f>
        <v/>
      </c>
      <c r="G185" s="38" t="str">
        <f>IF($A185="","",INDEX(Assessment!$I:$I,$A185))</f>
        <v/>
      </c>
      <c r="H185" s="118"/>
      <c r="I185" s="118"/>
      <c r="J185" s="118"/>
      <c r="K185" s="118"/>
    </row>
    <row r="186" spans="1:11" ht="48" customHeight="1" x14ac:dyDescent="0.25">
      <c r="A186" s="116" t="str">
        <f>IFERROR(MATCH(182,Assessment!$M:$M,0),"")</f>
        <v/>
      </c>
      <c r="B186" s="122" t="str">
        <f>IF($A186="","",INDEX(Assessment!$B:$B,$A186))</f>
        <v/>
      </c>
      <c r="C186" s="122" t="str">
        <f>IF($A186="","",INDEX(Assessment!$D:$D,$A186))</f>
        <v/>
      </c>
      <c r="D186" s="122" t="str">
        <f>IF($A186="","",INDEX(Assessment!$E:$E,$A186))</f>
        <v/>
      </c>
      <c r="E186" s="122" t="str">
        <f>IF($A186="","",INDEX(Assessment!$G:$G,$A186))</f>
        <v/>
      </c>
      <c r="F186" s="122" t="str">
        <f>IF($A186="","",INDEX(Assessment!$H:$H,$A186))</f>
        <v/>
      </c>
      <c r="G186" s="120" t="str">
        <f>IF($A186="","",INDEX(Assessment!$I:$I,$A186))</f>
        <v/>
      </c>
      <c r="H186" s="118"/>
      <c r="I186" s="118"/>
      <c r="J186" s="118"/>
      <c r="K186" s="118"/>
    </row>
    <row r="187" spans="1:11" ht="48" customHeight="1" x14ac:dyDescent="0.25">
      <c r="A187" s="116" t="str">
        <f>IFERROR(MATCH(183,Assessment!$M:$M,0),"")</f>
        <v/>
      </c>
      <c r="B187" s="117" t="str">
        <f>IF($A187="","",INDEX(Assessment!$B:$B,$A187))</f>
        <v/>
      </c>
      <c r="C187" s="117" t="str">
        <f>IF($A187="","",INDEX(Assessment!$D:$D,$A187))</f>
        <v/>
      </c>
      <c r="D187" s="117" t="str">
        <f>IF($A187="","",INDEX(Assessment!$E:$E,$A187))</f>
        <v/>
      </c>
      <c r="E187" s="117" t="str">
        <f>IF($A187="","",INDEX(Assessment!$G:$G,$A187))</f>
        <v/>
      </c>
      <c r="F187" s="117" t="str">
        <f>IF($A187="","",INDEX(Assessment!$H:$H,$A187))</f>
        <v/>
      </c>
      <c r="G187" s="38" t="str">
        <f>IF($A187="","",INDEX(Assessment!$I:$I,$A187))</f>
        <v/>
      </c>
      <c r="H187" s="118"/>
      <c r="I187" s="118"/>
      <c r="J187" s="118"/>
      <c r="K187" s="118"/>
    </row>
    <row r="188" spans="1:11" ht="48" customHeight="1" x14ac:dyDescent="0.25">
      <c r="A188" s="116" t="str">
        <f>IFERROR(MATCH(184,Assessment!$M:$M,0),"")</f>
        <v/>
      </c>
      <c r="B188" s="122" t="str">
        <f>IF($A188="","",INDEX(Assessment!$B:$B,$A188))</f>
        <v/>
      </c>
      <c r="C188" s="122" t="str">
        <f>IF($A188="","",INDEX(Assessment!$D:$D,$A188))</f>
        <v/>
      </c>
      <c r="D188" s="122" t="str">
        <f>IF($A188="","",INDEX(Assessment!$E:$E,$A188))</f>
        <v/>
      </c>
      <c r="E188" s="122" t="str">
        <f>IF($A188="","",INDEX(Assessment!$G:$G,$A188))</f>
        <v/>
      </c>
      <c r="F188" s="122" t="str">
        <f>IF($A188="","",INDEX(Assessment!$H:$H,$A188))</f>
        <v/>
      </c>
      <c r="G188" s="120" t="str">
        <f>IF($A188="","",INDEX(Assessment!$I:$I,$A188))</f>
        <v/>
      </c>
      <c r="H188" s="118"/>
      <c r="I188" s="118"/>
      <c r="J188" s="118"/>
      <c r="K188" s="118"/>
    </row>
    <row r="189" spans="1:11" ht="48" customHeight="1" x14ac:dyDescent="0.25">
      <c r="A189" s="116" t="str">
        <f>IFERROR(MATCH(185,Assessment!$M:$M,0),"")</f>
        <v/>
      </c>
      <c r="B189" s="117" t="str">
        <f>IF($A189="","",INDEX(Assessment!$B:$B,$A189))</f>
        <v/>
      </c>
      <c r="C189" s="117" t="str">
        <f>IF($A189="","",INDEX(Assessment!$D:$D,$A189))</f>
        <v/>
      </c>
      <c r="D189" s="117" t="str">
        <f>IF($A189="","",INDEX(Assessment!$E:$E,$A189))</f>
        <v/>
      </c>
      <c r="E189" s="117" t="str">
        <f>IF($A189="","",INDEX(Assessment!$G:$G,$A189))</f>
        <v/>
      </c>
      <c r="F189" s="117" t="str">
        <f>IF($A189="","",INDEX(Assessment!$H:$H,$A189))</f>
        <v/>
      </c>
      <c r="G189" s="38" t="str">
        <f>IF($A189="","",INDEX(Assessment!$I:$I,$A189))</f>
        <v/>
      </c>
      <c r="H189" s="118"/>
      <c r="I189" s="118"/>
      <c r="J189" s="118"/>
      <c r="K189" s="118"/>
    </row>
    <row r="190" spans="1:11" ht="48" customHeight="1" x14ac:dyDescent="0.25">
      <c r="A190" s="116" t="str">
        <f>IFERROR(MATCH(186,Assessment!$M:$M,0),"")</f>
        <v/>
      </c>
      <c r="B190" s="122" t="str">
        <f>IF($A190="","",INDEX(Assessment!$B:$B,$A190))</f>
        <v/>
      </c>
      <c r="C190" s="122" t="str">
        <f>IF($A190="","",INDEX(Assessment!$D:$D,$A190))</f>
        <v/>
      </c>
      <c r="D190" s="122" t="str">
        <f>IF($A190="","",INDEX(Assessment!$E:$E,$A190))</f>
        <v/>
      </c>
      <c r="E190" s="122" t="str">
        <f>IF($A190="","",INDEX(Assessment!$G:$G,$A190))</f>
        <v/>
      </c>
      <c r="F190" s="122" t="str">
        <f>IF($A190="","",INDEX(Assessment!$H:$H,$A190))</f>
        <v/>
      </c>
      <c r="G190" s="120" t="str">
        <f>IF($A190="","",INDEX(Assessment!$I:$I,$A190))</f>
        <v/>
      </c>
      <c r="H190" s="118"/>
      <c r="I190" s="118"/>
      <c r="J190" s="118"/>
      <c r="K190" s="118"/>
    </row>
    <row r="191" spans="1:11" ht="48" customHeight="1" x14ac:dyDescent="0.25">
      <c r="A191" s="116" t="str">
        <f>IFERROR(MATCH(187,Assessment!$M:$M,0),"")</f>
        <v/>
      </c>
      <c r="B191" s="117" t="str">
        <f>IF($A191="","",INDEX(Assessment!$B:$B,$A191))</f>
        <v/>
      </c>
      <c r="C191" s="117" t="str">
        <f>IF($A191="","",INDEX(Assessment!$D:$D,$A191))</f>
        <v/>
      </c>
      <c r="D191" s="117" t="str">
        <f>IF($A191="","",INDEX(Assessment!$E:$E,$A191))</f>
        <v/>
      </c>
      <c r="E191" s="117" t="str">
        <f>IF($A191="","",INDEX(Assessment!$G:$G,$A191))</f>
        <v/>
      </c>
      <c r="F191" s="117" t="str">
        <f>IF($A191="","",INDEX(Assessment!$H:$H,$A191))</f>
        <v/>
      </c>
      <c r="G191" s="38" t="str">
        <f>IF($A191="","",INDEX(Assessment!$I:$I,$A191))</f>
        <v/>
      </c>
      <c r="H191" s="118"/>
      <c r="I191" s="118"/>
      <c r="J191" s="118"/>
      <c r="K191" s="118"/>
    </row>
    <row r="192" spans="1:11" ht="48" customHeight="1" x14ac:dyDescent="0.25">
      <c r="A192" s="116" t="str">
        <f>IFERROR(MATCH(188,Assessment!$M:$M,0),"")</f>
        <v/>
      </c>
      <c r="B192" s="122" t="str">
        <f>IF($A192="","",INDEX(Assessment!$B:$B,$A192))</f>
        <v/>
      </c>
      <c r="C192" s="122" t="str">
        <f>IF($A192="","",INDEX(Assessment!$D:$D,$A192))</f>
        <v/>
      </c>
      <c r="D192" s="122" t="str">
        <f>IF($A192="","",INDEX(Assessment!$E:$E,$A192))</f>
        <v/>
      </c>
      <c r="E192" s="122" t="str">
        <f>IF($A192="","",INDEX(Assessment!$G:$G,$A192))</f>
        <v/>
      </c>
      <c r="F192" s="122" t="str">
        <f>IF($A192="","",INDEX(Assessment!$H:$H,$A192))</f>
        <v/>
      </c>
      <c r="G192" s="120" t="str">
        <f>IF($A192="","",INDEX(Assessment!$I:$I,$A192))</f>
        <v/>
      </c>
      <c r="H192" s="118"/>
      <c r="I192" s="118"/>
      <c r="J192" s="118"/>
      <c r="K192" s="118"/>
    </row>
    <row r="193" spans="1:11" ht="48" customHeight="1" x14ac:dyDescent="0.25">
      <c r="A193" s="116" t="str">
        <f>IFERROR(MATCH(189,Assessment!$M:$M,0),"")</f>
        <v/>
      </c>
      <c r="B193" s="117" t="str">
        <f>IF($A193="","",INDEX(Assessment!$B:$B,$A193))</f>
        <v/>
      </c>
      <c r="C193" s="117" t="str">
        <f>IF($A193="","",INDEX(Assessment!$D:$D,$A193))</f>
        <v/>
      </c>
      <c r="D193" s="117" t="str">
        <f>IF($A193="","",INDEX(Assessment!$E:$E,$A193))</f>
        <v/>
      </c>
      <c r="E193" s="117" t="str">
        <f>IF($A193="","",INDEX(Assessment!$G:$G,$A193))</f>
        <v/>
      </c>
      <c r="F193" s="117" t="str">
        <f>IF($A193="","",INDEX(Assessment!$H:$H,$A193))</f>
        <v/>
      </c>
      <c r="G193" s="38" t="str">
        <f>IF($A193="","",INDEX(Assessment!$I:$I,$A193))</f>
        <v/>
      </c>
      <c r="H193" s="118"/>
      <c r="I193" s="118"/>
      <c r="J193" s="118"/>
      <c r="K193" s="118"/>
    </row>
    <row r="194" spans="1:11" ht="48" customHeight="1" x14ac:dyDescent="0.25">
      <c r="A194" s="116" t="str">
        <f>IFERROR(MATCH(190,Assessment!$M:$M,0),"")</f>
        <v/>
      </c>
      <c r="B194" s="122" t="str">
        <f>IF($A194="","",INDEX(Assessment!$B:$B,$A194))</f>
        <v/>
      </c>
      <c r="C194" s="122" t="str">
        <f>IF($A194="","",INDEX(Assessment!$D:$D,$A194))</f>
        <v/>
      </c>
      <c r="D194" s="122" t="str">
        <f>IF($A194="","",INDEX(Assessment!$E:$E,$A194))</f>
        <v/>
      </c>
      <c r="E194" s="122" t="str">
        <f>IF($A194="","",INDEX(Assessment!$G:$G,$A194))</f>
        <v/>
      </c>
      <c r="F194" s="122" t="str">
        <f>IF($A194="","",INDEX(Assessment!$H:$H,$A194))</f>
        <v/>
      </c>
      <c r="G194" s="120" t="str">
        <f>IF($A194="","",INDEX(Assessment!$I:$I,$A194))</f>
        <v/>
      </c>
      <c r="H194" s="118"/>
      <c r="I194" s="118"/>
      <c r="J194" s="118"/>
      <c r="K194" s="118"/>
    </row>
    <row r="195" spans="1:11" ht="48" customHeight="1" x14ac:dyDescent="0.25">
      <c r="A195" s="116" t="str">
        <f>IFERROR(MATCH(191,Assessment!$M:$M,0),"")</f>
        <v/>
      </c>
      <c r="B195" s="117" t="str">
        <f>IF($A195="","",INDEX(Assessment!$B:$B,$A195))</f>
        <v/>
      </c>
      <c r="C195" s="117" t="str">
        <f>IF($A195="","",INDEX(Assessment!$D:$D,$A195))</f>
        <v/>
      </c>
      <c r="D195" s="117" t="str">
        <f>IF($A195="","",INDEX(Assessment!$E:$E,$A195))</f>
        <v/>
      </c>
      <c r="E195" s="117" t="str">
        <f>IF($A195="","",INDEX(Assessment!$G:$G,$A195))</f>
        <v/>
      </c>
      <c r="F195" s="117" t="str">
        <f>IF($A195="","",INDEX(Assessment!$H:$H,$A195))</f>
        <v/>
      </c>
      <c r="G195" s="38" t="str">
        <f>IF($A195="","",INDEX(Assessment!$I:$I,$A195))</f>
        <v/>
      </c>
      <c r="H195" s="118"/>
      <c r="I195" s="118"/>
      <c r="J195" s="118"/>
      <c r="K195" s="118"/>
    </row>
    <row r="196" spans="1:11" ht="48" customHeight="1" x14ac:dyDescent="0.25">
      <c r="A196" s="116" t="str">
        <f>IFERROR(MATCH(192,Assessment!$M:$M,0),"")</f>
        <v/>
      </c>
      <c r="B196" s="122" t="str">
        <f>IF($A196="","",INDEX(Assessment!$B:$B,$A196))</f>
        <v/>
      </c>
      <c r="C196" s="122" t="str">
        <f>IF($A196="","",INDEX(Assessment!$D:$D,$A196))</f>
        <v/>
      </c>
      <c r="D196" s="122" t="str">
        <f>IF($A196="","",INDEX(Assessment!$E:$E,$A196))</f>
        <v/>
      </c>
      <c r="E196" s="122" t="str">
        <f>IF($A196="","",INDEX(Assessment!$G:$G,$A196))</f>
        <v/>
      </c>
      <c r="F196" s="122" t="str">
        <f>IF($A196="","",INDEX(Assessment!$H:$H,$A196))</f>
        <v/>
      </c>
      <c r="G196" s="120" t="str">
        <f>IF($A196="","",INDEX(Assessment!$I:$I,$A196))</f>
        <v/>
      </c>
      <c r="H196" s="118"/>
      <c r="I196" s="118"/>
      <c r="J196" s="118"/>
      <c r="K196" s="118"/>
    </row>
    <row r="197" spans="1:11" ht="48" customHeight="1" x14ac:dyDescent="0.25">
      <c r="A197" s="116" t="str">
        <f>IFERROR(MATCH(193,Assessment!$M:$M,0),"")</f>
        <v/>
      </c>
      <c r="B197" s="117" t="str">
        <f>IF($A197="","",INDEX(Assessment!$B:$B,$A197))</f>
        <v/>
      </c>
      <c r="C197" s="117" t="str">
        <f>IF($A197="","",INDEX(Assessment!$D:$D,$A197))</f>
        <v/>
      </c>
      <c r="D197" s="117" t="str">
        <f>IF($A197="","",INDEX(Assessment!$E:$E,$A197))</f>
        <v/>
      </c>
      <c r="E197" s="117" t="str">
        <f>IF($A197="","",INDEX(Assessment!$G:$G,$A197))</f>
        <v/>
      </c>
      <c r="F197" s="117" t="str">
        <f>IF($A197="","",INDEX(Assessment!$H:$H,$A197))</f>
        <v/>
      </c>
      <c r="G197" s="38" t="str">
        <f>IF($A197="","",INDEX(Assessment!$I:$I,$A197))</f>
        <v/>
      </c>
      <c r="H197" s="118"/>
      <c r="I197" s="118"/>
      <c r="J197" s="118"/>
      <c r="K197" s="118"/>
    </row>
    <row r="198" spans="1:11" ht="48" customHeight="1" x14ac:dyDescent="0.25">
      <c r="A198" s="116" t="str">
        <f>IFERROR(MATCH(194,Assessment!$M:$M,0),"")</f>
        <v/>
      </c>
      <c r="B198" s="122" t="str">
        <f>IF($A198="","",INDEX(Assessment!$B:$B,$A198))</f>
        <v/>
      </c>
      <c r="C198" s="122" t="str">
        <f>IF($A198="","",INDEX(Assessment!$D:$D,$A198))</f>
        <v/>
      </c>
      <c r="D198" s="122" t="str">
        <f>IF($A198="","",INDEX(Assessment!$E:$E,$A198))</f>
        <v/>
      </c>
      <c r="E198" s="122" t="str">
        <f>IF($A198="","",INDEX(Assessment!$G:$G,$A198))</f>
        <v/>
      </c>
      <c r="F198" s="122" t="str">
        <f>IF($A198="","",INDEX(Assessment!$H:$H,$A198))</f>
        <v/>
      </c>
      <c r="G198" s="120" t="str">
        <f>IF($A198="","",INDEX(Assessment!$I:$I,$A198))</f>
        <v/>
      </c>
      <c r="H198" s="118"/>
      <c r="I198" s="118"/>
      <c r="J198" s="118"/>
      <c r="K198" s="118"/>
    </row>
    <row r="199" spans="1:11" ht="48" customHeight="1" x14ac:dyDescent="0.25">
      <c r="A199" s="116" t="str">
        <f>IFERROR(MATCH(195,Assessment!$M:$M,0),"")</f>
        <v/>
      </c>
      <c r="B199" s="117" t="str">
        <f>IF($A199="","",INDEX(Assessment!$B:$B,$A199))</f>
        <v/>
      </c>
      <c r="C199" s="117" t="str">
        <f>IF($A199="","",INDEX(Assessment!$D:$D,$A199))</f>
        <v/>
      </c>
      <c r="D199" s="117" t="str">
        <f>IF($A199="","",INDEX(Assessment!$E:$E,$A199))</f>
        <v/>
      </c>
      <c r="E199" s="117" t="str">
        <f>IF($A199="","",INDEX(Assessment!$G:$G,$A199))</f>
        <v/>
      </c>
      <c r="F199" s="117" t="str">
        <f>IF($A199="","",INDEX(Assessment!$H:$H,$A199))</f>
        <v/>
      </c>
      <c r="G199" s="38" t="str">
        <f>IF($A199="","",INDEX(Assessment!$I:$I,$A199))</f>
        <v/>
      </c>
      <c r="H199" s="118"/>
      <c r="I199" s="118"/>
      <c r="J199" s="118"/>
      <c r="K199" s="118"/>
    </row>
    <row r="200" spans="1:11" ht="48" customHeight="1" x14ac:dyDescent="0.25">
      <c r="A200" s="116" t="str">
        <f>IFERROR(MATCH(196,Assessment!$M:$M,0),"")</f>
        <v/>
      </c>
      <c r="B200" s="122" t="str">
        <f>IF($A200="","",INDEX(Assessment!$B:$B,$A200))</f>
        <v/>
      </c>
      <c r="C200" s="122" t="str">
        <f>IF($A200="","",INDEX(Assessment!$D:$D,$A200))</f>
        <v/>
      </c>
      <c r="D200" s="122" t="str">
        <f>IF($A200="","",INDEX(Assessment!$E:$E,$A200))</f>
        <v/>
      </c>
      <c r="E200" s="122" t="str">
        <f>IF($A200="","",INDEX(Assessment!$G:$G,$A200))</f>
        <v/>
      </c>
      <c r="F200" s="122" t="str">
        <f>IF($A200="","",INDEX(Assessment!$H:$H,$A200))</f>
        <v/>
      </c>
      <c r="G200" s="120" t="str">
        <f>IF($A200="","",INDEX(Assessment!$I:$I,$A200))</f>
        <v/>
      </c>
      <c r="H200" s="118"/>
      <c r="I200" s="118"/>
      <c r="J200" s="118"/>
      <c r="K200" s="118"/>
    </row>
    <row r="201" spans="1:11" ht="48" customHeight="1" x14ac:dyDescent="0.25">
      <c r="A201" s="116" t="str">
        <f>IFERROR(MATCH(197,Assessment!$M:$M,0),"")</f>
        <v/>
      </c>
      <c r="B201" s="117" t="str">
        <f>IF($A201="","",INDEX(Assessment!$B:$B,$A201))</f>
        <v/>
      </c>
      <c r="C201" s="117" t="str">
        <f>IF($A201="","",INDEX(Assessment!$D:$D,$A201))</f>
        <v/>
      </c>
      <c r="D201" s="117" t="str">
        <f>IF($A201="","",INDEX(Assessment!$E:$E,$A201))</f>
        <v/>
      </c>
      <c r="E201" s="117" t="str">
        <f>IF($A201="","",INDEX(Assessment!$G:$G,$A201))</f>
        <v/>
      </c>
      <c r="F201" s="117" t="str">
        <f>IF($A201="","",INDEX(Assessment!$H:$H,$A201))</f>
        <v/>
      </c>
      <c r="G201" s="38" t="str">
        <f>IF($A201="","",INDEX(Assessment!$I:$I,$A201))</f>
        <v/>
      </c>
      <c r="H201" s="118"/>
      <c r="I201" s="118"/>
      <c r="J201" s="118"/>
      <c r="K201" s="118"/>
    </row>
    <row r="202" spans="1:11" ht="48" customHeight="1" x14ac:dyDescent="0.25">
      <c r="A202" s="116" t="str">
        <f>IFERROR(MATCH(198,Assessment!$M:$M,0),"")</f>
        <v/>
      </c>
      <c r="B202" s="122" t="str">
        <f>IF($A202="","",INDEX(Assessment!$B:$B,$A202))</f>
        <v/>
      </c>
      <c r="C202" s="122" t="str">
        <f>IF($A202="","",INDEX(Assessment!$D:$D,$A202))</f>
        <v/>
      </c>
      <c r="D202" s="122" t="str">
        <f>IF($A202="","",INDEX(Assessment!$E:$E,$A202))</f>
        <v/>
      </c>
      <c r="E202" s="122" t="str">
        <f>IF($A202="","",INDEX(Assessment!$G:$G,$A202))</f>
        <v/>
      </c>
      <c r="F202" s="122" t="str">
        <f>IF($A202="","",INDEX(Assessment!$H:$H,$A202))</f>
        <v/>
      </c>
      <c r="G202" s="120" t="str">
        <f>IF($A202="","",INDEX(Assessment!$I:$I,$A202))</f>
        <v/>
      </c>
      <c r="H202" s="118"/>
      <c r="I202" s="118"/>
      <c r="J202" s="118"/>
      <c r="K202" s="118"/>
    </row>
    <row r="203" spans="1:11" ht="48" customHeight="1" x14ac:dyDescent="0.25">
      <c r="A203" s="116" t="str">
        <f>IFERROR(MATCH(199,Assessment!$M:$M,0),"")</f>
        <v/>
      </c>
      <c r="B203" s="117" t="str">
        <f>IF($A203="","",INDEX(Assessment!$B:$B,$A203))</f>
        <v/>
      </c>
      <c r="C203" s="117" t="str">
        <f>IF($A203="","",INDEX(Assessment!$D:$D,$A203))</f>
        <v/>
      </c>
      <c r="D203" s="117" t="str">
        <f>IF($A203="","",INDEX(Assessment!$E:$E,$A203))</f>
        <v/>
      </c>
      <c r="E203" s="117" t="str">
        <f>IF($A203="","",INDEX(Assessment!$G:$G,$A203))</f>
        <v/>
      </c>
      <c r="F203" s="117" t="str">
        <f>IF($A203="","",INDEX(Assessment!$H:$H,$A203))</f>
        <v/>
      </c>
      <c r="G203" s="38" t="str">
        <f>IF($A203="","",INDEX(Assessment!$I:$I,$A203))</f>
        <v/>
      </c>
      <c r="H203" s="118"/>
      <c r="I203" s="118"/>
      <c r="J203" s="118"/>
      <c r="K203" s="118"/>
    </row>
    <row r="204" spans="1:11" ht="48" customHeight="1" x14ac:dyDescent="0.25">
      <c r="A204" s="116" t="str">
        <f>IFERROR(MATCH(200,Assessment!$M:$M,0),"")</f>
        <v/>
      </c>
      <c r="B204" s="122" t="str">
        <f>IF($A204="","",INDEX(Assessment!$B:$B,$A204))</f>
        <v/>
      </c>
      <c r="C204" s="122" t="str">
        <f>IF($A204="","",INDEX(Assessment!$D:$D,$A204))</f>
        <v/>
      </c>
      <c r="D204" s="122" t="str">
        <f>IF($A204="","",INDEX(Assessment!$E:$E,$A204))</f>
        <v/>
      </c>
      <c r="E204" s="122" t="str">
        <f>IF($A204="","",INDEX(Assessment!$G:$G,$A204))</f>
        <v/>
      </c>
      <c r="F204" s="122" t="str">
        <f>IF($A204="","",INDEX(Assessment!$H:$H,$A204))</f>
        <v/>
      </c>
      <c r="G204" s="120" t="str">
        <f>IF($A204="","",INDEX(Assessment!$I:$I,$A204))</f>
        <v/>
      </c>
      <c r="H204" s="118"/>
      <c r="I204" s="118"/>
      <c r="J204" s="118"/>
      <c r="K204" s="118"/>
    </row>
    <row r="205" spans="1:11" ht="48" customHeight="1" x14ac:dyDescent="0.25">
      <c r="A205" s="116" t="str">
        <f>IFERROR(MATCH(201,Assessment!$M:$M,0),"")</f>
        <v/>
      </c>
      <c r="B205" s="117" t="str">
        <f>IF($A205="","",INDEX(Assessment!$B:$B,$A205))</f>
        <v/>
      </c>
      <c r="C205" s="117" t="str">
        <f>IF($A205="","",INDEX(Assessment!$D:$D,$A205))</f>
        <v/>
      </c>
      <c r="D205" s="117" t="str">
        <f>IF($A205="","",INDEX(Assessment!$E:$E,$A205))</f>
        <v/>
      </c>
      <c r="E205" s="117" t="str">
        <f>IF($A205="","",INDEX(Assessment!$G:$G,$A205))</f>
        <v/>
      </c>
      <c r="F205" s="117" t="str">
        <f>IF($A205="","",INDEX(Assessment!$H:$H,$A205))</f>
        <v/>
      </c>
      <c r="G205" s="38" t="str">
        <f>IF($A205="","",INDEX(Assessment!$I:$I,$A205))</f>
        <v/>
      </c>
      <c r="H205" s="118"/>
      <c r="I205" s="118"/>
      <c r="J205" s="118"/>
      <c r="K205" s="118"/>
    </row>
    <row r="206" spans="1:11" ht="48" customHeight="1" x14ac:dyDescent="0.25">
      <c r="A206" s="116" t="str">
        <f>IFERROR(MATCH(202,Assessment!$M:$M,0),"")</f>
        <v/>
      </c>
      <c r="B206" s="122" t="str">
        <f>IF($A206="","",INDEX(Assessment!$B:$B,$A206))</f>
        <v/>
      </c>
      <c r="C206" s="122" t="str">
        <f>IF($A206="","",INDEX(Assessment!$D:$D,$A206))</f>
        <v/>
      </c>
      <c r="D206" s="122" t="str">
        <f>IF($A206="","",INDEX(Assessment!$E:$E,$A206))</f>
        <v/>
      </c>
      <c r="E206" s="122" t="str">
        <f>IF($A206="","",INDEX(Assessment!$G:$G,$A206))</f>
        <v/>
      </c>
      <c r="F206" s="122" t="str">
        <f>IF($A206="","",INDEX(Assessment!$H:$H,$A206))</f>
        <v/>
      </c>
      <c r="G206" s="120" t="str">
        <f>IF($A206="","",INDEX(Assessment!$I:$I,$A206))</f>
        <v/>
      </c>
      <c r="H206" s="118"/>
      <c r="I206" s="118"/>
      <c r="J206" s="118"/>
      <c r="K206" s="118"/>
    </row>
    <row r="207" spans="1:11" ht="48" customHeight="1" x14ac:dyDescent="0.25">
      <c r="A207" s="116" t="str">
        <f>IFERROR(MATCH(203,Assessment!$M:$M,0),"")</f>
        <v/>
      </c>
      <c r="B207" s="117" t="str">
        <f>IF($A207="","",INDEX(Assessment!$B:$B,$A207))</f>
        <v/>
      </c>
      <c r="C207" s="117" t="str">
        <f>IF($A207="","",INDEX(Assessment!$D:$D,$A207))</f>
        <v/>
      </c>
      <c r="D207" s="117" t="str">
        <f>IF($A207="","",INDEX(Assessment!$E:$E,$A207))</f>
        <v/>
      </c>
      <c r="E207" s="117" t="str">
        <f>IF($A207="","",INDEX(Assessment!$G:$G,$A207))</f>
        <v/>
      </c>
      <c r="F207" s="117" t="str">
        <f>IF($A207="","",INDEX(Assessment!$H:$H,$A207))</f>
        <v/>
      </c>
      <c r="G207" s="38" t="str">
        <f>IF($A207="","",INDEX(Assessment!$I:$I,$A207))</f>
        <v/>
      </c>
      <c r="H207" s="118"/>
      <c r="I207" s="118"/>
      <c r="J207" s="118"/>
      <c r="K207" s="118"/>
    </row>
    <row r="208" spans="1:11" ht="48" customHeight="1" x14ac:dyDescent="0.25">
      <c r="A208" s="116" t="str">
        <f>IFERROR(MATCH(204,Assessment!$M:$M,0),"")</f>
        <v/>
      </c>
      <c r="B208" s="122" t="str">
        <f>IF($A208="","",INDEX(Assessment!$B:$B,$A208))</f>
        <v/>
      </c>
      <c r="C208" s="122" t="str">
        <f>IF($A208="","",INDEX(Assessment!$D:$D,$A208))</f>
        <v/>
      </c>
      <c r="D208" s="122" t="str">
        <f>IF($A208="","",INDEX(Assessment!$E:$E,$A208))</f>
        <v/>
      </c>
      <c r="E208" s="122" t="str">
        <f>IF($A208="","",INDEX(Assessment!$G:$G,$A208))</f>
        <v/>
      </c>
      <c r="F208" s="122" t="str">
        <f>IF($A208="","",INDEX(Assessment!$H:$H,$A208))</f>
        <v/>
      </c>
      <c r="G208" s="120" t="str">
        <f>IF($A208="","",INDEX(Assessment!$I:$I,$A208))</f>
        <v/>
      </c>
      <c r="H208" s="118"/>
      <c r="I208" s="118"/>
      <c r="J208" s="118"/>
      <c r="K208" s="118"/>
    </row>
    <row r="209" spans="1:11" ht="48" customHeight="1" x14ac:dyDescent="0.25">
      <c r="A209" s="116" t="str">
        <f>IFERROR(MATCH(205,Assessment!$M:$M,0),"")</f>
        <v/>
      </c>
      <c r="B209" s="117" t="str">
        <f>IF($A209="","",INDEX(Assessment!$B:$B,$A209))</f>
        <v/>
      </c>
      <c r="C209" s="117" t="str">
        <f>IF($A209="","",INDEX(Assessment!$D:$D,$A209))</f>
        <v/>
      </c>
      <c r="D209" s="117" t="str">
        <f>IF($A209="","",INDEX(Assessment!$E:$E,$A209))</f>
        <v/>
      </c>
      <c r="E209" s="117" t="str">
        <f>IF($A209="","",INDEX(Assessment!$G:$G,$A209))</f>
        <v/>
      </c>
      <c r="F209" s="117" t="str">
        <f>IF($A209="","",INDEX(Assessment!$H:$H,$A209))</f>
        <v/>
      </c>
      <c r="G209" s="38" t="str">
        <f>IF($A209="","",INDEX(Assessment!$I:$I,$A209))</f>
        <v/>
      </c>
      <c r="H209" s="118"/>
      <c r="I209" s="118"/>
      <c r="J209" s="118"/>
      <c r="K209" s="118"/>
    </row>
    <row r="210" spans="1:11" ht="48" customHeight="1" x14ac:dyDescent="0.25">
      <c r="A210" s="116" t="str">
        <f>IFERROR(MATCH(206,Assessment!$M:$M,0),"")</f>
        <v/>
      </c>
      <c r="B210" s="122" t="str">
        <f>IF($A210="","",INDEX(Assessment!$B:$B,$A210))</f>
        <v/>
      </c>
      <c r="C210" s="122" t="str">
        <f>IF($A210="","",INDEX(Assessment!$D:$D,$A210))</f>
        <v/>
      </c>
      <c r="D210" s="122" t="str">
        <f>IF($A210="","",INDEX(Assessment!$E:$E,$A210))</f>
        <v/>
      </c>
      <c r="E210" s="122" t="str">
        <f>IF($A210="","",INDEX(Assessment!$G:$G,$A210))</f>
        <v/>
      </c>
      <c r="F210" s="122" t="str">
        <f>IF($A210="","",INDEX(Assessment!$H:$H,$A210))</f>
        <v/>
      </c>
      <c r="G210" s="120" t="str">
        <f>IF($A210="","",INDEX(Assessment!$I:$I,$A210))</f>
        <v/>
      </c>
      <c r="H210" s="118"/>
      <c r="I210" s="118"/>
      <c r="J210" s="118"/>
      <c r="K210" s="118"/>
    </row>
    <row r="211" spans="1:11" ht="48" customHeight="1" x14ac:dyDescent="0.25">
      <c r="A211" s="116" t="str">
        <f>IFERROR(MATCH(207,Assessment!$M:$M,0),"")</f>
        <v/>
      </c>
      <c r="B211" s="117" t="str">
        <f>IF($A211="","",INDEX(Assessment!$B:$B,$A211))</f>
        <v/>
      </c>
      <c r="C211" s="117" t="str">
        <f>IF($A211="","",INDEX(Assessment!$D:$D,$A211))</f>
        <v/>
      </c>
      <c r="D211" s="117" t="str">
        <f>IF($A211="","",INDEX(Assessment!$E:$E,$A211))</f>
        <v/>
      </c>
      <c r="E211" s="117" t="str">
        <f>IF($A211="","",INDEX(Assessment!$G:$G,$A211))</f>
        <v/>
      </c>
      <c r="F211" s="117" t="str">
        <f>IF($A211="","",INDEX(Assessment!$H:$H,$A211))</f>
        <v/>
      </c>
      <c r="G211" s="38" t="str">
        <f>IF($A211="","",INDEX(Assessment!$I:$I,$A211))</f>
        <v/>
      </c>
      <c r="H211" s="118"/>
      <c r="I211" s="118"/>
      <c r="J211" s="118"/>
      <c r="K211" s="118"/>
    </row>
    <row r="212" spans="1:11" ht="48" customHeight="1" x14ac:dyDescent="0.25">
      <c r="A212" s="116" t="str">
        <f>IFERROR(MATCH(208,Assessment!$M:$M,0),"")</f>
        <v/>
      </c>
      <c r="B212" s="122" t="str">
        <f>IF($A212="","",INDEX(Assessment!$B:$B,$A212))</f>
        <v/>
      </c>
      <c r="C212" s="122" t="str">
        <f>IF($A212="","",INDEX(Assessment!$D:$D,$A212))</f>
        <v/>
      </c>
      <c r="D212" s="122" t="str">
        <f>IF($A212="","",INDEX(Assessment!$E:$E,$A212))</f>
        <v/>
      </c>
      <c r="E212" s="122" t="str">
        <f>IF($A212="","",INDEX(Assessment!$G:$G,$A212))</f>
        <v/>
      </c>
      <c r="F212" s="122" t="str">
        <f>IF($A212="","",INDEX(Assessment!$H:$H,$A212))</f>
        <v/>
      </c>
      <c r="G212" s="120" t="str">
        <f>IF($A212="","",INDEX(Assessment!$I:$I,$A212))</f>
        <v/>
      </c>
      <c r="H212" s="118"/>
      <c r="I212" s="118"/>
      <c r="J212" s="118"/>
      <c r="K212" s="118"/>
    </row>
    <row r="213" spans="1:11" ht="48" customHeight="1" x14ac:dyDescent="0.25">
      <c r="A213" s="116" t="str">
        <f>IFERROR(MATCH(209,Assessment!$M:$M,0),"")</f>
        <v/>
      </c>
      <c r="B213" s="117" t="str">
        <f>IF($A213="","",INDEX(Assessment!$B:$B,$A213))</f>
        <v/>
      </c>
      <c r="C213" s="117" t="str">
        <f>IF($A213="","",INDEX(Assessment!$D:$D,$A213))</f>
        <v/>
      </c>
      <c r="D213" s="117" t="str">
        <f>IF($A213="","",INDEX(Assessment!$E:$E,$A213))</f>
        <v/>
      </c>
      <c r="E213" s="117" t="str">
        <f>IF($A213="","",INDEX(Assessment!$G:$G,$A213))</f>
        <v/>
      </c>
      <c r="F213" s="117" t="str">
        <f>IF($A213="","",INDEX(Assessment!$H:$H,$A213))</f>
        <v/>
      </c>
      <c r="G213" s="38" t="str">
        <f>IF($A213="","",INDEX(Assessment!$I:$I,$A213))</f>
        <v/>
      </c>
      <c r="H213" s="118"/>
      <c r="I213" s="118"/>
      <c r="J213" s="118"/>
      <c r="K213" s="118"/>
    </row>
    <row r="214" spans="1:11" ht="48" customHeight="1" x14ac:dyDescent="0.25">
      <c r="A214" s="116" t="str">
        <f>IFERROR(MATCH(210,Assessment!$M:$M,0),"")</f>
        <v/>
      </c>
      <c r="B214" s="122" t="str">
        <f>IF($A214="","",INDEX(Assessment!$B:$B,$A214))</f>
        <v/>
      </c>
      <c r="C214" s="122" t="str">
        <f>IF($A214="","",INDEX(Assessment!$D:$D,$A214))</f>
        <v/>
      </c>
      <c r="D214" s="122" t="str">
        <f>IF($A214="","",INDEX(Assessment!$E:$E,$A214))</f>
        <v/>
      </c>
      <c r="E214" s="122" t="str">
        <f>IF($A214="","",INDEX(Assessment!$G:$G,$A214))</f>
        <v/>
      </c>
      <c r="F214" s="122" t="str">
        <f>IF($A214="","",INDEX(Assessment!$H:$H,$A214))</f>
        <v/>
      </c>
      <c r="G214" s="120" t="str">
        <f>IF($A214="","",INDEX(Assessment!$I:$I,$A214))</f>
        <v/>
      </c>
      <c r="H214" s="118"/>
      <c r="I214" s="118"/>
      <c r="J214" s="118"/>
      <c r="K214" s="118"/>
    </row>
    <row r="215" spans="1:11" ht="48" customHeight="1" x14ac:dyDescent="0.25">
      <c r="A215" s="116" t="str">
        <f>IFERROR(MATCH(211,Assessment!$M:$M,0),"")</f>
        <v/>
      </c>
      <c r="B215" s="117" t="str">
        <f>IF($A215="","",INDEX(Assessment!$B:$B,$A215))</f>
        <v/>
      </c>
      <c r="C215" s="117" t="str">
        <f>IF($A215="","",INDEX(Assessment!$D:$D,$A215))</f>
        <v/>
      </c>
      <c r="D215" s="117" t="str">
        <f>IF($A215="","",INDEX(Assessment!$E:$E,$A215))</f>
        <v/>
      </c>
      <c r="E215" s="117" t="str">
        <f>IF($A215="","",INDEX(Assessment!$G:$G,$A215))</f>
        <v/>
      </c>
      <c r="F215" s="117" t="str">
        <f>IF($A215="","",INDEX(Assessment!$H:$H,$A215))</f>
        <v/>
      </c>
      <c r="G215" s="38" t="str">
        <f>IF($A215="","",INDEX(Assessment!$I:$I,$A215))</f>
        <v/>
      </c>
      <c r="H215" s="118"/>
      <c r="I215" s="118"/>
      <c r="J215" s="118"/>
      <c r="K215" s="118"/>
    </row>
    <row r="216" spans="1:11" ht="48" customHeight="1" x14ac:dyDescent="0.25">
      <c r="A216" s="116" t="str">
        <f>IFERROR(MATCH(212,Assessment!$M:$M,0),"")</f>
        <v/>
      </c>
      <c r="B216" s="122" t="str">
        <f>IF($A216="","",INDEX(Assessment!$B:$B,$A216))</f>
        <v/>
      </c>
      <c r="C216" s="122" t="str">
        <f>IF($A216="","",INDEX(Assessment!$D:$D,$A216))</f>
        <v/>
      </c>
      <c r="D216" s="122" t="str">
        <f>IF($A216="","",INDEX(Assessment!$E:$E,$A216))</f>
        <v/>
      </c>
      <c r="E216" s="122" t="str">
        <f>IF($A216="","",INDEX(Assessment!$G:$G,$A216))</f>
        <v/>
      </c>
      <c r="F216" s="122" t="str">
        <f>IF($A216="","",INDEX(Assessment!$H:$H,$A216))</f>
        <v/>
      </c>
      <c r="G216" s="120" t="str">
        <f>IF($A216="","",INDEX(Assessment!$I:$I,$A216))</f>
        <v/>
      </c>
      <c r="H216" s="118"/>
      <c r="I216" s="118"/>
      <c r="J216" s="118"/>
      <c r="K216" s="118"/>
    </row>
    <row r="217" spans="1:11" ht="48" customHeight="1" x14ac:dyDescent="0.25">
      <c r="A217" s="116" t="str">
        <f>IFERROR(MATCH(213,Assessment!$M:$M,0),"")</f>
        <v/>
      </c>
      <c r="B217" s="117" t="str">
        <f>IF($A217="","",INDEX(Assessment!$B:$B,$A217))</f>
        <v/>
      </c>
      <c r="C217" s="117" t="str">
        <f>IF($A217="","",INDEX(Assessment!$D:$D,$A217))</f>
        <v/>
      </c>
      <c r="D217" s="117" t="str">
        <f>IF($A217="","",INDEX(Assessment!$E:$E,$A217))</f>
        <v/>
      </c>
      <c r="E217" s="117" t="str">
        <f>IF($A217="","",INDEX(Assessment!$G:$G,$A217))</f>
        <v/>
      </c>
      <c r="F217" s="117" t="str">
        <f>IF($A217="","",INDEX(Assessment!$H:$H,$A217))</f>
        <v/>
      </c>
      <c r="G217" s="38" t="str">
        <f>IF($A217="","",INDEX(Assessment!$I:$I,$A217))</f>
        <v/>
      </c>
      <c r="H217" s="118"/>
      <c r="I217" s="118"/>
      <c r="J217" s="118"/>
      <c r="K217" s="118"/>
    </row>
    <row r="218" spans="1:11" ht="48" customHeight="1" x14ac:dyDescent="0.25">
      <c r="A218" s="116" t="str">
        <f>IFERROR(MATCH(214,Assessment!$M:$M,0),"")</f>
        <v/>
      </c>
      <c r="B218" s="122" t="str">
        <f>IF($A218="","",INDEX(Assessment!$B:$B,$A218))</f>
        <v/>
      </c>
      <c r="C218" s="122" t="str">
        <f>IF($A218="","",INDEX(Assessment!$D:$D,$A218))</f>
        <v/>
      </c>
      <c r="D218" s="122" t="str">
        <f>IF($A218="","",INDEX(Assessment!$E:$E,$A218))</f>
        <v/>
      </c>
      <c r="E218" s="122" t="str">
        <f>IF($A218="","",INDEX(Assessment!$G:$G,$A218))</f>
        <v/>
      </c>
      <c r="F218" s="122" t="str">
        <f>IF($A218="","",INDEX(Assessment!$H:$H,$A218))</f>
        <v/>
      </c>
      <c r="G218" s="120" t="str">
        <f>IF($A218="","",INDEX(Assessment!$I:$I,$A218))</f>
        <v/>
      </c>
      <c r="H218" s="118"/>
      <c r="I218" s="118"/>
      <c r="J218" s="118"/>
      <c r="K218" s="118"/>
    </row>
    <row r="219" spans="1:11" ht="48" customHeight="1" x14ac:dyDescent="0.25">
      <c r="A219" s="116" t="str">
        <f>IFERROR(MATCH(215,Assessment!$M:$M,0),"")</f>
        <v/>
      </c>
      <c r="B219" s="117" t="str">
        <f>IF($A219="","",INDEX(Assessment!$B:$B,$A219))</f>
        <v/>
      </c>
      <c r="C219" s="117" t="str">
        <f>IF($A219="","",INDEX(Assessment!$D:$D,$A219))</f>
        <v/>
      </c>
      <c r="D219" s="117" t="str">
        <f>IF($A219="","",INDEX(Assessment!$E:$E,$A219))</f>
        <v/>
      </c>
      <c r="E219" s="117" t="str">
        <f>IF($A219="","",INDEX(Assessment!$G:$G,$A219))</f>
        <v/>
      </c>
      <c r="F219" s="117" t="str">
        <f>IF($A219="","",INDEX(Assessment!$H:$H,$A219))</f>
        <v/>
      </c>
      <c r="G219" s="38" t="str">
        <f>IF($A219="","",INDEX(Assessment!$I:$I,$A219))</f>
        <v/>
      </c>
      <c r="H219" s="118"/>
      <c r="I219" s="118"/>
      <c r="J219" s="118"/>
      <c r="K219" s="118"/>
    </row>
    <row r="220" spans="1:11" ht="48" customHeight="1" x14ac:dyDescent="0.25">
      <c r="A220" s="116" t="str">
        <f>IFERROR(MATCH(216,Assessment!$M:$M,0),"")</f>
        <v/>
      </c>
      <c r="B220" s="122" t="str">
        <f>IF($A220="","",INDEX(Assessment!$B:$B,$A220))</f>
        <v/>
      </c>
      <c r="C220" s="122" t="str">
        <f>IF($A220="","",INDEX(Assessment!$D:$D,$A220))</f>
        <v/>
      </c>
      <c r="D220" s="122" t="str">
        <f>IF($A220="","",INDEX(Assessment!$E:$E,$A220))</f>
        <v/>
      </c>
      <c r="E220" s="122" t="str">
        <f>IF($A220="","",INDEX(Assessment!$G:$G,$A220))</f>
        <v/>
      </c>
      <c r="F220" s="122" t="str">
        <f>IF($A220="","",INDEX(Assessment!$H:$H,$A220))</f>
        <v/>
      </c>
      <c r="G220" s="120" t="str">
        <f>IF($A220="","",INDEX(Assessment!$I:$I,$A220))</f>
        <v/>
      </c>
      <c r="H220" s="118"/>
      <c r="I220" s="118"/>
      <c r="J220" s="118"/>
      <c r="K220" s="118"/>
    </row>
    <row r="221" spans="1:11" ht="48" customHeight="1" x14ac:dyDescent="0.25">
      <c r="A221" s="116" t="str">
        <f>IFERROR(MATCH(217,Assessment!$M:$M,0),"")</f>
        <v/>
      </c>
      <c r="B221" s="117" t="str">
        <f>IF($A221="","",INDEX(Assessment!$B:$B,$A221))</f>
        <v/>
      </c>
      <c r="C221" s="117" t="str">
        <f>IF($A221="","",INDEX(Assessment!$D:$D,$A221))</f>
        <v/>
      </c>
      <c r="D221" s="117" t="str">
        <f>IF($A221="","",INDEX(Assessment!$E:$E,$A221))</f>
        <v/>
      </c>
      <c r="E221" s="117" t="str">
        <f>IF($A221="","",INDEX(Assessment!$G:$G,$A221))</f>
        <v/>
      </c>
      <c r="F221" s="117" t="str">
        <f>IF($A221="","",INDEX(Assessment!$H:$H,$A221))</f>
        <v/>
      </c>
      <c r="G221" s="38" t="str">
        <f>IF($A221="","",INDEX(Assessment!$I:$I,$A221))</f>
        <v/>
      </c>
      <c r="H221" s="118"/>
      <c r="I221" s="118"/>
      <c r="J221" s="118"/>
      <c r="K221" s="118"/>
    </row>
    <row r="222" spans="1:11" ht="48" customHeight="1" x14ac:dyDescent="0.25">
      <c r="A222" s="116" t="str">
        <f>IFERROR(MATCH(218,Assessment!$M:$M,0),"")</f>
        <v/>
      </c>
      <c r="B222" s="122" t="str">
        <f>IF($A222="","",INDEX(Assessment!$B:$B,$A222))</f>
        <v/>
      </c>
      <c r="C222" s="122" t="str">
        <f>IF($A222="","",INDEX(Assessment!$D:$D,$A222))</f>
        <v/>
      </c>
      <c r="D222" s="122" t="str">
        <f>IF($A222="","",INDEX(Assessment!$E:$E,$A222))</f>
        <v/>
      </c>
      <c r="E222" s="122" t="str">
        <f>IF($A222="","",INDEX(Assessment!$G:$G,$A222))</f>
        <v/>
      </c>
      <c r="F222" s="122" t="str">
        <f>IF($A222="","",INDEX(Assessment!$H:$H,$A222))</f>
        <v/>
      </c>
      <c r="G222" s="120" t="str">
        <f>IF($A222="","",INDEX(Assessment!$I:$I,$A222))</f>
        <v/>
      </c>
      <c r="H222" s="118"/>
      <c r="I222" s="118"/>
      <c r="J222" s="118"/>
      <c r="K222" s="118"/>
    </row>
    <row r="223" spans="1:11" ht="48" customHeight="1" x14ac:dyDescent="0.25">
      <c r="A223" s="116" t="str">
        <f>IFERROR(MATCH(219,Assessment!$M:$M,0),"")</f>
        <v/>
      </c>
      <c r="B223" s="117" t="str">
        <f>IF($A223="","",INDEX(Assessment!$B:$B,$A223))</f>
        <v/>
      </c>
      <c r="C223" s="117" t="str">
        <f>IF($A223="","",INDEX(Assessment!$D:$D,$A223))</f>
        <v/>
      </c>
      <c r="D223" s="117" t="str">
        <f>IF($A223="","",INDEX(Assessment!$E:$E,$A223))</f>
        <v/>
      </c>
      <c r="E223" s="117" t="str">
        <f>IF($A223="","",INDEX(Assessment!$G:$G,$A223))</f>
        <v/>
      </c>
      <c r="F223" s="117" t="str">
        <f>IF($A223="","",INDEX(Assessment!$H:$H,$A223))</f>
        <v/>
      </c>
      <c r="G223" s="38" t="str">
        <f>IF($A223="","",INDEX(Assessment!$I:$I,$A223))</f>
        <v/>
      </c>
      <c r="H223" s="118"/>
      <c r="I223" s="118"/>
      <c r="J223" s="118"/>
      <c r="K223" s="118"/>
    </row>
    <row r="224" spans="1:11" ht="48" customHeight="1" x14ac:dyDescent="0.25">
      <c r="A224" s="116" t="str">
        <f>IFERROR(MATCH(220,Assessment!$M:$M,0),"")</f>
        <v/>
      </c>
      <c r="B224" s="122" t="str">
        <f>IF($A224="","",INDEX(Assessment!$B:$B,$A224))</f>
        <v/>
      </c>
      <c r="C224" s="122" t="str">
        <f>IF($A224="","",INDEX(Assessment!$D:$D,$A224))</f>
        <v/>
      </c>
      <c r="D224" s="122" t="str">
        <f>IF($A224="","",INDEX(Assessment!$E:$E,$A224))</f>
        <v/>
      </c>
      <c r="E224" s="122" t="str">
        <f>IF($A224="","",INDEX(Assessment!$G:$G,$A224))</f>
        <v/>
      </c>
      <c r="F224" s="122" t="str">
        <f>IF($A224="","",INDEX(Assessment!$H:$H,$A224))</f>
        <v/>
      </c>
      <c r="G224" s="120" t="str">
        <f>IF($A224="","",INDEX(Assessment!$I:$I,$A224))</f>
        <v/>
      </c>
      <c r="H224" s="118"/>
      <c r="I224" s="118"/>
      <c r="J224" s="118"/>
      <c r="K224" s="118"/>
    </row>
    <row r="225" spans="1:11" ht="48" customHeight="1" x14ac:dyDescent="0.25">
      <c r="A225" s="116" t="str">
        <f>IFERROR(MATCH(221,Assessment!$M:$M,0),"")</f>
        <v/>
      </c>
      <c r="B225" s="117" t="str">
        <f>IF($A225="","",INDEX(Assessment!$B:$B,$A225))</f>
        <v/>
      </c>
      <c r="C225" s="117" t="str">
        <f>IF($A225="","",INDEX(Assessment!$D:$D,$A225))</f>
        <v/>
      </c>
      <c r="D225" s="117" t="str">
        <f>IF($A225="","",INDEX(Assessment!$E:$E,$A225))</f>
        <v/>
      </c>
      <c r="E225" s="117" t="str">
        <f>IF($A225="","",INDEX(Assessment!$G:$G,$A225))</f>
        <v/>
      </c>
      <c r="F225" s="117" t="str">
        <f>IF($A225="","",INDEX(Assessment!$H:$H,$A225))</f>
        <v/>
      </c>
      <c r="G225" s="38" t="str">
        <f>IF($A225="","",INDEX(Assessment!$I:$I,$A225))</f>
        <v/>
      </c>
      <c r="H225" s="118"/>
      <c r="I225" s="118"/>
      <c r="J225" s="118"/>
      <c r="K225" s="118"/>
    </row>
    <row r="226" spans="1:11" ht="48" customHeight="1" x14ac:dyDescent="0.25">
      <c r="A226" s="116" t="str">
        <f>IFERROR(MATCH(222,Assessment!$M:$M,0),"")</f>
        <v/>
      </c>
      <c r="B226" s="122" t="str">
        <f>IF($A226="","",INDEX(Assessment!$B:$B,$A226))</f>
        <v/>
      </c>
      <c r="C226" s="122" t="str">
        <f>IF($A226="","",INDEX(Assessment!$D:$D,$A226))</f>
        <v/>
      </c>
      <c r="D226" s="122" t="str">
        <f>IF($A226="","",INDEX(Assessment!$E:$E,$A226))</f>
        <v/>
      </c>
      <c r="E226" s="122" t="str">
        <f>IF($A226="","",INDEX(Assessment!$G:$G,$A226))</f>
        <v/>
      </c>
      <c r="F226" s="122" t="str">
        <f>IF($A226="","",INDEX(Assessment!$H:$H,$A226))</f>
        <v/>
      </c>
      <c r="G226" s="120" t="str">
        <f>IF($A226="","",INDEX(Assessment!$I:$I,$A226))</f>
        <v/>
      </c>
      <c r="H226" s="118"/>
      <c r="I226" s="118"/>
      <c r="J226" s="118"/>
      <c r="K226" s="118"/>
    </row>
    <row r="227" spans="1:11" ht="48" customHeight="1" x14ac:dyDescent="0.25">
      <c r="A227" s="116" t="str">
        <f>IFERROR(MATCH(223,Assessment!$M:$M,0),"")</f>
        <v/>
      </c>
      <c r="B227" s="117" t="str">
        <f>IF($A227="","",INDEX(Assessment!$B:$B,$A227))</f>
        <v/>
      </c>
      <c r="C227" s="117" t="str">
        <f>IF($A227="","",INDEX(Assessment!$D:$D,$A227))</f>
        <v/>
      </c>
      <c r="D227" s="117" t="str">
        <f>IF($A227="","",INDEX(Assessment!$E:$E,$A227))</f>
        <v/>
      </c>
      <c r="E227" s="117" t="str">
        <f>IF($A227="","",INDEX(Assessment!$G:$G,$A227))</f>
        <v/>
      </c>
      <c r="F227" s="117" t="str">
        <f>IF($A227="","",INDEX(Assessment!$H:$H,$A227))</f>
        <v/>
      </c>
      <c r="G227" s="38" t="str">
        <f>IF($A227="","",INDEX(Assessment!$I:$I,$A227))</f>
        <v/>
      </c>
      <c r="H227" s="118"/>
      <c r="I227" s="118"/>
      <c r="J227" s="118"/>
      <c r="K227" s="118"/>
    </row>
    <row r="228" spans="1:11" ht="48" customHeight="1" x14ac:dyDescent="0.25">
      <c r="A228" s="116" t="str">
        <f>IFERROR(MATCH(224,Assessment!$M:$M,0),"")</f>
        <v/>
      </c>
      <c r="B228" s="122" t="str">
        <f>IF($A228="","",INDEX(Assessment!$B:$B,$A228))</f>
        <v/>
      </c>
      <c r="C228" s="122" t="str">
        <f>IF($A228="","",INDEX(Assessment!$D:$D,$A228))</f>
        <v/>
      </c>
      <c r="D228" s="122" t="str">
        <f>IF($A228="","",INDEX(Assessment!$E:$E,$A228))</f>
        <v/>
      </c>
      <c r="E228" s="122" t="str">
        <f>IF($A228="","",INDEX(Assessment!$G:$G,$A228))</f>
        <v/>
      </c>
      <c r="F228" s="122" t="str">
        <f>IF($A228="","",INDEX(Assessment!$H:$H,$A228))</f>
        <v/>
      </c>
      <c r="G228" s="120" t="str">
        <f>IF($A228="","",INDEX(Assessment!$I:$I,$A228))</f>
        <v/>
      </c>
      <c r="H228" s="118"/>
      <c r="I228" s="118"/>
      <c r="J228" s="118"/>
      <c r="K228" s="118"/>
    </row>
    <row r="229" spans="1:11" ht="48" customHeight="1" x14ac:dyDescent="0.25">
      <c r="A229" s="116" t="str">
        <f>IFERROR(MATCH(225,Assessment!$M:$M,0),"")</f>
        <v/>
      </c>
      <c r="B229" s="117" t="str">
        <f>IF($A229="","",INDEX(Assessment!$B:$B,$A229))</f>
        <v/>
      </c>
      <c r="C229" s="117" t="str">
        <f>IF($A229="","",INDEX(Assessment!$D:$D,$A229))</f>
        <v/>
      </c>
      <c r="D229" s="117" t="str">
        <f>IF($A229="","",INDEX(Assessment!$E:$E,$A229))</f>
        <v/>
      </c>
      <c r="E229" s="117" t="str">
        <f>IF($A229="","",INDEX(Assessment!$G:$G,$A229))</f>
        <v/>
      </c>
      <c r="F229" s="117" t="str">
        <f>IF($A229="","",INDEX(Assessment!$H:$H,$A229))</f>
        <v/>
      </c>
      <c r="G229" s="38" t="str">
        <f>IF($A229="","",INDEX(Assessment!$I:$I,$A229))</f>
        <v/>
      </c>
      <c r="H229" s="118"/>
      <c r="I229" s="118"/>
      <c r="J229" s="118"/>
      <c r="K229" s="118"/>
    </row>
    <row r="230" spans="1:11" ht="48" customHeight="1" x14ac:dyDescent="0.25">
      <c r="A230" s="116" t="str">
        <f>IFERROR(MATCH(226,Assessment!$M:$M,0),"")</f>
        <v/>
      </c>
      <c r="B230" s="122" t="str">
        <f>IF($A230="","",INDEX(Assessment!$B:$B,$A230))</f>
        <v/>
      </c>
      <c r="C230" s="122" t="str">
        <f>IF($A230="","",INDEX(Assessment!$D:$D,$A230))</f>
        <v/>
      </c>
      <c r="D230" s="122" t="str">
        <f>IF($A230="","",INDEX(Assessment!$E:$E,$A230))</f>
        <v/>
      </c>
      <c r="E230" s="122" t="str">
        <f>IF($A230="","",INDEX(Assessment!$G:$G,$A230))</f>
        <v/>
      </c>
      <c r="F230" s="122" t="str">
        <f>IF($A230="","",INDEX(Assessment!$H:$H,$A230))</f>
        <v/>
      </c>
      <c r="G230" s="120" t="str">
        <f>IF($A230="","",INDEX(Assessment!$I:$I,$A230))</f>
        <v/>
      </c>
      <c r="H230" s="118"/>
      <c r="I230" s="118"/>
      <c r="J230" s="118"/>
      <c r="K230" s="118"/>
    </row>
    <row r="231" spans="1:11" ht="48" customHeight="1" x14ac:dyDescent="0.25">
      <c r="A231" s="116" t="str">
        <f>IFERROR(MATCH(227,Assessment!$M:$M,0),"")</f>
        <v/>
      </c>
      <c r="B231" s="117" t="str">
        <f>IF($A231="","",INDEX(Assessment!$B:$B,$A231))</f>
        <v/>
      </c>
      <c r="C231" s="117" t="str">
        <f>IF($A231="","",INDEX(Assessment!$D:$D,$A231))</f>
        <v/>
      </c>
      <c r="D231" s="117" t="str">
        <f>IF($A231="","",INDEX(Assessment!$E:$E,$A231))</f>
        <v/>
      </c>
      <c r="E231" s="117" t="str">
        <f>IF($A231="","",INDEX(Assessment!$G:$G,$A231))</f>
        <v/>
      </c>
      <c r="F231" s="117" t="str">
        <f>IF($A231="","",INDEX(Assessment!$H:$H,$A231))</f>
        <v/>
      </c>
      <c r="G231" s="38" t="str">
        <f>IF($A231="","",INDEX(Assessment!$I:$I,$A231))</f>
        <v/>
      </c>
      <c r="H231" s="118"/>
      <c r="I231" s="118"/>
      <c r="J231" s="118"/>
      <c r="K231" s="118"/>
    </row>
    <row r="232" spans="1:11" ht="48" customHeight="1" x14ac:dyDescent="0.25">
      <c r="A232" s="116" t="str">
        <f>IFERROR(MATCH(228,Assessment!$M:$M,0),"")</f>
        <v/>
      </c>
      <c r="B232" s="122" t="str">
        <f>IF($A232="","",INDEX(Assessment!$B:$B,$A232))</f>
        <v/>
      </c>
      <c r="C232" s="122" t="str">
        <f>IF($A232="","",INDEX(Assessment!$D:$D,$A232))</f>
        <v/>
      </c>
      <c r="D232" s="122" t="str">
        <f>IF($A232="","",INDEX(Assessment!$E:$E,$A232))</f>
        <v/>
      </c>
      <c r="E232" s="122" t="str">
        <f>IF($A232="","",INDEX(Assessment!$G:$G,$A232))</f>
        <v/>
      </c>
      <c r="F232" s="122" t="str">
        <f>IF($A232="","",INDEX(Assessment!$H:$H,$A232))</f>
        <v/>
      </c>
      <c r="G232" s="120" t="str">
        <f>IF($A232="","",INDEX(Assessment!$I:$I,$A232))</f>
        <v/>
      </c>
      <c r="H232" s="118"/>
      <c r="I232" s="118"/>
      <c r="J232" s="118"/>
      <c r="K232" s="118"/>
    </row>
    <row r="233" spans="1:11" ht="48" customHeight="1" x14ac:dyDescent="0.25">
      <c r="A233" s="116" t="str">
        <f>IFERROR(MATCH(229,Assessment!$M:$M,0),"")</f>
        <v/>
      </c>
      <c r="B233" s="117" t="str">
        <f>IF($A233="","",INDEX(Assessment!$B:$B,$A233))</f>
        <v/>
      </c>
      <c r="C233" s="117" t="str">
        <f>IF($A233="","",INDEX(Assessment!$D:$D,$A233))</f>
        <v/>
      </c>
      <c r="D233" s="117" t="str">
        <f>IF($A233="","",INDEX(Assessment!$E:$E,$A233))</f>
        <v/>
      </c>
      <c r="E233" s="117" t="str">
        <f>IF($A233="","",INDEX(Assessment!$G:$G,$A233))</f>
        <v/>
      </c>
      <c r="F233" s="117" t="str">
        <f>IF($A233="","",INDEX(Assessment!$H:$H,$A233))</f>
        <v/>
      </c>
      <c r="G233" s="38" t="str">
        <f>IF($A233="","",INDEX(Assessment!$I:$I,$A233))</f>
        <v/>
      </c>
      <c r="H233" s="118"/>
      <c r="I233" s="118"/>
      <c r="J233" s="118"/>
      <c r="K233" s="118"/>
    </row>
    <row r="234" spans="1:11" ht="48" customHeight="1" x14ac:dyDescent="0.25">
      <c r="A234" s="116" t="str">
        <f>IFERROR(MATCH(230,Assessment!$M:$M,0),"")</f>
        <v/>
      </c>
      <c r="B234" s="122" t="str">
        <f>IF($A234="","",INDEX(Assessment!$B:$B,$A234))</f>
        <v/>
      </c>
      <c r="C234" s="122" t="str">
        <f>IF($A234="","",INDEX(Assessment!$D:$D,$A234))</f>
        <v/>
      </c>
      <c r="D234" s="122" t="str">
        <f>IF($A234="","",INDEX(Assessment!$E:$E,$A234))</f>
        <v/>
      </c>
      <c r="E234" s="122" t="str">
        <f>IF($A234="","",INDEX(Assessment!$G:$G,$A234))</f>
        <v/>
      </c>
      <c r="F234" s="122" t="str">
        <f>IF($A234="","",INDEX(Assessment!$H:$H,$A234))</f>
        <v/>
      </c>
      <c r="G234" s="120" t="str">
        <f>IF($A234="","",INDEX(Assessment!$I:$I,$A234))</f>
        <v/>
      </c>
      <c r="H234" s="118"/>
      <c r="I234" s="118"/>
      <c r="J234" s="118"/>
      <c r="K234" s="118"/>
    </row>
    <row r="235" spans="1:11" ht="48" customHeight="1" x14ac:dyDescent="0.25">
      <c r="A235" s="116" t="str">
        <f>IFERROR(MATCH(231,Assessment!$M:$M,0),"")</f>
        <v/>
      </c>
      <c r="B235" s="117" t="str">
        <f>IF($A235="","",INDEX(Assessment!$B:$B,$A235))</f>
        <v/>
      </c>
      <c r="C235" s="117" t="str">
        <f>IF($A235="","",INDEX(Assessment!$D:$D,$A235))</f>
        <v/>
      </c>
      <c r="D235" s="117" t="str">
        <f>IF($A235="","",INDEX(Assessment!$E:$E,$A235))</f>
        <v/>
      </c>
      <c r="E235" s="117" t="str">
        <f>IF($A235="","",INDEX(Assessment!$G:$G,$A235))</f>
        <v/>
      </c>
      <c r="F235" s="117" t="str">
        <f>IF($A235="","",INDEX(Assessment!$H:$H,$A235))</f>
        <v/>
      </c>
      <c r="G235" s="38" t="str">
        <f>IF($A235="","",INDEX(Assessment!$I:$I,$A235))</f>
        <v/>
      </c>
      <c r="H235" s="118"/>
      <c r="I235" s="118"/>
      <c r="J235" s="118"/>
      <c r="K235" s="118"/>
    </row>
    <row r="236" spans="1:11" ht="48" customHeight="1" x14ac:dyDescent="0.25">
      <c r="A236" s="116" t="str">
        <f>IFERROR(MATCH(232,Assessment!$M:$M,0),"")</f>
        <v/>
      </c>
      <c r="B236" s="122" t="str">
        <f>IF($A236="","",INDEX(Assessment!$B:$B,$A236))</f>
        <v/>
      </c>
      <c r="C236" s="122" t="str">
        <f>IF($A236="","",INDEX(Assessment!$D:$D,$A236))</f>
        <v/>
      </c>
      <c r="D236" s="122" t="str">
        <f>IF($A236="","",INDEX(Assessment!$E:$E,$A236))</f>
        <v/>
      </c>
      <c r="E236" s="122" t="str">
        <f>IF($A236="","",INDEX(Assessment!$G:$G,$A236))</f>
        <v/>
      </c>
      <c r="F236" s="122" t="str">
        <f>IF($A236="","",INDEX(Assessment!$H:$H,$A236))</f>
        <v/>
      </c>
      <c r="G236" s="120" t="str">
        <f>IF($A236="","",INDEX(Assessment!$I:$I,$A236))</f>
        <v/>
      </c>
      <c r="H236" s="118"/>
      <c r="I236" s="118"/>
      <c r="J236" s="118"/>
      <c r="K236" s="118"/>
    </row>
    <row r="237" spans="1:11" ht="48" customHeight="1" x14ac:dyDescent="0.25">
      <c r="A237" s="116" t="str">
        <f>IFERROR(MATCH(233,Assessment!$M:$M,0),"")</f>
        <v/>
      </c>
      <c r="B237" s="117" t="str">
        <f>IF($A237="","",INDEX(Assessment!$B:$B,$A237))</f>
        <v/>
      </c>
      <c r="C237" s="117" t="str">
        <f>IF($A237="","",INDEX(Assessment!$D:$D,$A237))</f>
        <v/>
      </c>
      <c r="D237" s="117" t="str">
        <f>IF($A237="","",INDEX(Assessment!$E:$E,$A237))</f>
        <v/>
      </c>
      <c r="E237" s="117" t="str">
        <f>IF($A237="","",INDEX(Assessment!$G:$G,$A237))</f>
        <v/>
      </c>
      <c r="F237" s="117" t="str">
        <f>IF($A237="","",INDEX(Assessment!$H:$H,$A237))</f>
        <v/>
      </c>
      <c r="G237" s="38" t="str">
        <f>IF($A237="","",INDEX(Assessment!$I:$I,$A237))</f>
        <v/>
      </c>
      <c r="H237" s="118"/>
      <c r="I237" s="118"/>
      <c r="J237" s="118"/>
      <c r="K237" s="118"/>
    </row>
    <row r="238" spans="1:11" ht="48" customHeight="1" x14ac:dyDescent="0.25">
      <c r="A238" s="116" t="str">
        <f>IFERROR(MATCH(234,Assessment!$M:$M,0),"")</f>
        <v/>
      </c>
      <c r="B238" s="122" t="str">
        <f>IF($A238="","",INDEX(Assessment!$B:$B,$A238))</f>
        <v/>
      </c>
      <c r="C238" s="122" t="str">
        <f>IF($A238="","",INDEX(Assessment!$D:$D,$A238))</f>
        <v/>
      </c>
      <c r="D238" s="122" t="str">
        <f>IF($A238="","",INDEX(Assessment!$E:$E,$A238))</f>
        <v/>
      </c>
      <c r="E238" s="122" t="str">
        <f>IF($A238="","",INDEX(Assessment!$G:$G,$A238))</f>
        <v/>
      </c>
      <c r="F238" s="122" t="str">
        <f>IF($A238="","",INDEX(Assessment!$H:$H,$A238))</f>
        <v/>
      </c>
      <c r="G238" s="120" t="str">
        <f>IF($A238="","",INDEX(Assessment!$I:$I,$A238))</f>
        <v/>
      </c>
      <c r="H238" s="118"/>
      <c r="I238" s="118"/>
      <c r="J238" s="118"/>
      <c r="K238" s="118"/>
    </row>
  </sheetData>
  <mergeCells count="2">
    <mergeCell ref="A1:K2"/>
    <mergeCell ref="A3:K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38"/>
  <sheetViews>
    <sheetView showGridLines="0" zoomScaleNormal="100" workbookViewId="0">
      <pane xSplit="1" ySplit="4" topLeftCell="G44" activePane="bottomRight" state="frozen"/>
      <selection pane="topRight" activeCell="B1" sqref="B1"/>
      <selection pane="bottomLeft" activeCell="A5" sqref="A5"/>
      <selection pane="bottomRight" activeCell="L51" sqref="L51"/>
    </sheetView>
  </sheetViews>
  <sheetFormatPr defaultColWidth="8.7109375" defaultRowHeight="15" x14ac:dyDescent="0.25"/>
  <cols>
    <col min="1" max="1" width="0.42578125" customWidth="1"/>
    <col min="2" max="2" width="12" customWidth="1"/>
    <col min="3" max="3" width="18" customWidth="1"/>
    <col min="4" max="4" width="20" customWidth="1"/>
    <col min="5" max="5" width="26" customWidth="1"/>
    <col min="6" max="6" width="34" customWidth="1"/>
    <col min="7" max="7" width="30" customWidth="1"/>
    <col min="8" max="8" width="34" customWidth="1"/>
    <col min="9" max="9" width="30" customWidth="1"/>
    <col min="10" max="10" width="16" customWidth="1"/>
    <col min="11" max="11" width="14" customWidth="1"/>
  </cols>
  <sheetData>
    <row r="1" spans="1:11" ht="25.5" customHeight="1" x14ac:dyDescent="0.25">
      <c r="A1" s="158" t="s">
        <v>2813</v>
      </c>
      <c r="B1" s="158"/>
      <c r="C1" s="158"/>
      <c r="D1" s="158"/>
      <c r="E1" s="158"/>
      <c r="F1" s="158"/>
      <c r="G1" s="158"/>
      <c r="H1" s="158"/>
      <c r="I1" s="158"/>
      <c r="J1" s="158"/>
      <c r="K1" s="158"/>
    </row>
    <row r="2" spans="1:11" ht="25.5" customHeight="1" x14ac:dyDescent="0.25">
      <c r="A2" s="158"/>
      <c r="B2" s="158"/>
      <c r="C2" s="158"/>
      <c r="D2" s="158"/>
      <c r="E2" s="158"/>
      <c r="F2" s="158"/>
      <c r="G2" s="158"/>
      <c r="H2" s="158"/>
      <c r="I2" s="158"/>
      <c r="J2" s="158"/>
      <c r="K2" s="158"/>
    </row>
    <row r="3" spans="1:11" ht="39.75" customHeight="1" x14ac:dyDescent="0.25">
      <c r="A3" s="156" t="s">
        <v>2680</v>
      </c>
      <c r="B3" s="156"/>
      <c r="C3" s="156"/>
      <c r="D3" s="156"/>
      <c r="E3" s="156"/>
      <c r="F3" s="156"/>
      <c r="G3" s="156"/>
      <c r="H3" s="156"/>
      <c r="I3" s="156"/>
      <c r="J3" s="156"/>
      <c r="K3" s="156"/>
    </row>
    <row r="4" spans="1:11" ht="33.75" customHeight="1" x14ac:dyDescent="0.25">
      <c r="A4" s="113" t="s">
        <v>2668</v>
      </c>
      <c r="B4" s="123" t="s">
        <v>2681</v>
      </c>
      <c r="C4" s="123" t="s">
        <v>36</v>
      </c>
      <c r="D4" s="123" t="s">
        <v>38</v>
      </c>
      <c r="E4" s="123" t="s">
        <v>39</v>
      </c>
      <c r="F4" s="123" t="s">
        <v>2669</v>
      </c>
      <c r="G4" s="123" t="s">
        <v>2682</v>
      </c>
      <c r="H4" s="115" t="s">
        <v>2683</v>
      </c>
      <c r="I4" s="123" t="s">
        <v>2684</v>
      </c>
      <c r="J4" s="123" t="s">
        <v>2685</v>
      </c>
      <c r="K4" s="123" t="s">
        <v>2679</v>
      </c>
    </row>
    <row r="5" spans="1:11" ht="48" customHeight="1" x14ac:dyDescent="0.25">
      <c r="A5" s="116" t="str">
        <f>IFERROR(MATCH(1,Assessment!$N:$N,0),"")</f>
        <v/>
      </c>
      <c r="B5" s="117" t="str">
        <f>IF($A5="","",INDEX(Assessment!$K:$K,$A5))</f>
        <v/>
      </c>
      <c r="C5" s="117" t="str">
        <f>IF($A5="","",INDEX(Assessment!$B:$B,$A5))</f>
        <v/>
      </c>
      <c r="D5" s="117" t="str">
        <f>IF($A5="","",INDEX(Assessment!$D:$D,$A5))</f>
        <v/>
      </c>
      <c r="E5" s="117" t="str">
        <f>IF($A5="","",INDEX(Assessment!$E:$E,$A5))</f>
        <v/>
      </c>
      <c r="F5" s="117" t="str">
        <f>IF($A5="","",INDEX(Assessment!$G:$G,$A5))</f>
        <v/>
      </c>
      <c r="G5" s="117" t="str">
        <f>IF($A5="","",INDEX(Assessment!$H:$H,$A5))</f>
        <v/>
      </c>
      <c r="H5" s="38" t="str">
        <f>IF($A5="","",INDEX(Assessment!$I:$I,$A5))</f>
        <v/>
      </c>
      <c r="I5" s="118"/>
      <c r="J5" s="118"/>
      <c r="K5" s="118"/>
    </row>
    <row r="6" spans="1:11" ht="48" customHeight="1" x14ac:dyDescent="0.25">
      <c r="A6" s="116" t="str">
        <f>IFERROR(MATCH(2,Assessment!$N:$N,0),"")</f>
        <v/>
      </c>
      <c r="B6" s="124" t="str">
        <f>IF($A6="","",INDEX(Assessment!$K:$K,$A6))</f>
        <v/>
      </c>
      <c r="C6" s="124" t="str">
        <f>IF($A6="","",INDEX(Assessment!$B:$B,$A6))</f>
        <v/>
      </c>
      <c r="D6" s="124" t="str">
        <f>IF($A6="","",INDEX(Assessment!$D:$D,$A6))</f>
        <v/>
      </c>
      <c r="E6" s="124" t="str">
        <f>IF($A6="","",INDEX(Assessment!$E:$E,$A6))</f>
        <v/>
      </c>
      <c r="F6" s="124" t="str">
        <f>IF($A6="","",INDEX(Assessment!$G:$G,$A6))</f>
        <v/>
      </c>
      <c r="G6" s="124" t="str">
        <f>IF($A6="","",INDEX(Assessment!$H:$H,$A6))</f>
        <v/>
      </c>
      <c r="H6" s="120" t="str">
        <f>IF($A6="","",INDEX(Assessment!$I:$I,$A6))</f>
        <v/>
      </c>
      <c r="I6" s="118"/>
      <c r="J6" s="118"/>
      <c r="K6" s="118"/>
    </row>
    <row r="7" spans="1:11" ht="48" customHeight="1" x14ac:dyDescent="0.25">
      <c r="A7" s="116" t="str">
        <f>IFERROR(MATCH(3,Assessment!$N:$N,0),"")</f>
        <v/>
      </c>
      <c r="B7" s="117" t="str">
        <f>IF($A7="","",INDEX(Assessment!$K:$K,$A7))</f>
        <v/>
      </c>
      <c r="C7" s="117" t="str">
        <f>IF($A7="","",INDEX(Assessment!$B:$B,$A7))</f>
        <v/>
      </c>
      <c r="D7" s="117" t="str">
        <f>IF($A7="","",INDEX(Assessment!$D:$D,$A7))</f>
        <v/>
      </c>
      <c r="E7" s="117" t="str">
        <f>IF($A7="","",INDEX(Assessment!$E:$E,$A7))</f>
        <v/>
      </c>
      <c r="F7" s="117" t="str">
        <f>IF($A7="","",INDEX(Assessment!$G:$G,$A7))</f>
        <v/>
      </c>
      <c r="G7" s="117" t="str">
        <f>IF($A7="","",INDEX(Assessment!$H:$H,$A7))</f>
        <v/>
      </c>
      <c r="H7" s="38" t="str">
        <f>IF($A7="","",INDEX(Assessment!$I:$I,$A7))</f>
        <v/>
      </c>
      <c r="I7" s="118"/>
      <c r="J7" s="118"/>
      <c r="K7" s="118"/>
    </row>
    <row r="8" spans="1:11" ht="48" customHeight="1" x14ac:dyDescent="0.25">
      <c r="A8" s="116" t="str">
        <f>IFERROR(MATCH(4,Assessment!$N:$N,0),"")</f>
        <v/>
      </c>
      <c r="B8" s="124" t="str">
        <f>IF($A8="","",INDEX(Assessment!$K:$K,$A8))</f>
        <v/>
      </c>
      <c r="C8" s="124" t="str">
        <f>IF($A8="","",INDEX(Assessment!$B:$B,$A8))</f>
        <v/>
      </c>
      <c r="D8" s="124" t="str">
        <f>IF($A8="","",INDEX(Assessment!$D:$D,$A8))</f>
        <v/>
      </c>
      <c r="E8" s="124" t="str">
        <f>IF($A8="","",INDEX(Assessment!$E:$E,$A8))</f>
        <v/>
      </c>
      <c r="F8" s="124" t="str">
        <f>IF($A8="","",INDEX(Assessment!$G:$G,$A8))</f>
        <v/>
      </c>
      <c r="G8" s="124" t="str">
        <f>IF($A8="","",INDEX(Assessment!$H:$H,$A8))</f>
        <v/>
      </c>
      <c r="H8" s="120" t="str">
        <f>IF($A8="","",INDEX(Assessment!$I:$I,$A8))</f>
        <v/>
      </c>
      <c r="I8" s="118"/>
      <c r="J8" s="118"/>
      <c r="K8" s="118"/>
    </row>
    <row r="9" spans="1:11" ht="48" customHeight="1" x14ac:dyDescent="0.25">
      <c r="A9" s="116" t="str">
        <f>IFERROR(MATCH(5,Assessment!$N:$N,0),"")</f>
        <v/>
      </c>
      <c r="B9" s="117" t="str">
        <f>IF($A9="","",INDEX(Assessment!$K:$K,$A9))</f>
        <v/>
      </c>
      <c r="C9" s="117" t="str">
        <f>IF($A9="","",INDEX(Assessment!$B:$B,$A9))</f>
        <v/>
      </c>
      <c r="D9" s="117" t="str">
        <f>IF($A9="","",INDEX(Assessment!$D:$D,$A9))</f>
        <v/>
      </c>
      <c r="E9" s="117" t="str">
        <f>IF($A9="","",INDEX(Assessment!$E:$E,$A9))</f>
        <v/>
      </c>
      <c r="F9" s="117" t="str">
        <f>IF($A9="","",INDEX(Assessment!$G:$G,$A9))</f>
        <v/>
      </c>
      <c r="G9" s="117" t="str">
        <f>IF($A9="","",INDEX(Assessment!$H:$H,$A9))</f>
        <v/>
      </c>
      <c r="H9" s="38" t="str">
        <f>IF($A9="","",INDEX(Assessment!$I:$I,$A9))</f>
        <v/>
      </c>
      <c r="I9" s="118"/>
      <c r="J9" s="118"/>
      <c r="K9" s="118"/>
    </row>
    <row r="10" spans="1:11" ht="48" customHeight="1" x14ac:dyDescent="0.25">
      <c r="A10" s="116" t="str">
        <f>IFERROR(MATCH(6,Assessment!$N:$N,0),"")</f>
        <v/>
      </c>
      <c r="B10" s="124" t="str">
        <f>IF($A10="","",INDEX(Assessment!$K:$K,$A10))</f>
        <v/>
      </c>
      <c r="C10" s="124" t="str">
        <f>IF($A10="","",INDEX(Assessment!$B:$B,$A10))</f>
        <v/>
      </c>
      <c r="D10" s="124" t="str">
        <f>IF($A10="","",INDEX(Assessment!$D:$D,$A10))</f>
        <v/>
      </c>
      <c r="E10" s="124" t="str">
        <f>IF($A10="","",INDEX(Assessment!$E:$E,$A10))</f>
        <v/>
      </c>
      <c r="F10" s="124" t="str">
        <f>IF($A10="","",INDEX(Assessment!$G:$G,$A10))</f>
        <v/>
      </c>
      <c r="G10" s="124" t="str">
        <f>IF($A10="","",INDEX(Assessment!$H:$H,$A10))</f>
        <v/>
      </c>
      <c r="H10" s="120" t="str">
        <f>IF($A10="","",INDEX(Assessment!$I:$I,$A10))</f>
        <v/>
      </c>
      <c r="I10" s="118"/>
      <c r="J10" s="118"/>
      <c r="K10" s="118"/>
    </row>
    <row r="11" spans="1:11" ht="48" customHeight="1" x14ac:dyDescent="0.25">
      <c r="A11" s="116" t="str">
        <f>IFERROR(MATCH(7,Assessment!$N:$N,0),"")</f>
        <v/>
      </c>
      <c r="B11" s="117" t="str">
        <f>IF($A11="","",INDEX(Assessment!$K:$K,$A11))</f>
        <v/>
      </c>
      <c r="C11" s="117" t="str">
        <f>IF($A11="","",INDEX(Assessment!$B:$B,$A11))</f>
        <v/>
      </c>
      <c r="D11" s="117" t="str">
        <f>IF($A11="","",INDEX(Assessment!$D:$D,$A11))</f>
        <v/>
      </c>
      <c r="E11" s="117" t="str">
        <f>IF($A11="","",INDEX(Assessment!$E:$E,$A11))</f>
        <v/>
      </c>
      <c r="F11" s="117" t="str">
        <f>IF($A11="","",INDEX(Assessment!$G:$G,$A11))</f>
        <v/>
      </c>
      <c r="G11" s="117" t="str">
        <f>IF($A11="","",INDEX(Assessment!$H:$H,$A11))</f>
        <v/>
      </c>
      <c r="H11" s="38" t="str">
        <f>IF($A11="","",INDEX(Assessment!$I:$I,$A11))</f>
        <v/>
      </c>
      <c r="I11" s="118"/>
      <c r="J11" s="118"/>
      <c r="K11" s="118"/>
    </row>
    <row r="12" spans="1:11" ht="48" customHeight="1" x14ac:dyDescent="0.25">
      <c r="A12" s="116" t="str">
        <f>IFERROR(MATCH(8,Assessment!$N:$N,0),"")</f>
        <v/>
      </c>
      <c r="B12" s="124" t="str">
        <f>IF($A12="","",INDEX(Assessment!$K:$K,$A12))</f>
        <v/>
      </c>
      <c r="C12" s="124" t="str">
        <f>IF($A12="","",INDEX(Assessment!$B:$B,$A12))</f>
        <v/>
      </c>
      <c r="D12" s="124" t="str">
        <f>IF($A12="","",INDEX(Assessment!$D:$D,$A12))</f>
        <v/>
      </c>
      <c r="E12" s="124" t="str">
        <f>IF($A12="","",INDEX(Assessment!$E:$E,$A12))</f>
        <v/>
      </c>
      <c r="F12" s="124" t="str">
        <f>IF($A12="","",INDEX(Assessment!$G:$G,$A12))</f>
        <v/>
      </c>
      <c r="G12" s="124" t="str">
        <f>IF($A12="","",INDEX(Assessment!$H:$H,$A12))</f>
        <v/>
      </c>
      <c r="H12" s="120" t="str">
        <f>IF($A12="","",INDEX(Assessment!$I:$I,$A12))</f>
        <v/>
      </c>
      <c r="I12" s="118"/>
      <c r="J12" s="118"/>
      <c r="K12" s="118"/>
    </row>
    <row r="13" spans="1:11" ht="48" customHeight="1" x14ac:dyDescent="0.25">
      <c r="A13" s="116" t="str">
        <f>IFERROR(MATCH(9,Assessment!$N:$N,0),"")</f>
        <v/>
      </c>
      <c r="B13" s="117" t="str">
        <f>IF($A13="","",INDEX(Assessment!$K:$K,$A13))</f>
        <v/>
      </c>
      <c r="C13" s="117" t="str">
        <f>IF($A13="","",INDEX(Assessment!$B:$B,$A13))</f>
        <v/>
      </c>
      <c r="D13" s="117" t="str">
        <f>IF($A13="","",INDEX(Assessment!$D:$D,$A13))</f>
        <v/>
      </c>
      <c r="E13" s="117" t="str">
        <f>IF($A13="","",INDEX(Assessment!$E:$E,$A13))</f>
        <v/>
      </c>
      <c r="F13" s="117" t="str">
        <f>IF($A13="","",INDEX(Assessment!$G:$G,$A13))</f>
        <v/>
      </c>
      <c r="G13" s="117" t="str">
        <f>IF($A13="","",INDEX(Assessment!$H:$H,$A13))</f>
        <v/>
      </c>
      <c r="H13" s="38" t="str">
        <f>IF($A13="","",INDEX(Assessment!$I:$I,$A13))</f>
        <v/>
      </c>
      <c r="I13" s="118"/>
      <c r="J13" s="118"/>
      <c r="K13" s="118"/>
    </row>
    <row r="14" spans="1:11" ht="48" customHeight="1" x14ac:dyDescent="0.25">
      <c r="A14" s="116" t="str">
        <f>IFERROR(MATCH(10,Assessment!$N:$N,0),"")</f>
        <v/>
      </c>
      <c r="B14" s="124" t="str">
        <f>IF($A14="","",INDEX(Assessment!$K:$K,$A14))</f>
        <v/>
      </c>
      <c r="C14" s="124" t="str">
        <f>IF($A14="","",INDEX(Assessment!$B:$B,$A14))</f>
        <v/>
      </c>
      <c r="D14" s="124" t="str">
        <f>IF($A14="","",INDEX(Assessment!$D:$D,$A14))</f>
        <v/>
      </c>
      <c r="E14" s="124" t="str">
        <f>IF($A14="","",INDEX(Assessment!$E:$E,$A14))</f>
        <v/>
      </c>
      <c r="F14" s="124" t="str">
        <f>IF($A14="","",INDEX(Assessment!$G:$G,$A14))</f>
        <v/>
      </c>
      <c r="G14" s="124" t="str">
        <f>IF($A14="","",INDEX(Assessment!$H:$H,$A14))</f>
        <v/>
      </c>
      <c r="H14" s="120" t="str">
        <f>IF($A14="","",INDEX(Assessment!$I:$I,$A14))</f>
        <v/>
      </c>
      <c r="I14" s="118"/>
      <c r="J14" s="118"/>
      <c r="K14" s="118"/>
    </row>
    <row r="15" spans="1:11" ht="48" customHeight="1" x14ac:dyDescent="0.25">
      <c r="A15" s="116" t="str">
        <f>IFERROR(MATCH(11,Assessment!$N:$N,0),"")</f>
        <v/>
      </c>
      <c r="B15" s="117" t="str">
        <f>IF($A15="","",INDEX(Assessment!$K:$K,$A15))</f>
        <v/>
      </c>
      <c r="C15" s="117" t="str">
        <f>IF($A15="","",INDEX(Assessment!$B:$B,$A15))</f>
        <v/>
      </c>
      <c r="D15" s="117" t="str">
        <f>IF($A15="","",INDEX(Assessment!$D:$D,$A15))</f>
        <v/>
      </c>
      <c r="E15" s="117" t="str">
        <f>IF($A15="","",INDEX(Assessment!$E:$E,$A15))</f>
        <v/>
      </c>
      <c r="F15" s="117" t="str">
        <f>IF($A15="","",INDEX(Assessment!$G:$G,$A15))</f>
        <v/>
      </c>
      <c r="G15" s="117" t="str">
        <f>IF($A15="","",INDEX(Assessment!$H:$H,$A15))</f>
        <v/>
      </c>
      <c r="H15" s="38" t="str">
        <f>IF($A15="","",INDEX(Assessment!$I:$I,$A15))</f>
        <v/>
      </c>
      <c r="I15" s="118"/>
      <c r="J15" s="118"/>
      <c r="K15" s="118"/>
    </row>
    <row r="16" spans="1:11" ht="48" customHeight="1" x14ac:dyDescent="0.25">
      <c r="A16" s="116" t="str">
        <f>IFERROR(MATCH(12,Assessment!$N:$N,0),"")</f>
        <v/>
      </c>
      <c r="B16" s="124" t="str">
        <f>IF($A16="","",INDEX(Assessment!$K:$K,$A16))</f>
        <v/>
      </c>
      <c r="C16" s="124" t="str">
        <f>IF($A16="","",INDEX(Assessment!$B:$B,$A16))</f>
        <v/>
      </c>
      <c r="D16" s="124" t="str">
        <f>IF($A16="","",INDEX(Assessment!$D:$D,$A16))</f>
        <v/>
      </c>
      <c r="E16" s="124" t="str">
        <f>IF($A16="","",INDEX(Assessment!$E:$E,$A16))</f>
        <v/>
      </c>
      <c r="F16" s="124" t="str">
        <f>IF($A16="","",INDEX(Assessment!$G:$G,$A16))</f>
        <v/>
      </c>
      <c r="G16" s="124" t="str">
        <f>IF($A16="","",INDEX(Assessment!$H:$H,$A16))</f>
        <v/>
      </c>
      <c r="H16" s="120" t="str">
        <f>IF($A16="","",INDEX(Assessment!$I:$I,$A16))</f>
        <v/>
      </c>
      <c r="I16" s="118"/>
      <c r="J16" s="118"/>
      <c r="K16" s="118"/>
    </row>
    <row r="17" spans="1:11" ht="48" customHeight="1" x14ac:dyDescent="0.25">
      <c r="A17" s="116" t="str">
        <f>IFERROR(MATCH(13,Assessment!$N:$N,0),"")</f>
        <v/>
      </c>
      <c r="B17" s="117" t="str">
        <f>IF($A17="","",INDEX(Assessment!$K:$K,$A17))</f>
        <v/>
      </c>
      <c r="C17" s="117" t="str">
        <f>IF($A17="","",INDEX(Assessment!$B:$B,$A17))</f>
        <v/>
      </c>
      <c r="D17" s="117" t="str">
        <f>IF($A17="","",INDEX(Assessment!$D:$D,$A17))</f>
        <v/>
      </c>
      <c r="E17" s="117" t="str">
        <f>IF($A17="","",INDEX(Assessment!$E:$E,$A17))</f>
        <v/>
      </c>
      <c r="F17" s="117" t="str">
        <f>IF($A17="","",INDEX(Assessment!$G:$G,$A17))</f>
        <v/>
      </c>
      <c r="G17" s="117" t="str">
        <f>IF($A17="","",INDEX(Assessment!$H:$H,$A17))</f>
        <v/>
      </c>
      <c r="H17" s="38" t="str">
        <f>IF($A17="","",INDEX(Assessment!$I:$I,$A17))</f>
        <v/>
      </c>
      <c r="I17" s="118"/>
      <c r="J17" s="118"/>
      <c r="K17" s="118"/>
    </row>
    <row r="18" spans="1:11" ht="48" customHeight="1" x14ac:dyDescent="0.25">
      <c r="A18" s="116" t="str">
        <f>IFERROR(MATCH(14,Assessment!$N:$N,0),"")</f>
        <v/>
      </c>
      <c r="B18" s="124" t="str">
        <f>IF($A18="","",INDEX(Assessment!$K:$K,$A18))</f>
        <v/>
      </c>
      <c r="C18" s="124" t="str">
        <f>IF($A18="","",INDEX(Assessment!$B:$B,$A18))</f>
        <v/>
      </c>
      <c r="D18" s="124" t="str">
        <f>IF($A18="","",INDEX(Assessment!$D:$D,$A18))</f>
        <v/>
      </c>
      <c r="E18" s="124" t="str">
        <f>IF($A18="","",INDEX(Assessment!$E:$E,$A18))</f>
        <v/>
      </c>
      <c r="F18" s="124" t="str">
        <f>IF($A18="","",INDEX(Assessment!$G:$G,$A18))</f>
        <v/>
      </c>
      <c r="G18" s="124" t="str">
        <f>IF($A18="","",INDEX(Assessment!$H:$H,$A18))</f>
        <v/>
      </c>
      <c r="H18" s="120" t="str">
        <f>IF($A18="","",INDEX(Assessment!$I:$I,$A18))</f>
        <v/>
      </c>
      <c r="I18" s="118"/>
      <c r="J18" s="118"/>
      <c r="K18" s="118"/>
    </row>
    <row r="19" spans="1:11" ht="48" customHeight="1" x14ac:dyDescent="0.25">
      <c r="A19" s="116" t="str">
        <f>IFERROR(MATCH(15,Assessment!$N:$N,0),"")</f>
        <v/>
      </c>
      <c r="B19" s="117" t="str">
        <f>IF($A19="","",INDEX(Assessment!$K:$K,$A19))</f>
        <v/>
      </c>
      <c r="C19" s="117" t="str">
        <f>IF($A19="","",INDEX(Assessment!$B:$B,$A19))</f>
        <v/>
      </c>
      <c r="D19" s="117" t="str">
        <f>IF($A19="","",INDEX(Assessment!$D:$D,$A19))</f>
        <v/>
      </c>
      <c r="E19" s="117" t="str">
        <f>IF($A19="","",INDEX(Assessment!$E:$E,$A19))</f>
        <v/>
      </c>
      <c r="F19" s="117" t="str">
        <f>IF($A19="","",INDEX(Assessment!$G:$G,$A19))</f>
        <v/>
      </c>
      <c r="G19" s="117" t="str">
        <f>IF($A19="","",INDEX(Assessment!$H:$H,$A19))</f>
        <v/>
      </c>
      <c r="H19" s="38" t="str">
        <f>IF($A19="","",INDEX(Assessment!$I:$I,$A19))</f>
        <v/>
      </c>
      <c r="I19" s="118"/>
      <c r="J19" s="118"/>
      <c r="K19" s="118"/>
    </row>
    <row r="20" spans="1:11" ht="48" customHeight="1" x14ac:dyDescent="0.25">
      <c r="A20" s="116" t="str">
        <f>IFERROR(MATCH(16,Assessment!$N:$N,0),"")</f>
        <v/>
      </c>
      <c r="B20" s="124" t="str">
        <f>IF($A20="","",INDEX(Assessment!$K:$K,$A20))</f>
        <v/>
      </c>
      <c r="C20" s="124" t="str">
        <f>IF($A20="","",INDEX(Assessment!$B:$B,$A20))</f>
        <v/>
      </c>
      <c r="D20" s="124" t="str">
        <f>IF($A20="","",INDEX(Assessment!$D:$D,$A20))</f>
        <v/>
      </c>
      <c r="E20" s="124" t="str">
        <f>IF($A20="","",INDEX(Assessment!$E:$E,$A20))</f>
        <v/>
      </c>
      <c r="F20" s="124" t="str">
        <f>IF($A20="","",INDEX(Assessment!$G:$G,$A20))</f>
        <v/>
      </c>
      <c r="G20" s="124" t="str">
        <f>IF($A20="","",INDEX(Assessment!$H:$H,$A20))</f>
        <v/>
      </c>
      <c r="H20" s="120" t="str">
        <f>IF($A20="","",INDEX(Assessment!$I:$I,$A20))</f>
        <v/>
      </c>
      <c r="I20" s="118"/>
      <c r="J20" s="118"/>
      <c r="K20" s="118"/>
    </row>
    <row r="21" spans="1:11" ht="48" customHeight="1" x14ac:dyDescent="0.25">
      <c r="A21" s="116" t="str">
        <f>IFERROR(MATCH(17,Assessment!$N:$N,0),"")</f>
        <v/>
      </c>
      <c r="B21" s="117" t="str">
        <f>IF($A21="","",INDEX(Assessment!$K:$K,$A21))</f>
        <v/>
      </c>
      <c r="C21" s="117" t="str">
        <f>IF($A21="","",INDEX(Assessment!$B:$B,$A21))</f>
        <v/>
      </c>
      <c r="D21" s="117" t="str">
        <f>IF($A21="","",INDEX(Assessment!$D:$D,$A21))</f>
        <v/>
      </c>
      <c r="E21" s="117" t="str">
        <f>IF($A21="","",INDEX(Assessment!$E:$E,$A21))</f>
        <v/>
      </c>
      <c r="F21" s="117" t="str">
        <f>IF($A21="","",INDEX(Assessment!$G:$G,$A21))</f>
        <v/>
      </c>
      <c r="G21" s="117" t="str">
        <f>IF($A21="","",INDEX(Assessment!$H:$H,$A21))</f>
        <v/>
      </c>
      <c r="H21" s="38" t="str">
        <f>IF($A21="","",INDEX(Assessment!$I:$I,$A21))</f>
        <v/>
      </c>
      <c r="I21" s="118"/>
      <c r="J21" s="118"/>
      <c r="K21" s="118"/>
    </row>
    <row r="22" spans="1:11" ht="48" customHeight="1" x14ac:dyDescent="0.25">
      <c r="A22" s="116" t="str">
        <f>IFERROR(MATCH(18,Assessment!$N:$N,0),"")</f>
        <v/>
      </c>
      <c r="B22" s="124" t="str">
        <f>IF($A22="","",INDEX(Assessment!$K:$K,$A22))</f>
        <v/>
      </c>
      <c r="C22" s="124" t="str">
        <f>IF($A22="","",INDEX(Assessment!$B:$B,$A22))</f>
        <v/>
      </c>
      <c r="D22" s="124" t="str">
        <f>IF($A22="","",INDEX(Assessment!$D:$D,$A22))</f>
        <v/>
      </c>
      <c r="E22" s="124" t="str">
        <f>IF($A22="","",INDEX(Assessment!$E:$E,$A22))</f>
        <v/>
      </c>
      <c r="F22" s="124" t="str">
        <f>IF($A22="","",INDEX(Assessment!$G:$G,$A22))</f>
        <v/>
      </c>
      <c r="G22" s="124" t="str">
        <f>IF($A22="","",INDEX(Assessment!$H:$H,$A22))</f>
        <v/>
      </c>
      <c r="H22" s="120" t="str">
        <f>IF($A22="","",INDEX(Assessment!$I:$I,$A22))</f>
        <v/>
      </c>
      <c r="I22" s="118"/>
      <c r="J22" s="118"/>
      <c r="K22" s="118"/>
    </row>
    <row r="23" spans="1:11" ht="48" customHeight="1" x14ac:dyDescent="0.25">
      <c r="A23" s="116" t="str">
        <f>IFERROR(MATCH(19,Assessment!$N:$N,0),"")</f>
        <v/>
      </c>
      <c r="B23" s="117" t="str">
        <f>IF($A23="","",INDEX(Assessment!$K:$K,$A23))</f>
        <v/>
      </c>
      <c r="C23" s="117" t="str">
        <f>IF($A23="","",INDEX(Assessment!$B:$B,$A23))</f>
        <v/>
      </c>
      <c r="D23" s="117" t="str">
        <f>IF($A23="","",INDEX(Assessment!$D:$D,$A23))</f>
        <v/>
      </c>
      <c r="E23" s="117" t="str">
        <f>IF($A23="","",INDEX(Assessment!$E:$E,$A23))</f>
        <v/>
      </c>
      <c r="F23" s="117" t="str">
        <f>IF($A23="","",INDEX(Assessment!$G:$G,$A23))</f>
        <v/>
      </c>
      <c r="G23" s="117" t="str">
        <f>IF($A23="","",INDEX(Assessment!$H:$H,$A23))</f>
        <v/>
      </c>
      <c r="H23" s="38" t="str">
        <f>IF($A23="","",INDEX(Assessment!$I:$I,$A23))</f>
        <v/>
      </c>
      <c r="I23" s="118"/>
      <c r="J23" s="118"/>
      <c r="K23" s="118"/>
    </row>
    <row r="24" spans="1:11" ht="48" customHeight="1" x14ac:dyDescent="0.25">
      <c r="A24" s="116" t="str">
        <f>IFERROR(MATCH(20,Assessment!$N:$N,0),"")</f>
        <v/>
      </c>
      <c r="B24" s="124" t="str">
        <f>IF($A24="","",INDEX(Assessment!$K:$K,$A24))</f>
        <v/>
      </c>
      <c r="C24" s="124" t="str">
        <f>IF($A24="","",INDEX(Assessment!$B:$B,$A24))</f>
        <v/>
      </c>
      <c r="D24" s="124" t="str">
        <f>IF($A24="","",INDEX(Assessment!$D:$D,$A24))</f>
        <v/>
      </c>
      <c r="E24" s="124" t="str">
        <f>IF($A24="","",INDEX(Assessment!$E:$E,$A24))</f>
        <v/>
      </c>
      <c r="F24" s="124" t="str">
        <f>IF($A24="","",INDEX(Assessment!$G:$G,$A24))</f>
        <v/>
      </c>
      <c r="G24" s="124" t="str">
        <f>IF($A24="","",INDEX(Assessment!$H:$H,$A24))</f>
        <v/>
      </c>
      <c r="H24" s="120" t="str">
        <f>IF($A24="","",INDEX(Assessment!$I:$I,$A24))</f>
        <v/>
      </c>
      <c r="I24" s="118"/>
      <c r="J24" s="118"/>
      <c r="K24" s="118"/>
    </row>
    <row r="25" spans="1:11" ht="48" customHeight="1" x14ac:dyDescent="0.25">
      <c r="A25" s="116" t="str">
        <f>IFERROR(MATCH(21,Assessment!$N:$N,0),"")</f>
        <v/>
      </c>
      <c r="B25" s="117" t="str">
        <f>IF($A25="","",INDEX(Assessment!$K:$K,$A25))</f>
        <v/>
      </c>
      <c r="C25" s="117" t="str">
        <f>IF($A25="","",INDEX(Assessment!$B:$B,$A25))</f>
        <v/>
      </c>
      <c r="D25" s="117" t="str">
        <f>IF($A25="","",INDEX(Assessment!$D:$D,$A25))</f>
        <v/>
      </c>
      <c r="E25" s="117" t="str">
        <f>IF($A25="","",INDEX(Assessment!$E:$E,$A25))</f>
        <v/>
      </c>
      <c r="F25" s="117" t="str">
        <f>IF($A25="","",INDEX(Assessment!$G:$G,$A25))</f>
        <v/>
      </c>
      <c r="G25" s="117" t="str">
        <f>IF($A25="","",INDEX(Assessment!$H:$H,$A25))</f>
        <v/>
      </c>
      <c r="H25" s="38" t="str">
        <f>IF($A25="","",INDEX(Assessment!$I:$I,$A25))</f>
        <v/>
      </c>
      <c r="I25" s="118"/>
      <c r="J25" s="118"/>
      <c r="K25" s="118"/>
    </row>
    <row r="26" spans="1:11" ht="48" customHeight="1" x14ac:dyDescent="0.25">
      <c r="A26" s="116" t="str">
        <f>IFERROR(MATCH(22,Assessment!$N:$N,0),"")</f>
        <v/>
      </c>
      <c r="B26" s="124" t="str">
        <f>IF($A26="","",INDEX(Assessment!$K:$K,$A26))</f>
        <v/>
      </c>
      <c r="C26" s="124" t="str">
        <f>IF($A26="","",INDEX(Assessment!$B:$B,$A26))</f>
        <v/>
      </c>
      <c r="D26" s="124" t="str">
        <f>IF($A26="","",INDEX(Assessment!$D:$D,$A26))</f>
        <v/>
      </c>
      <c r="E26" s="124" t="str">
        <f>IF($A26="","",INDEX(Assessment!$E:$E,$A26))</f>
        <v/>
      </c>
      <c r="F26" s="124" t="str">
        <f>IF($A26="","",INDEX(Assessment!$G:$G,$A26))</f>
        <v/>
      </c>
      <c r="G26" s="124" t="str">
        <f>IF($A26="","",INDEX(Assessment!$H:$H,$A26))</f>
        <v/>
      </c>
      <c r="H26" s="120" t="str">
        <f>IF($A26="","",INDEX(Assessment!$I:$I,$A26))</f>
        <v/>
      </c>
      <c r="I26" s="118"/>
      <c r="J26" s="118"/>
      <c r="K26" s="118"/>
    </row>
    <row r="27" spans="1:11" ht="48" customHeight="1" x14ac:dyDescent="0.25">
      <c r="A27" s="116" t="str">
        <f>IFERROR(MATCH(23,Assessment!$N:$N,0),"")</f>
        <v/>
      </c>
      <c r="B27" s="117" t="str">
        <f>IF($A27="","",INDEX(Assessment!$K:$K,$A27))</f>
        <v/>
      </c>
      <c r="C27" s="117" t="str">
        <f>IF($A27="","",INDEX(Assessment!$B:$B,$A27))</f>
        <v/>
      </c>
      <c r="D27" s="117" t="str">
        <f>IF($A27="","",INDEX(Assessment!$D:$D,$A27))</f>
        <v/>
      </c>
      <c r="E27" s="117" t="str">
        <f>IF($A27="","",INDEX(Assessment!$E:$E,$A27))</f>
        <v/>
      </c>
      <c r="F27" s="117" t="str">
        <f>IF($A27="","",INDEX(Assessment!$G:$G,$A27))</f>
        <v/>
      </c>
      <c r="G27" s="117" t="str">
        <f>IF($A27="","",INDEX(Assessment!$H:$H,$A27))</f>
        <v/>
      </c>
      <c r="H27" s="38" t="str">
        <f>IF($A27="","",INDEX(Assessment!$I:$I,$A27))</f>
        <v/>
      </c>
      <c r="I27" s="118"/>
      <c r="J27" s="118"/>
      <c r="K27" s="118"/>
    </row>
    <row r="28" spans="1:11" ht="48" customHeight="1" x14ac:dyDescent="0.25">
      <c r="A28" s="116" t="str">
        <f>IFERROR(MATCH(24,Assessment!$N:$N,0),"")</f>
        <v/>
      </c>
      <c r="B28" s="124" t="str">
        <f>IF($A28="","",INDEX(Assessment!$K:$K,$A28))</f>
        <v/>
      </c>
      <c r="C28" s="124" t="str">
        <f>IF($A28="","",INDEX(Assessment!$B:$B,$A28))</f>
        <v/>
      </c>
      <c r="D28" s="124" t="str">
        <f>IF($A28="","",INDEX(Assessment!$D:$D,$A28))</f>
        <v/>
      </c>
      <c r="E28" s="124" t="str">
        <f>IF($A28="","",INDEX(Assessment!$E:$E,$A28))</f>
        <v/>
      </c>
      <c r="F28" s="124" t="str">
        <f>IF($A28="","",INDEX(Assessment!$G:$G,$A28))</f>
        <v/>
      </c>
      <c r="G28" s="124" t="str">
        <f>IF($A28="","",INDEX(Assessment!$H:$H,$A28))</f>
        <v/>
      </c>
      <c r="H28" s="120" t="str">
        <f>IF($A28="","",INDEX(Assessment!$I:$I,$A28))</f>
        <v/>
      </c>
      <c r="I28" s="118"/>
      <c r="J28" s="118"/>
      <c r="K28" s="118"/>
    </row>
    <row r="29" spans="1:11" ht="48" customHeight="1" x14ac:dyDescent="0.25">
      <c r="A29" s="116" t="str">
        <f>IFERROR(MATCH(25,Assessment!$N:$N,0),"")</f>
        <v/>
      </c>
      <c r="B29" s="117" t="str">
        <f>IF($A29="","",INDEX(Assessment!$K:$K,$A29))</f>
        <v/>
      </c>
      <c r="C29" s="117" t="str">
        <f>IF($A29="","",INDEX(Assessment!$B:$B,$A29))</f>
        <v/>
      </c>
      <c r="D29" s="117" t="str">
        <f>IF($A29="","",INDEX(Assessment!$D:$D,$A29))</f>
        <v/>
      </c>
      <c r="E29" s="117" t="str">
        <f>IF($A29="","",INDEX(Assessment!$E:$E,$A29))</f>
        <v/>
      </c>
      <c r="F29" s="117" t="str">
        <f>IF($A29="","",INDEX(Assessment!$G:$G,$A29))</f>
        <v/>
      </c>
      <c r="G29" s="117" t="str">
        <f>IF($A29="","",INDEX(Assessment!$H:$H,$A29))</f>
        <v/>
      </c>
      <c r="H29" s="38" t="str">
        <f>IF($A29="","",INDEX(Assessment!$I:$I,$A29))</f>
        <v/>
      </c>
      <c r="I29" s="118"/>
      <c r="J29" s="118"/>
      <c r="K29" s="118"/>
    </row>
    <row r="30" spans="1:11" ht="48" customHeight="1" x14ac:dyDescent="0.25">
      <c r="A30" s="116" t="str">
        <f>IFERROR(MATCH(26,Assessment!$N:$N,0),"")</f>
        <v/>
      </c>
      <c r="B30" s="124" t="str">
        <f>IF($A30="","",INDEX(Assessment!$K:$K,$A30))</f>
        <v/>
      </c>
      <c r="C30" s="124" t="str">
        <f>IF($A30="","",INDEX(Assessment!$B:$B,$A30))</f>
        <v/>
      </c>
      <c r="D30" s="124" t="str">
        <f>IF($A30="","",INDEX(Assessment!$D:$D,$A30))</f>
        <v/>
      </c>
      <c r="E30" s="124" t="str">
        <f>IF($A30="","",INDEX(Assessment!$E:$E,$A30))</f>
        <v/>
      </c>
      <c r="F30" s="124" t="str">
        <f>IF($A30="","",INDEX(Assessment!$G:$G,$A30))</f>
        <v/>
      </c>
      <c r="G30" s="124" t="str">
        <f>IF($A30="","",INDEX(Assessment!$H:$H,$A30))</f>
        <v/>
      </c>
      <c r="H30" s="120" t="str">
        <f>IF($A30="","",INDEX(Assessment!$I:$I,$A30))</f>
        <v/>
      </c>
      <c r="I30" s="118"/>
      <c r="J30" s="118"/>
      <c r="K30" s="118"/>
    </row>
    <row r="31" spans="1:11" ht="48" customHeight="1" x14ac:dyDescent="0.25">
      <c r="A31" s="116" t="str">
        <f>IFERROR(MATCH(27,Assessment!$N:$N,0),"")</f>
        <v/>
      </c>
      <c r="B31" s="117" t="str">
        <f>IF($A31="","",INDEX(Assessment!$K:$K,$A31))</f>
        <v/>
      </c>
      <c r="C31" s="117" t="str">
        <f>IF($A31="","",INDEX(Assessment!$B:$B,$A31))</f>
        <v/>
      </c>
      <c r="D31" s="117" t="str">
        <f>IF($A31="","",INDEX(Assessment!$D:$D,$A31))</f>
        <v/>
      </c>
      <c r="E31" s="117" t="str">
        <f>IF($A31="","",INDEX(Assessment!$E:$E,$A31))</f>
        <v/>
      </c>
      <c r="F31" s="117" t="str">
        <f>IF($A31="","",INDEX(Assessment!$G:$G,$A31))</f>
        <v/>
      </c>
      <c r="G31" s="117" t="str">
        <f>IF($A31="","",INDEX(Assessment!$H:$H,$A31))</f>
        <v/>
      </c>
      <c r="H31" s="38" t="str">
        <f>IF($A31="","",INDEX(Assessment!$I:$I,$A31))</f>
        <v/>
      </c>
      <c r="I31" s="118"/>
      <c r="J31" s="118"/>
      <c r="K31" s="118"/>
    </row>
    <row r="32" spans="1:11" ht="48" customHeight="1" x14ac:dyDescent="0.25">
      <c r="A32" s="116" t="str">
        <f>IFERROR(MATCH(28,Assessment!$N:$N,0),"")</f>
        <v/>
      </c>
      <c r="B32" s="124" t="str">
        <f>IF($A32="","",INDEX(Assessment!$K:$K,$A32))</f>
        <v/>
      </c>
      <c r="C32" s="124" t="str">
        <f>IF($A32="","",INDEX(Assessment!$B:$B,$A32))</f>
        <v/>
      </c>
      <c r="D32" s="124" t="str">
        <f>IF($A32="","",INDEX(Assessment!$D:$D,$A32))</f>
        <v/>
      </c>
      <c r="E32" s="124" t="str">
        <f>IF($A32="","",INDEX(Assessment!$E:$E,$A32))</f>
        <v/>
      </c>
      <c r="F32" s="124" t="str">
        <f>IF($A32="","",INDEX(Assessment!$G:$G,$A32))</f>
        <v/>
      </c>
      <c r="G32" s="124" t="str">
        <f>IF($A32="","",INDEX(Assessment!$H:$H,$A32))</f>
        <v/>
      </c>
      <c r="H32" s="120" t="str">
        <f>IF($A32="","",INDEX(Assessment!$I:$I,$A32))</f>
        <v/>
      </c>
      <c r="I32" s="118"/>
      <c r="J32" s="118"/>
      <c r="K32" s="118"/>
    </row>
    <row r="33" spans="1:11" ht="48" customHeight="1" x14ac:dyDescent="0.25">
      <c r="A33" s="116" t="str">
        <f>IFERROR(MATCH(29,Assessment!$N:$N,0),"")</f>
        <v/>
      </c>
      <c r="B33" s="117" t="str">
        <f>IF($A33="","",INDEX(Assessment!$K:$K,$A33))</f>
        <v/>
      </c>
      <c r="C33" s="117" t="str">
        <f>IF($A33="","",INDEX(Assessment!$B:$B,$A33))</f>
        <v/>
      </c>
      <c r="D33" s="117" t="str">
        <f>IF($A33="","",INDEX(Assessment!$D:$D,$A33))</f>
        <v/>
      </c>
      <c r="E33" s="117" t="str">
        <f>IF($A33="","",INDEX(Assessment!$E:$E,$A33))</f>
        <v/>
      </c>
      <c r="F33" s="117" t="str">
        <f>IF($A33="","",INDEX(Assessment!$G:$G,$A33))</f>
        <v/>
      </c>
      <c r="G33" s="117" t="str">
        <f>IF($A33="","",INDEX(Assessment!$H:$H,$A33))</f>
        <v/>
      </c>
      <c r="H33" s="38" t="str">
        <f>IF($A33="","",INDEX(Assessment!$I:$I,$A33))</f>
        <v/>
      </c>
      <c r="I33" s="118"/>
      <c r="J33" s="118"/>
      <c r="K33" s="118"/>
    </row>
    <row r="34" spans="1:11" ht="48" customHeight="1" x14ac:dyDescent="0.25">
      <c r="A34" s="116" t="str">
        <f>IFERROR(MATCH(30,Assessment!$N:$N,0),"")</f>
        <v/>
      </c>
      <c r="B34" s="124" t="str">
        <f>IF($A34="","",INDEX(Assessment!$K:$K,$A34))</f>
        <v/>
      </c>
      <c r="C34" s="124" t="str">
        <f>IF($A34="","",INDEX(Assessment!$B:$B,$A34))</f>
        <v/>
      </c>
      <c r="D34" s="124" t="str">
        <f>IF($A34="","",INDEX(Assessment!$D:$D,$A34))</f>
        <v/>
      </c>
      <c r="E34" s="124" t="str">
        <f>IF($A34="","",INDEX(Assessment!$E:$E,$A34))</f>
        <v/>
      </c>
      <c r="F34" s="124" t="str">
        <f>IF($A34="","",INDEX(Assessment!$G:$G,$A34))</f>
        <v/>
      </c>
      <c r="G34" s="124" t="str">
        <f>IF($A34="","",INDEX(Assessment!$H:$H,$A34))</f>
        <v/>
      </c>
      <c r="H34" s="120" t="str">
        <f>IF($A34="","",INDEX(Assessment!$I:$I,$A34))</f>
        <v/>
      </c>
      <c r="I34" s="118"/>
      <c r="J34" s="118"/>
      <c r="K34" s="118"/>
    </row>
    <row r="35" spans="1:11" ht="48" customHeight="1" x14ac:dyDescent="0.25">
      <c r="A35" s="116" t="str">
        <f>IFERROR(MATCH(31,Assessment!$N:$N,0),"")</f>
        <v/>
      </c>
      <c r="B35" s="117" t="str">
        <f>IF($A35="","",INDEX(Assessment!$K:$K,$A35))</f>
        <v/>
      </c>
      <c r="C35" s="117" t="str">
        <f>IF($A35="","",INDEX(Assessment!$B:$B,$A35))</f>
        <v/>
      </c>
      <c r="D35" s="117" t="str">
        <f>IF($A35="","",INDEX(Assessment!$D:$D,$A35))</f>
        <v/>
      </c>
      <c r="E35" s="117" t="str">
        <f>IF($A35="","",INDEX(Assessment!$E:$E,$A35))</f>
        <v/>
      </c>
      <c r="F35" s="117" t="str">
        <f>IF($A35="","",INDEX(Assessment!$G:$G,$A35))</f>
        <v/>
      </c>
      <c r="G35" s="117" t="str">
        <f>IF($A35="","",INDEX(Assessment!$H:$H,$A35))</f>
        <v/>
      </c>
      <c r="H35" s="38" t="str">
        <f>IF($A35="","",INDEX(Assessment!$I:$I,$A35))</f>
        <v/>
      </c>
      <c r="I35" s="118"/>
      <c r="J35" s="118"/>
      <c r="K35" s="118"/>
    </row>
    <row r="36" spans="1:11" ht="48" customHeight="1" x14ac:dyDescent="0.25">
      <c r="A36" s="116" t="str">
        <f>IFERROR(MATCH(32,Assessment!$N:$N,0),"")</f>
        <v/>
      </c>
      <c r="B36" s="124" t="str">
        <f>IF($A36="","",INDEX(Assessment!$K:$K,$A36))</f>
        <v/>
      </c>
      <c r="C36" s="124" t="str">
        <f>IF($A36="","",INDEX(Assessment!$B:$B,$A36))</f>
        <v/>
      </c>
      <c r="D36" s="124" t="str">
        <f>IF($A36="","",INDEX(Assessment!$D:$D,$A36))</f>
        <v/>
      </c>
      <c r="E36" s="124" t="str">
        <f>IF($A36="","",INDEX(Assessment!$E:$E,$A36))</f>
        <v/>
      </c>
      <c r="F36" s="124" t="str">
        <f>IF($A36="","",INDEX(Assessment!$G:$G,$A36))</f>
        <v/>
      </c>
      <c r="G36" s="124" t="str">
        <f>IF($A36="","",INDEX(Assessment!$H:$H,$A36))</f>
        <v/>
      </c>
      <c r="H36" s="120" t="str">
        <f>IF($A36="","",INDEX(Assessment!$I:$I,$A36))</f>
        <v/>
      </c>
      <c r="I36" s="118"/>
      <c r="J36" s="118"/>
      <c r="K36" s="118"/>
    </row>
    <row r="37" spans="1:11" ht="48" customHeight="1" x14ac:dyDescent="0.25">
      <c r="A37" s="116" t="str">
        <f>IFERROR(MATCH(33,Assessment!$N:$N,0),"")</f>
        <v/>
      </c>
      <c r="B37" s="117" t="str">
        <f>IF($A37="","",INDEX(Assessment!$K:$K,$A37))</f>
        <v/>
      </c>
      <c r="C37" s="117" t="str">
        <f>IF($A37="","",INDEX(Assessment!$B:$B,$A37))</f>
        <v/>
      </c>
      <c r="D37" s="117" t="str">
        <f>IF($A37="","",INDEX(Assessment!$D:$D,$A37))</f>
        <v/>
      </c>
      <c r="E37" s="117" t="str">
        <f>IF($A37="","",INDEX(Assessment!$E:$E,$A37))</f>
        <v/>
      </c>
      <c r="F37" s="117" t="str">
        <f>IF($A37="","",INDEX(Assessment!$G:$G,$A37))</f>
        <v/>
      </c>
      <c r="G37" s="117" t="str">
        <f>IF($A37="","",INDEX(Assessment!$H:$H,$A37))</f>
        <v/>
      </c>
      <c r="H37" s="38" t="str">
        <f>IF($A37="","",INDEX(Assessment!$I:$I,$A37))</f>
        <v/>
      </c>
      <c r="I37" s="118"/>
      <c r="J37" s="118"/>
      <c r="K37" s="118"/>
    </row>
    <row r="38" spans="1:11" ht="48" customHeight="1" x14ac:dyDescent="0.25">
      <c r="A38" s="116" t="str">
        <f>IFERROR(MATCH(34,Assessment!$N:$N,0),"")</f>
        <v/>
      </c>
      <c r="B38" s="124" t="str">
        <f>IF($A38="","",INDEX(Assessment!$K:$K,$A38))</f>
        <v/>
      </c>
      <c r="C38" s="124" t="str">
        <f>IF($A38="","",INDEX(Assessment!$B:$B,$A38))</f>
        <v/>
      </c>
      <c r="D38" s="124" t="str">
        <f>IF($A38="","",INDEX(Assessment!$D:$D,$A38))</f>
        <v/>
      </c>
      <c r="E38" s="124" t="str">
        <f>IF($A38="","",INDEX(Assessment!$E:$E,$A38))</f>
        <v/>
      </c>
      <c r="F38" s="124" t="str">
        <f>IF($A38="","",INDEX(Assessment!$G:$G,$A38))</f>
        <v/>
      </c>
      <c r="G38" s="124" t="str">
        <f>IF($A38="","",INDEX(Assessment!$H:$H,$A38))</f>
        <v/>
      </c>
      <c r="H38" s="120" t="str">
        <f>IF($A38="","",INDEX(Assessment!$I:$I,$A38))</f>
        <v/>
      </c>
      <c r="I38" s="118"/>
      <c r="J38" s="118"/>
      <c r="K38" s="118"/>
    </row>
    <row r="39" spans="1:11" ht="48" customHeight="1" x14ac:dyDescent="0.25">
      <c r="A39" s="116" t="str">
        <f>IFERROR(MATCH(35,Assessment!$N:$N,0),"")</f>
        <v/>
      </c>
      <c r="B39" s="117" t="str">
        <f>IF($A39="","",INDEX(Assessment!$K:$K,$A39))</f>
        <v/>
      </c>
      <c r="C39" s="117" t="str">
        <f>IF($A39="","",INDEX(Assessment!$B:$B,$A39))</f>
        <v/>
      </c>
      <c r="D39" s="117" t="str">
        <f>IF($A39="","",INDEX(Assessment!$D:$D,$A39))</f>
        <v/>
      </c>
      <c r="E39" s="117" t="str">
        <f>IF($A39="","",INDEX(Assessment!$E:$E,$A39))</f>
        <v/>
      </c>
      <c r="F39" s="117" t="str">
        <f>IF($A39="","",INDEX(Assessment!$G:$G,$A39))</f>
        <v/>
      </c>
      <c r="G39" s="117" t="str">
        <f>IF($A39="","",INDEX(Assessment!$H:$H,$A39))</f>
        <v/>
      </c>
      <c r="H39" s="38" t="str">
        <f>IF($A39="","",INDEX(Assessment!$I:$I,$A39))</f>
        <v/>
      </c>
      <c r="I39" s="118"/>
      <c r="J39" s="118"/>
      <c r="K39" s="118"/>
    </row>
    <row r="40" spans="1:11" ht="48" customHeight="1" x14ac:dyDescent="0.25">
      <c r="A40" s="116" t="str">
        <f>IFERROR(MATCH(36,Assessment!$N:$N,0),"")</f>
        <v/>
      </c>
      <c r="B40" s="124" t="str">
        <f>IF($A40="","",INDEX(Assessment!$K:$K,$A40))</f>
        <v/>
      </c>
      <c r="C40" s="124" t="str">
        <f>IF($A40="","",INDEX(Assessment!$B:$B,$A40))</f>
        <v/>
      </c>
      <c r="D40" s="124" t="str">
        <f>IF($A40="","",INDEX(Assessment!$D:$D,$A40))</f>
        <v/>
      </c>
      <c r="E40" s="124" t="str">
        <f>IF($A40="","",INDEX(Assessment!$E:$E,$A40))</f>
        <v/>
      </c>
      <c r="F40" s="124" t="str">
        <f>IF($A40="","",INDEX(Assessment!$G:$G,$A40))</f>
        <v/>
      </c>
      <c r="G40" s="124" t="str">
        <f>IF($A40="","",INDEX(Assessment!$H:$H,$A40))</f>
        <v/>
      </c>
      <c r="H40" s="120" t="str">
        <f>IF($A40="","",INDEX(Assessment!$I:$I,$A40))</f>
        <v/>
      </c>
      <c r="I40" s="118"/>
      <c r="J40" s="118"/>
      <c r="K40" s="118"/>
    </row>
    <row r="41" spans="1:11" ht="48" customHeight="1" x14ac:dyDescent="0.25">
      <c r="A41" s="116" t="str">
        <f>IFERROR(MATCH(37,Assessment!$N:$N,0),"")</f>
        <v/>
      </c>
      <c r="B41" s="117" t="str">
        <f>IF($A41="","",INDEX(Assessment!$K:$K,$A41))</f>
        <v/>
      </c>
      <c r="C41" s="117" t="str">
        <f>IF($A41="","",INDEX(Assessment!$B:$B,$A41))</f>
        <v/>
      </c>
      <c r="D41" s="117" t="str">
        <f>IF($A41="","",INDEX(Assessment!$D:$D,$A41))</f>
        <v/>
      </c>
      <c r="E41" s="117" t="str">
        <f>IF($A41="","",INDEX(Assessment!$E:$E,$A41))</f>
        <v/>
      </c>
      <c r="F41" s="117" t="str">
        <f>IF($A41="","",INDEX(Assessment!$G:$G,$A41))</f>
        <v/>
      </c>
      <c r="G41" s="117" t="str">
        <f>IF($A41="","",INDEX(Assessment!$H:$H,$A41))</f>
        <v/>
      </c>
      <c r="H41" s="38" t="str">
        <f>IF($A41="","",INDEX(Assessment!$I:$I,$A41))</f>
        <v/>
      </c>
      <c r="I41" s="118"/>
      <c r="J41" s="118"/>
      <c r="K41" s="118"/>
    </row>
    <row r="42" spans="1:11" ht="48" customHeight="1" x14ac:dyDescent="0.25">
      <c r="A42" s="116" t="str">
        <f>IFERROR(MATCH(38,Assessment!$N:$N,0),"")</f>
        <v/>
      </c>
      <c r="B42" s="124" t="str">
        <f>IF($A42="","",INDEX(Assessment!$K:$K,$A42))</f>
        <v/>
      </c>
      <c r="C42" s="124" t="str">
        <f>IF($A42="","",INDEX(Assessment!$B:$B,$A42))</f>
        <v/>
      </c>
      <c r="D42" s="124" t="str">
        <f>IF($A42="","",INDEX(Assessment!$D:$D,$A42))</f>
        <v/>
      </c>
      <c r="E42" s="124" t="str">
        <f>IF($A42="","",INDEX(Assessment!$E:$E,$A42))</f>
        <v/>
      </c>
      <c r="F42" s="124" t="str">
        <f>IF($A42="","",INDEX(Assessment!$G:$G,$A42))</f>
        <v/>
      </c>
      <c r="G42" s="124" t="str">
        <f>IF($A42="","",INDEX(Assessment!$H:$H,$A42))</f>
        <v/>
      </c>
      <c r="H42" s="120" t="str">
        <f>IF($A42="","",INDEX(Assessment!$I:$I,$A42))</f>
        <v/>
      </c>
      <c r="I42" s="118"/>
      <c r="J42" s="118"/>
      <c r="K42" s="118"/>
    </row>
    <row r="43" spans="1:11" ht="48" customHeight="1" x14ac:dyDescent="0.25">
      <c r="A43" s="116" t="str">
        <f>IFERROR(MATCH(39,Assessment!$N:$N,0),"")</f>
        <v/>
      </c>
      <c r="B43" s="117" t="str">
        <f>IF($A43="","",INDEX(Assessment!$K:$K,$A43))</f>
        <v/>
      </c>
      <c r="C43" s="117" t="str">
        <f>IF($A43="","",INDEX(Assessment!$B:$B,$A43))</f>
        <v/>
      </c>
      <c r="D43" s="117" t="str">
        <f>IF($A43="","",INDEX(Assessment!$D:$D,$A43))</f>
        <v/>
      </c>
      <c r="E43" s="117" t="str">
        <f>IF($A43="","",INDEX(Assessment!$E:$E,$A43))</f>
        <v/>
      </c>
      <c r="F43" s="117" t="str">
        <f>IF($A43="","",INDEX(Assessment!$G:$G,$A43))</f>
        <v/>
      </c>
      <c r="G43" s="117" t="str">
        <f>IF($A43="","",INDEX(Assessment!$H:$H,$A43))</f>
        <v/>
      </c>
      <c r="H43" s="38" t="str">
        <f>IF($A43="","",INDEX(Assessment!$I:$I,$A43))</f>
        <v/>
      </c>
      <c r="I43" s="118"/>
      <c r="J43" s="118"/>
      <c r="K43" s="118"/>
    </row>
    <row r="44" spans="1:11" ht="48" customHeight="1" x14ac:dyDescent="0.25">
      <c r="A44" s="116" t="str">
        <f>IFERROR(MATCH(40,Assessment!$N:$N,0),"")</f>
        <v/>
      </c>
      <c r="B44" s="124" t="str">
        <f>IF($A44="","",INDEX(Assessment!$K:$K,$A44))</f>
        <v/>
      </c>
      <c r="C44" s="124" t="str">
        <f>IF($A44="","",INDEX(Assessment!$B:$B,$A44))</f>
        <v/>
      </c>
      <c r="D44" s="124" t="str">
        <f>IF($A44="","",INDEX(Assessment!$D:$D,$A44))</f>
        <v/>
      </c>
      <c r="E44" s="124" t="str">
        <f>IF($A44="","",INDEX(Assessment!$E:$E,$A44))</f>
        <v/>
      </c>
      <c r="F44" s="124" t="str">
        <f>IF($A44="","",INDEX(Assessment!$G:$G,$A44))</f>
        <v/>
      </c>
      <c r="G44" s="124" t="str">
        <f>IF($A44="","",INDEX(Assessment!$H:$H,$A44))</f>
        <v/>
      </c>
      <c r="H44" s="120" t="str">
        <f>IF($A44="","",INDEX(Assessment!$I:$I,$A44))</f>
        <v/>
      </c>
      <c r="I44" s="118"/>
      <c r="J44" s="118"/>
      <c r="K44" s="118"/>
    </row>
    <row r="45" spans="1:11" ht="48" customHeight="1" x14ac:dyDescent="0.25">
      <c r="A45" s="116" t="str">
        <f>IFERROR(MATCH(41,Assessment!$N:$N,0),"")</f>
        <v/>
      </c>
      <c r="B45" s="117" t="str">
        <f>IF($A45="","",INDEX(Assessment!$K:$K,$A45))</f>
        <v/>
      </c>
      <c r="C45" s="117" t="str">
        <f>IF($A45="","",INDEX(Assessment!$B:$B,$A45))</f>
        <v/>
      </c>
      <c r="D45" s="117" t="str">
        <f>IF($A45="","",INDEX(Assessment!$D:$D,$A45))</f>
        <v/>
      </c>
      <c r="E45" s="117" t="str">
        <f>IF($A45="","",INDEX(Assessment!$E:$E,$A45))</f>
        <v/>
      </c>
      <c r="F45" s="117" t="str">
        <f>IF($A45="","",INDEX(Assessment!$G:$G,$A45))</f>
        <v/>
      </c>
      <c r="G45" s="117" t="str">
        <f>IF($A45="","",INDEX(Assessment!$H:$H,$A45))</f>
        <v/>
      </c>
      <c r="H45" s="38" t="str">
        <f>IF($A45="","",INDEX(Assessment!$I:$I,$A45))</f>
        <v/>
      </c>
      <c r="I45" s="118"/>
      <c r="J45" s="118"/>
      <c r="K45" s="118"/>
    </row>
    <row r="46" spans="1:11" ht="48" customHeight="1" x14ac:dyDescent="0.25">
      <c r="A46" s="116" t="str">
        <f>IFERROR(MATCH(42,Assessment!$N:$N,0),"")</f>
        <v/>
      </c>
      <c r="B46" s="124" t="str">
        <f>IF($A46="","",INDEX(Assessment!$K:$K,$A46))</f>
        <v/>
      </c>
      <c r="C46" s="124" t="str">
        <f>IF($A46="","",INDEX(Assessment!$B:$B,$A46))</f>
        <v/>
      </c>
      <c r="D46" s="124" t="str">
        <f>IF($A46="","",INDEX(Assessment!$D:$D,$A46))</f>
        <v/>
      </c>
      <c r="E46" s="124" t="str">
        <f>IF($A46="","",INDEX(Assessment!$E:$E,$A46))</f>
        <v/>
      </c>
      <c r="F46" s="124" t="str">
        <f>IF($A46="","",INDEX(Assessment!$G:$G,$A46))</f>
        <v/>
      </c>
      <c r="G46" s="124" t="str">
        <f>IF($A46="","",INDEX(Assessment!$H:$H,$A46))</f>
        <v/>
      </c>
      <c r="H46" s="120" t="str">
        <f>IF($A46="","",INDEX(Assessment!$I:$I,$A46))</f>
        <v/>
      </c>
      <c r="I46" s="118"/>
      <c r="J46" s="118"/>
      <c r="K46" s="118"/>
    </row>
    <row r="47" spans="1:11" ht="48" customHeight="1" x14ac:dyDescent="0.25">
      <c r="A47" s="116" t="str">
        <f>IFERROR(MATCH(43,Assessment!$N:$N,0),"")</f>
        <v/>
      </c>
      <c r="B47" s="117" t="str">
        <f>IF($A47="","",INDEX(Assessment!$K:$K,$A47))</f>
        <v/>
      </c>
      <c r="C47" s="117" t="str">
        <f>IF($A47="","",INDEX(Assessment!$B:$B,$A47))</f>
        <v/>
      </c>
      <c r="D47" s="117" t="str">
        <f>IF($A47="","",INDEX(Assessment!$D:$D,$A47))</f>
        <v/>
      </c>
      <c r="E47" s="117" t="str">
        <f>IF($A47="","",INDEX(Assessment!$E:$E,$A47))</f>
        <v/>
      </c>
      <c r="F47" s="117" t="str">
        <f>IF($A47="","",INDEX(Assessment!$G:$G,$A47))</f>
        <v/>
      </c>
      <c r="G47" s="117" t="str">
        <f>IF($A47="","",INDEX(Assessment!$H:$H,$A47))</f>
        <v/>
      </c>
      <c r="H47" s="38" t="str">
        <f>IF($A47="","",INDEX(Assessment!$I:$I,$A47))</f>
        <v/>
      </c>
      <c r="I47" s="118"/>
      <c r="J47" s="118"/>
      <c r="K47" s="118"/>
    </row>
    <row r="48" spans="1:11" ht="48" customHeight="1" x14ac:dyDescent="0.25">
      <c r="A48" s="116" t="str">
        <f>IFERROR(MATCH(44,Assessment!$N:$N,0),"")</f>
        <v/>
      </c>
      <c r="B48" s="124" t="str">
        <f>IF($A48="","",INDEX(Assessment!$K:$K,$A48))</f>
        <v/>
      </c>
      <c r="C48" s="124" t="str">
        <f>IF($A48="","",INDEX(Assessment!$B:$B,$A48))</f>
        <v/>
      </c>
      <c r="D48" s="124" t="str">
        <f>IF($A48="","",INDEX(Assessment!$D:$D,$A48))</f>
        <v/>
      </c>
      <c r="E48" s="124" t="str">
        <f>IF($A48="","",INDEX(Assessment!$E:$E,$A48))</f>
        <v/>
      </c>
      <c r="F48" s="124" t="str">
        <f>IF($A48="","",INDEX(Assessment!$G:$G,$A48))</f>
        <v/>
      </c>
      <c r="G48" s="124" t="str">
        <f>IF($A48="","",INDEX(Assessment!$H:$H,$A48))</f>
        <v/>
      </c>
      <c r="H48" s="120" t="str">
        <f>IF($A48="","",INDEX(Assessment!$I:$I,$A48))</f>
        <v/>
      </c>
      <c r="I48" s="118"/>
      <c r="J48" s="118"/>
      <c r="K48" s="118"/>
    </row>
    <row r="49" spans="1:11" ht="48" customHeight="1" x14ac:dyDescent="0.25">
      <c r="A49" s="116" t="str">
        <f>IFERROR(MATCH(45,Assessment!$N:$N,0),"")</f>
        <v/>
      </c>
      <c r="B49" s="117" t="str">
        <f>IF($A49="","",INDEX(Assessment!$K:$K,$A49))</f>
        <v/>
      </c>
      <c r="C49" s="117" t="str">
        <f>IF($A49="","",INDEX(Assessment!$B:$B,$A49))</f>
        <v/>
      </c>
      <c r="D49" s="117" t="str">
        <f>IF($A49="","",INDEX(Assessment!$D:$D,$A49))</f>
        <v/>
      </c>
      <c r="E49" s="117" t="str">
        <f>IF($A49="","",INDEX(Assessment!$E:$E,$A49))</f>
        <v/>
      </c>
      <c r="F49" s="117" t="str">
        <f>IF($A49="","",INDEX(Assessment!$G:$G,$A49))</f>
        <v/>
      </c>
      <c r="G49" s="117" t="str">
        <f>IF($A49="","",INDEX(Assessment!$H:$H,$A49))</f>
        <v/>
      </c>
      <c r="H49" s="38" t="str">
        <f>IF($A49="","",INDEX(Assessment!$I:$I,$A49))</f>
        <v/>
      </c>
      <c r="I49" s="118"/>
      <c r="J49" s="118"/>
      <c r="K49" s="118"/>
    </row>
    <row r="50" spans="1:11" ht="48" customHeight="1" x14ac:dyDescent="0.25">
      <c r="A50" s="116" t="str">
        <f>IFERROR(MATCH(46,Assessment!$N:$N,0),"")</f>
        <v/>
      </c>
      <c r="B50" s="124" t="str">
        <f>IF($A50="","",INDEX(Assessment!$K:$K,$A50))</f>
        <v/>
      </c>
      <c r="C50" s="124" t="str">
        <f>IF($A50="","",INDEX(Assessment!$B:$B,$A50))</f>
        <v/>
      </c>
      <c r="D50" s="124" t="str">
        <f>IF($A50="","",INDEX(Assessment!$D:$D,$A50))</f>
        <v/>
      </c>
      <c r="E50" s="124" t="str">
        <f>IF($A50="","",INDEX(Assessment!$E:$E,$A50))</f>
        <v/>
      </c>
      <c r="F50" s="124" t="str">
        <f>IF($A50="","",INDEX(Assessment!$G:$G,$A50))</f>
        <v/>
      </c>
      <c r="G50" s="124" t="str">
        <f>IF($A50="","",INDEX(Assessment!$H:$H,$A50))</f>
        <v/>
      </c>
      <c r="H50" s="120" t="str">
        <f>IF($A50="","",INDEX(Assessment!$I:$I,$A50))</f>
        <v/>
      </c>
      <c r="I50" s="118"/>
      <c r="J50" s="118"/>
      <c r="K50" s="118"/>
    </row>
    <row r="51" spans="1:11" ht="48" customHeight="1" x14ac:dyDescent="0.25">
      <c r="A51" s="116" t="str">
        <f>IFERROR(MATCH(47,Assessment!$N:$N,0),"")</f>
        <v/>
      </c>
      <c r="B51" s="117" t="str">
        <f>IF($A51="","",INDEX(Assessment!$K:$K,$A51))</f>
        <v/>
      </c>
      <c r="C51" s="117" t="str">
        <f>IF($A51="","",INDEX(Assessment!$B:$B,$A51))</f>
        <v/>
      </c>
      <c r="D51" s="117" t="str">
        <f>IF($A51="","",INDEX(Assessment!$D:$D,$A51))</f>
        <v/>
      </c>
      <c r="E51" s="117" t="str">
        <f>IF($A51="","",INDEX(Assessment!$E:$E,$A51))</f>
        <v/>
      </c>
      <c r="F51" s="117" t="str">
        <f>IF($A51="","",INDEX(Assessment!$G:$G,$A51))</f>
        <v/>
      </c>
      <c r="G51" s="117" t="str">
        <f>IF($A51="","",INDEX(Assessment!$H:$H,$A51))</f>
        <v/>
      </c>
      <c r="H51" s="38" t="str">
        <f>IF($A51="","",INDEX(Assessment!$I:$I,$A51))</f>
        <v/>
      </c>
      <c r="I51" s="118"/>
      <c r="J51" s="118"/>
      <c r="K51" s="118"/>
    </row>
    <row r="52" spans="1:11" ht="48" customHeight="1" x14ac:dyDescent="0.25">
      <c r="A52" s="116" t="str">
        <f>IFERROR(MATCH(48,Assessment!$N:$N,0),"")</f>
        <v/>
      </c>
      <c r="B52" s="124" t="str">
        <f>IF($A52="","",INDEX(Assessment!$K:$K,$A52))</f>
        <v/>
      </c>
      <c r="C52" s="124" t="str">
        <f>IF($A52="","",INDEX(Assessment!$B:$B,$A52))</f>
        <v/>
      </c>
      <c r="D52" s="124" t="str">
        <f>IF($A52="","",INDEX(Assessment!$D:$D,$A52))</f>
        <v/>
      </c>
      <c r="E52" s="124" t="str">
        <f>IF($A52="","",INDEX(Assessment!$E:$E,$A52))</f>
        <v/>
      </c>
      <c r="F52" s="124" t="str">
        <f>IF($A52="","",INDEX(Assessment!$G:$G,$A52))</f>
        <v/>
      </c>
      <c r="G52" s="124" t="str">
        <f>IF($A52="","",INDEX(Assessment!$H:$H,$A52))</f>
        <v/>
      </c>
      <c r="H52" s="120" t="str">
        <f>IF($A52="","",INDEX(Assessment!$I:$I,$A52))</f>
        <v/>
      </c>
      <c r="I52" s="118"/>
      <c r="J52" s="118"/>
      <c r="K52" s="118"/>
    </row>
    <row r="53" spans="1:11" ht="48" customHeight="1" x14ac:dyDescent="0.25">
      <c r="A53" s="116" t="str">
        <f>IFERROR(MATCH(49,Assessment!$N:$N,0),"")</f>
        <v/>
      </c>
      <c r="B53" s="117" t="str">
        <f>IF($A53="","",INDEX(Assessment!$K:$K,$A53))</f>
        <v/>
      </c>
      <c r="C53" s="117" t="str">
        <f>IF($A53="","",INDEX(Assessment!$B:$B,$A53))</f>
        <v/>
      </c>
      <c r="D53" s="117" t="str">
        <f>IF($A53="","",INDEX(Assessment!$D:$D,$A53))</f>
        <v/>
      </c>
      <c r="E53" s="117" t="str">
        <f>IF($A53="","",INDEX(Assessment!$E:$E,$A53))</f>
        <v/>
      </c>
      <c r="F53" s="117" t="str">
        <f>IF($A53="","",INDEX(Assessment!$G:$G,$A53))</f>
        <v/>
      </c>
      <c r="G53" s="117" t="str">
        <f>IF($A53="","",INDEX(Assessment!$H:$H,$A53))</f>
        <v/>
      </c>
      <c r="H53" s="38" t="str">
        <f>IF($A53="","",INDEX(Assessment!$I:$I,$A53))</f>
        <v/>
      </c>
      <c r="I53" s="118"/>
      <c r="J53" s="118"/>
      <c r="K53" s="118"/>
    </row>
    <row r="54" spans="1:11" ht="48" customHeight="1" x14ac:dyDescent="0.25">
      <c r="A54" s="116" t="str">
        <f>IFERROR(MATCH(50,Assessment!$N:$N,0),"")</f>
        <v/>
      </c>
      <c r="B54" s="124" t="str">
        <f>IF($A54="","",INDEX(Assessment!$K:$K,$A54))</f>
        <v/>
      </c>
      <c r="C54" s="124" t="str">
        <f>IF($A54="","",INDEX(Assessment!$B:$B,$A54))</f>
        <v/>
      </c>
      <c r="D54" s="124" t="str">
        <f>IF($A54="","",INDEX(Assessment!$D:$D,$A54))</f>
        <v/>
      </c>
      <c r="E54" s="124" t="str">
        <f>IF($A54="","",INDEX(Assessment!$E:$E,$A54))</f>
        <v/>
      </c>
      <c r="F54" s="124" t="str">
        <f>IF($A54="","",INDEX(Assessment!$G:$G,$A54))</f>
        <v/>
      </c>
      <c r="G54" s="124" t="str">
        <f>IF($A54="","",INDEX(Assessment!$H:$H,$A54))</f>
        <v/>
      </c>
      <c r="H54" s="120" t="str">
        <f>IF($A54="","",INDEX(Assessment!$I:$I,$A54))</f>
        <v/>
      </c>
      <c r="I54" s="118"/>
      <c r="J54" s="118"/>
      <c r="K54" s="118"/>
    </row>
    <row r="55" spans="1:11" ht="48" customHeight="1" x14ac:dyDescent="0.25">
      <c r="A55" s="116" t="str">
        <f>IFERROR(MATCH(51,Assessment!$N:$N,0),"")</f>
        <v/>
      </c>
      <c r="B55" s="117" t="str">
        <f>IF($A55="","",INDEX(Assessment!$K:$K,$A55))</f>
        <v/>
      </c>
      <c r="C55" s="117" t="str">
        <f>IF($A55="","",INDEX(Assessment!$B:$B,$A55))</f>
        <v/>
      </c>
      <c r="D55" s="117" t="str">
        <f>IF($A55="","",INDEX(Assessment!$D:$D,$A55))</f>
        <v/>
      </c>
      <c r="E55" s="117" t="str">
        <f>IF($A55="","",INDEX(Assessment!$E:$E,$A55))</f>
        <v/>
      </c>
      <c r="F55" s="117" t="str">
        <f>IF($A55="","",INDEX(Assessment!$G:$G,$A55))</f>
        <v/>
      </c>
      <c r="G55" s="117" t="str">
        <f>IF($A55="","",INDEX(Assessment!$H:$H,$A55))</f>
        <v/>
      </c>
      <c r="H55" s="38" t="str">
        <f>IF($A55="","",INDEX(Assessment!$I:$I,$A55))</f>
        <v/>
      </c>
      <c r="I55" s="118"/>
      <c r="J55" s="118"/>
      <c r="K55" s="118"/>
    </row>
    <row r="56" spans="1:11" ht="48" customHeight="1" x14ac:dyDescent="0.25">
      <c r="A56" s="116" t="str">
        <f>IFERROR(MATCH(52,Assessment!$N:$N,0),"")</f>
        <v/>
      </c>
      <c r="B56" s="124" t="str">
        <f>IF($A56="","",INDEX(Assessment!$K:$K,$A56))</f>
        <v/>
      </c>
      <c r="C56" s="124" t="str">
        <f>IF($A56="","",INDEX(Assessment!$B:$B,$A56))</f>
        <v/>
      </c>
      <c r="D56" s="124" t="str">
        <f>IF($A56="","",INDEX(Assessment!$D:$D,$A56))</f>
        <v/>
      </c>
      <c r="E56" s="124" t="str">
        <f>IF($A56="","",INDEX(Assessment!$E:$E,$A56))</f>
        <v/>
      </c>
      <c r="F56" s="124" t="str">
        <f>IF($A56="","",INDEX(Assessment!$G:$G,$A56))</f>
        <v/>
      </c>
      <c r="G56" s="124" t="str">
        <f>IF($A56="","",INDEX(Assessment!$H:$H,$A56))</f>
        <v/>
      </c>
      <c r="H56" s="120" t="str">
        <f>IF($A56="","",INDEX(Assessment!$I:$I,$A56))</f>
        <v/>
      </c>
      <c r="I56" s="118"/>
      <c r="J56" s="118"/>
      <c r="K56" s="118"/>
    </row>
    <row r="57" spans="1:11" ht="48" customHeight="1" x14ac:dyDescent="0.25">
      <c r="A57" s="116" t="str">
        <f>IFERROR(MATCH(53,Assessment!$N:$N,0),"")</f>
        <v/>
      </c>
      <c r="B57" s="117" t="str">
        <f>IF($A57="","",INDEX(Assessment!$K:$K,$A57))</f>
        <v/>
      </c>
      <c r="C57" s="117" t="str">
        <f>IF($A57="","",INDEX(Assessment!$B:$B,$A57))</f>
        <v/>
      </c>
      <c r="D57" s="117" t="str">
        <f>IF($A57="","",INDEX(Assessment!$D:$D,$A57))</f>
        <v/>
      </c>
      <c r="E57" s="117" t="str">
        <f>IF($A57="","",INDEX(Assessment!$E:$E,$A57))</f>
        <v/>
      </c>
      <c r="F57" s="117" t="str">
        <f>IF($A57="","",INDEX(Assessment!$G:$G,$A57))</f>
        <v/>
      </c>
      <c r="G57" s="117" t="str">
        <f>IF($A57="","",INDEX(Assessment!$H:$H,$A57))</f>
        <v/>
      </c>
      <c r="H57" s="38" t="str">
        <f>IF($A57="","",INDEX(Assessment!$I:$I,$A57))</f>
        <v/>
      </c>
      <c r="I57" s="118"/>
      <c r="J57" s="118"/>
      <c r="K57" s="118"/>
    </row>
    <row r="58" spans="1:11" ht="48" customHeight="1" x14ac:dyDescent="0.25">
      <c r="A58" s="116" t="str">
        <f>IFERROR(MATCH(54,Assessment!$N:$N,0),"")</f>
        <v/>
      </c>
      <c r="B58" s="124" t="str">
        <f>IF($A58="","",INDEX(Assessment!$K:$K,$A58))</f>
        <v/>
      </c>
      <c r="C58" s="124" t="str">
        <f>IF($A58="","",INDEX(Assessment!$B:$B,$A58))</f>
        <v/>
      </c>
      <c r="D58" s="124" t="str">
        <f>IF($A58="","",INDEX(Assessment!$D:$D,$A58))</f>
        <v/>
      </c>
      <c r="E58" s="124" t="str">
        <f>IF($A58="","",INDEX(Assessment!$E:$E,$A58))</f>
        <v/>
      </c>
      <c r="F58" s="124" t="str">
        <f>IF($A58="","",INDEX(Assessment!$G:$G,$A58))</f>
        <v/>
      </c>
      <c r="G58" s="124" t="str">
        <f>IF($A58="","",INDEX(Assessment!$H:$H,$A58))</f>
        <v/>
      </c>
      <c r="H58" s="120" t="str">
        <f>IF($A58="","",INDEX(Assessment!$I:$I,$A58))</f>
        <v/>
      </c>
      <c r="I58" s="118"/>
      <c r="J58" s="118"/>
      <c r="K58" s="118"/>
    </row>
    <row r="59" spans="1:11" ht="48" customHeight="1" x14ac:dyDescent="0.25">
      <c r="A59" s="116" t="str">
        <f>IFERROR(MATCH(55,Assessment!$N:$N,0),"")</f>
        <v/>
      </c>
      <c r="B59" s="117" t="str">
        <f>IF($A59="","",INDEX(Assessment!$K:$K,$A59))</f>
        <v/>
      </c>
      <c r="C59" s="117" t="str">
        <f>IF($A59="","",INDEX(Assessment!$B:$B,$A59))</f>
        <v/>
      </c>
      <c r="D59" s="117" t="str">
        <f>IF($A59="","",INDEX(Assessment!$D:$D,$A59))</f>
        <v/>
      </c>
      <c r="E59" s="117" t="str">
        <f>IF($A59="","",INDEX(Assessment!$E:$E,$A59))</f>
        <v/>
      </c>
      <c r="F59" s="117" t="str">
        <f>IF($A59="","",INDEX(Assessment!$G:$G,$A59))</f>
        <v/>
      </c>
      <c r="G59" s="117" t="str">
        <f>IF($A59="","",INDEX(Assessment!$H:$H,$A59))</f>
        <v/>
      </c>
      <c r="H59" s="38" t="str">
        <f>IF($A59="","",INDEX(Assessment!$I:$I,$A59))</f>
        <v/>
      </c>
      <c r="I59" s="118"/>
      <c r="J59" s="118"/>
      <c r="K59" s="118"/>
    </row>
    <row r="60" spans="1:11" ht="48" customHeight="1" x14ac:dyDescent="0.25">
      <c r="A60" s="116" t="str">
        <f>IFERROR(MATCH(56,Assessment!$N:$N,0),"")</f>
        <v/>
      </c>
      <c r="B60" s="124" t="str">
        <f>IF($A60="","",INDEX(Assessment!$K:$K,$A60))</f>
        <v/>
      </c>
      <c r="C60" s="124" t="str">
        <f>IF($A60="","",INDEX(Assessment!$B:$B,$A60))</f>
        <v/>
      </c>
      <c r="D60" s="124" t="str">
        <f>IF($A60="","",INDEX(Assessment!$D:$D,$A60))</f>
        <v/>
      </c>
      <c r="E60" s="124" t="str">
        <f>IF($A60="","",INDEX(Assessment!$E:$E,$A60))</f>
        <v/>
      </c>
      <c r="F60" s="124" t="str">
        <f>IF($A60="","",INDEX(Assessment!$G:$G,$A60))</f>
        <v/>
      </c>
      <c r="G60" s="124" t="str">
        <f>IF($A60="","",INDEX(Assessment!$H:$H,$A60))</f>
        <v/>
      </c>
      <c r="H60" s="120" t="str">
        <f>IF($A60="","",INDEX(Assessment!$I:$I,$A60))</f>
        <v/>
      </c>
      <c r="I60" s="118"/>
      <c r="J60" s="118"/>
      <c r="K60" s="118"/>
    </row>
    <row r="61" spans="1:11" ht="48" customHeight="1" x14ac:dyDescent="0.25">
      <c r="A61" s="116" t="str">
        <f>IFERROR(MATCH(57,Assessment!$N:$N,0),"")</f>
        <v/>
      </c>
      <c r="B61" s="117" t="str">
        <f>IF($A61="","",INDEX(Assessment!$K:$K,$A61))</f>
        <v/>
      </c>
      <c r="C61" s="117" t="str">
        <f>IF($A61="","",INDEX(Assessment!$B:$B,$A61))</f>
        <v/>
      </c>
      <c r="D61" s="117" t="str">
        <f>IF($A61="","",INDEX(Assessment!$D:$D,$A61))</f>
        <v/>
      </c>
      <c r="E61" s="117" t="str">
        <f>IF($A61="","",INDEX(Assessment!$E:$E,$A61))</f>
        <v/>
      </c>
      <c r="F61" s="117" t="str">
        <f>IF($A61="","",INDEX(Assessment!$G:$G,$A61))</f>
        <v/>
      </c>
      <c r="G61" s="117" t="str">
        <f>IF($A61="","",INDEX(Assessment!$H:$H,$A61))</f>
        <v/>
      </c>
      <c r="H61" s="38" t="str">
        <f>IF($A61="","",INDEX(Assessment!$I:$I,$A61))</f>
        <v/>
      </c>
      <c r="I61" s="118"/>
      <c r="J61" s="118"/>
      <c r="K61" s="118"/>
    </row>
    <row r="62" spans="1:11" ht="48" customHeight="1" x14ac:dyDescent="0.25">
      <c r="A62" s="116" t="str">
        <f>IFERROR(MATCH(58,Assessment!$N:$N,0),"")</f>
        <v/>
      </c>
      <c r="B62" s="124" t="str">
        <f>IF($A62="","",INDEX(Assessment!$K:$K,$A62))</f>
        <v/>
      </c>
      <c r="C62" s="124" t="str">
        <f>IF($A62="","",INDEX(Assessment!$B:$B,$A62))</f>
        <v/>
      </c>
      <c r="D62" s="124" t="str">
        <f>IF($A62="","",INDEX(Assessment!$D:$D,$A62))</f>
        <v/>
      </c>
      <c r="E62" s="124" t="str">
        <f>IF($A62="","",INDEX(Assessment!$E:$E,$A62))</f>
        <v/>
      </c>
      <c r="F62" s="124" t="str">
        <f>IF($A62="","",INDEX(Assessment!$G:$G,$A62))</f>
        <v/>
      </c>
      <c r="G62" s="124" t="str">
        <f>IF($A62="","",INDEX(Assessment!$H:$H,$A62))</f>
        <v/>
      </c>
      <c r="H62" s="120" t="str">
        <f>IF($A62="","",INDEX(Assessment!$I:$I,$A62))</f>
        <v/>
      </c>
      <c r="I62" s="118"/>
      <c r="J62" s="118"/>
      <c r="K62" s="118"/>
    </row>
    <row r="63" spans="1:11" ht="48" customHeight="1" x14ac:dyDescent="0.25">
      <c r="A63" s="116" t="str">
        <f>IFERROR(MATCH(59,Assessment!$N:$N,0),"")</f>
        <v/>
      </c>
      <c r="B63" s="117" t="str">
        <f>IF($A63="","",INDEX(Assessment!$K:$K,$A63))</f>
        <v/>
      </c>
      <c r="C63" s="117" t="str">
        <f>IF($A63="","",INDEX(Assessment!$B:$B,$A63))</f>
        <v/>
      </c>
      <c r="D63" s="117" t="str">
        <f>IF($A63="","",INDEX(Assessment!$D:$D,$A63))</f>
        <v/>
      </c>
      <c r="E63" s="117" t="str">
        <f>IF($A63="","",INDEX(Assessment!$E:$E,$A63))</f>
        <v/>
      </c>
      <c r="F63" s="117" t="str">
        <f>IF($A63="","",INDEX(Assessment!$G:$G,$A63))</f>
        <v/>
      </c>
      <c r="G63" s="117" t="str">
        <f>IF($A63="","",INDEX(Assessment!$H:$H,$A63))</f>
        <v/>
      </c>
      <c r="H63" s="38" t="str">
        <f>IF($A63="","",INDEX(Assessment!$I:$I,$A63))</f>
        <v/>
      </c>
      <c r="I63" s="118"/>
      <c r="J63" s="118"/>
      <c r="K63" s="118"/>
    </row>
    <row r="64" spans="1:11" ht="48" customHeight="1" x14ac:dyDescent="0.25">
      <c r="A64" s="116" t="str">
        <f>IFERROR(MATCH(60,Assessment!$N:$N,0),"")</f>
        <v/>
      </c>
      <c r="B64" s="124" t="str">
        <f>IF($A64="","",INDEX(Assessment!$K:$K,$A64))</f>
        <v/>
      </c>
      <c r="C64" s="124" t="str">
        <f>IF($A64="","",INDEX(Assessment!$B:$B,$A64))</f>
        <v/>
      </c>
      <c r="D64" s="124" t="str">
        <f>IF($A64="","",INDEX(Assessment!$D:$D,$A64))</f>
        <v/>
      </c>
      <c r="E64" s="124" t="str">
        <f>IF($A64="","",INDEX(Assessment!$E:$E,$A64))</f>
        <v/>
      </c>
      <c r="F64" s="124" t="str">
        <f>IF($A64="","",INDEX(Assessment!$G:$G,$A64))</f>
        <v/>
      </c>
      <c r="G64" s="124" t="str">
        <f>IF($A64="","",INDEX(Assessment!$H:$H,$A64))</f>
        <v/>
      </c>
      <c r="H64" s="120" t="str">
        <f>IF($A64="","",INDEX(Assessment!$I:$I,$A64))</f>
        <v/>
      </c>
      <c r="I64" s="118"/>
      <c r="J64" s="118"/>
      <c r="K64" s="118"/>
    </row>
    <row r="65" spans="1:11" ht="48" customHeight="1" x14ac:dyDescent="0.25">
      <c r="A65" s="116" t="str">
        <f>IFERROR(MATCH(61,Assessment!$N:$N,0),"")</f>
        <v/>
      </c>
      <c r="B65" s="117" t="str">
        <f>IF($A65="","",INDEX(Assessment!$K:$K,$A65))</f>
        <v/>
      </c>
      <c r="C65" s="117" t="str">
        <f>IF($A65="","",INDEX(Assessment!$B:$B,$A65))</f>
        <v/>
      </c>
      <c r="D65" s="117" t="str">
        <f>IF($A65="","",INDEX(Assessment!$D:$D,$A65))</f>
        <v/>
      </c>
      <c r="E65" s="117" t="str">
        <f>IF($A65="","",INDEX(Assessment!$E:$E,$A65))</f>
        <v/>
      </c>
      <c r="F65" s="117" t="str">
        <f>IF($A65="","",INDEX(Assessment!$G:$G,$A65))</f>
        <v/>
      </c>
      <c r="G65" s="117" t="str">
        <f>IF($A65="","",INDEX(Assessment!$H:$H,$A65))</f>
        <v/>
      </c>
      <c r="H65" s="38" t="str">
        <f>IF($A65="","",INDEX(Assessment!$I:$I,$A65))</f>
        <v/>
      </c>
      <c r="I65" s="118"/>
      <c r="J65" s="118"/>
      <c r="K65" s="118"/>
    </row>
    <row r="66" spans="1:11" ht="48" customHeight="1" x14ac:dyDescent="0.25">
      <c r="A66" s="116" t="str">
        <f>IFERROR(MATCH(62,Assessment!$N:$N,0),"")</f>
        <v/>
      </c>
      <c r="B66" s="124" t="str">
        <f>IF($A66="","",INDEX(Assessment!$K:$K,$A66))</f>
        <v/>
      </c>
      <c r="C66" s="124" t="str">
        <f>IF($A66="","",INDEX(Assessment!$B:$B,$A66))</f>
        <v/>
      </c>
      <c r="D66" s="124" t="str">
        <f>IF($A66="","",INDEX(Assessment!$D:$D,$A66))</f>
        <v/>
      </c>
      <c r="E66" s="124" t="str">
        <f>IF($A66="","",INDEX(Assessment!$E:$E,$A66))</f>
        <v/>
      </c>
      <c r="F66" s="124" t="str">
        <f>IF($A66="","",INDEX(Assessment!$G:$G,$A66))</f>
        <v/>
      </c>
      <c r="G66" s="124" t="str">
        <f>IF($A66="","",INDEX(Assessment!$H:$H,$A66))</f>
        <v/>
      </c>
      <c r="H66" s="120" t="str">
        <f>IF($A66="","",INDEX(Assessment!$I:$I,$A66))</f>
        <v/>
      </c>
      <c r="I66" s="118"/>
      <c r="J66" s="118"/>
      <c r="K66" s="118"/>
    </row>
    <row r="67" spans="1:11" ht="48" customHeight="1" x14ac:dyDescent="0.25">
      <c r="A67" s="116" t="str">
        <f>IFERROR(MATCH(63,Assessment!$N:$N,0),"")</f>
        <v/>
      </c>
      <c r="B67" s="117" t="str">
        <f>IF($A67="","",INDEX(Assessment!$K:$K,$A67))</f>
        <v/>
      </c>
      <c r="C67" s="117" t="str">
        <f>IF($A67="","",INDEX(Assessment!$B:$B,$A67))</f>
        <v/>
      </c>
      <c r="D67" s="117" t="str">
        <f>IF($A67="","",INDEX(Assessment!$D:$D,$A67))</f>
        <v/>
      </c>
      <c r="E67" s="117" t="str">
        <f>IF($A67="","",INDEX(Assessment!$E:$E,$A67))</f>
        <v/>
      </c>
      <c r="F67" s="117" t="str">
        <f>IF($A67="","",INDEX(Assessment!$G:$G,$A67))</f>
        <v/>
      </c>
      <c r="G67" s="117" t="str">
        <f>IF($A67="","",INDEX(Assessment!$H:$H,$A67))</f>
        <v/>
      </c>
      <c r="H67" s="38" t="str">
        <f>IF($A67="","",INDEX(Assessment!$I:$I,$A67))</f>
        <v/>
      </c>
      <c r="I67" s="118"/>
      <c r="J67" s="118"/>
      <c r="K67" s="118"/>
    </row>
    <row r="68" spans="1:11" ht="48" customHeight="1" x14ac:dyDescent="0.25">
      <c r="A68" s="116" t="str">
        <f>IFERROR(MATCH(64,Assessment!$N:$N,0),"")</f>
        <v/>
      </c>
      <c r="B68" s="124" t="str">
        <f>IF($A68="","",INDEX(Assessment!$K:$K,$A68))</f>
        <v/>
      </c>
      <c r="C68" s="124" t="str">
        <f>IF($A68="","",INDEX(Assessment!$B:$B,$A68))</f>
        <v/>
      </c>
      <c r="D68" s="124" t="str">
        <f>IF($A68="","",INDEX(Assessment!$D:$D,$A68))</f>
        <v/>
      </c>
      <c r="E68" s="124" t="str">
        <f>IF($A68="","",INDEX(Assessment!$E:$E,$A68))</f>
        <v/>
      </c>
      <c r="F68" s="124" t="str">
        <f>IF($A68="","",INDEX(Assessment!$G:$G,$A68))</f>
        <v/>
      </c>
      <c r="G68" s="124" t="str">
        <f>IF($A68="","",INDEX(Assessment!$H:$H,$A68))</f>
        <v/>
      </c>
      <c r="H68" s="120" t="str">
        <f>IF($A68="","",INDEX(Assessment!$I:$I,$A68))</f>
        <v/>
      </c>
      <c r="I68" s="118"/>
      <c r="J68" s="118"/>
      <c r="K68" s="118"/>
    </row>
    <row r="69" spans="1:11" ht="48" customHeight="1" x14ac:dyDescent="0.25">
      <c r="A69" s="116" t="str">
        <f>IFERROR(MATCH(65,Assessment!$N:$N,0),"")</f>
        <v/>
      </c>
      <c r="B69" s="117" t="str">
        <f>IF($A69="","",INDEX(Assessment!$K:$K,$A69))</f>
        <v/>
      </c>
      <c r="C69" s="117" t="str">
        <f>IF($A69="","",INDEX(Assessment!$B:$B,$A69))</f>
        <v/>
      </c>
      <c r="D69" s="117" t="str">
        <f>IF($A69="","",INDEX(Assessment!$D:$D,$A69))</f>
        <v/>
      </c>
      <c r="E69" s="117" t="str">
        <f>IF($A69="","",INDEX(Assessment!$E:$E,$A69))</f>
        <v/>
      </c>
      <c r="F69" s="117" t="str">
        <f>IF($A69="","",INDEX(Assessment!$G:$G,$A69))</f>
        <v/>
      </c>
      <c r="G69" s="117" t="str">
        <f>IF($A69="","",INDEX(Assessment!$H:$H,$A69))</f>
        <v/>
      </c>
      <c r="H69" s="38" t="str">
        <f>IF($A69="","",INDEX(Assessment!$I:$I,$A69))</f>
        <v/>
      </c>
      <c r="I69" s="118"/>
      <c r="J69" s="118"/>
      <c r="K69" s="118"/>
    </row>
    <row r="70" spans="1:11" ht="48" customHeight="1" x14ac:dyDescent="0.25">
      <c r="A70" s="116" t="str">
        <f>IFERROR(MATCH(66,Assessment!$N:$N,0),"")</f>
        <v/>
      </c>
      <c r="B70" s="124" t="str">
        <f>IF($A70="","",INDEX(Assessment!$K:$K,$A70))</f>
        <v/>
      </c>
      <c r="C70" s="124" t="str">
        <f>IF($A70="","",INDEX(Assessment!$B:$B,$A70))</f>
        <v/>
      </c>
      <c r="D70" s="124" t="str">
        <f>IF($A70="","",INDEX(Assessment!$D:$D,$A70))</f>
        <v/>
      </c>
      <c r="E70" s="124" t="str">
        <f>IF($A70="","",INDEX(Assessment!$E:$E,$A70))</f>
        <v/>
      </c>
      <c r="F70" s="124" t="str">
        <f>IF($A70="","",INDEX(Assessment!$G:$G,$A70))</f>
        <v/>
      </c>
      <c r="G70" s="124" t="str">
        <f>IF($A70="","",INDEX(Assessment!$H:$H,$A70))</f>
        <v/>
      </c>
      <c r="H70" s="120" t="str">
        <f>IF($A70="","",INDEX(Assessment!$I:$I,$A70))</f>
        <v/>
      </c>
      <c r="I70" s="118"/>
      <c r="J70" s="118"/>
      <c r="K70" s="118"/>
    </row>
    <row r="71" spans="1:11" ht="48" customHeight="1" x14ac:dyDescent="0.25">
      <c r="A71" s="116" t="str">
        <f>IFERROR(MATCH(67,Assessment!$N:$N,0),"")</f>
        <v/>
      </c>
      <c r="B71" s="117" t="str">
        <f>IF($A71="","",INDEX(Assessment!$K:$K,$A71))</f>
        <v/>
      </c>
      <c r="C71" s="117" t="str">
        <f>IF($A71="","",INDEX(Assessment!$B:$B,$A71))</f>
        <v/>
      </c>
      <c r="D71" s="117" t="str">
        <f>IF($A71="","",INDEX(Assessment!$D:$D,$A71))</f>
        <v/>
      </c>
      <c r="E71" s="117" t="str">
        <f>IF($A71="","",INDEX(Assessment!$E:$E,$A71))</f>
        <v/>
      </c>
      <c r="F71" s="117" t="str">
        <f>IF($A71="","",INDEX(Assessment!$G:$G,$A71))</f>
        <v/>
      </c>
      <c r="G71" s="117" t="str">
        <f>IF($A71="","",INDEX(Assessment!$H:$H,$A71))</f>
        <v/>
      </c>
      <c r="H71" s="38" t="str">
        <f>IF($A71="","",INDEX(Assessment!$I:$I,$A71))</f>
        <v/>
      </c>
      <c r="I71" s="118"/>
      <c r="J71" s="118"/>
      <c r="K71" s="118"/>
    </row>
    <row r="72" spans="1:11" ht="48" customHeight="1" x14ac:dyDescent="0.25">
      <c r="A72" s="116" t="str">
        <f>IFERROR(MATCH(68,Assessment!$N:$N,0),"")</f>
        <v/>
      </c>
      <c r="B72" s="124" t="str">
        <f>IF($A72="","",INDEX(Assessment!$K:$K,$A72))</f>
        <v/>
      </c>
      <c r="C72" s="124" t="str">
        <f>IF($A72="","",INDEX(Assessment!$B:$B,$A72))</f>
        <v/>
      </c>
      <c r="D72" s="124" t="str">
        <f>IF($A72="","",INDEX(Assessment!$D:$D,$A72))</f>
        <v/>
      </c>
      <c r="E72" s="124" t="str">
        <f>IF($A72="","",INDEX(Assessment!$E:$E,$A72))</f>
        <v/>
      </c>
      <c r="F72" s="124" t="str">
        <f>IF($A72="","",INDEX(Assessment!$G:$G,$A72))</f>
        <v/>
      </c>
      <c r="G72" s="124" t="str">
        <f>IF($A72="","",INDEX(Assessment!$H:$H,$A72))</f>
        <v/>
      </c>
      <c r="H72" s="120" t="str">
        <f>IF($A72="","",INDEX(Assessment!$I:$I,$A72))</f>
        <v/>
      </c>
      <c r="I72" s="118"/>
      <c r="J72" s="118"/>
      <c r="K72" s="118"/>
    </row>
    <row r="73" spans="1:11" ht="48" customHeight="1" x14ac:dyDescent="0.25">
      <c r="A73" s="116" t="str">
        <f>IFERROR(MATCH(69,Assessment!$N:$N,0),"")</f>
        <v/>
      </c>
      <c r="B73" s="117" t="str">
        <f>IF($A73="","",INDEX(Assessment!$K:$K,$A73))</f>
        <v/>
      </c>
      <c r="C73" s="117" t="str">
        <f>IF($A73="","",INDEX(Assessment!$B:$B,$A73))</f>
        <v/>
      </c>
      <c r="D73" s="117" t="str">
        <f>IF($A73="","",INDEX(Assessment!$D:$D,$A73))</f>
        <v/>
      </c>
      <c r="E73" s="117" t="str">
        <f>IF($A73="","",INDEX(Assessment!$E:$E,$A73))</f>
        <v/>
      </c>
      <c r="F73" s="117" t="str">
        <f>IF($A73="","",INDEX(Assessment!$G:$G,$A73))</f>
        <v/>
      </c>
      <c r="G73" s="117" t="str">
        <f>IF($A73="","",INDEX(Assessment!$H:$H,$A73))</f>
        <v/>
      </c>
      <c r="H73" s="38" t="str">
        <f>IF($A73="","",INDEX(Assessment!$I:$I,$A73))</f>
        <v/>
      </c>
      <c r="I73" s="118"/>
      <c r="J73" s="118"/>
      <c r="K73" s="118"/>
    </row>
    <row r="74" spans="1:11" ht="48" customHeight="1" x14ac:dyDescent="0.25">
      <c r="A74" s="116" t="str">
        <f>IFERROR(MATCH(70,Assessment!$N:$N,0),"")</f>
        <v/>
      </c>
      <c r="B74" s="124" t="str">
        <f>IF($A74="","",INDEX(Assessment!$K:$K,$A74))</f>
        <v/>
      </c>
      <c r="C74" s="124" t="str">
        <f>IF($A74="","",INDEX(Assessment!$B:$B,$A74))</f>
        <v/>
      </c>
      <c r="D74" s="124" t="str">
        <f>IF($A74="","",INDEX(Assessment!$D:$D,$A74))</f>
        <v/>
      </c>
      <c r="E74" s="124" t="str">
        <f>IF($A74="","",INDEX(Assessment!$E:$E,$A74))</f>
        <v/>
      </c>
      <c r="F74" s="124" t="str">
        <f>IF($A74="","",INDEX(Assessment!$G:$G,$A74))</f>
        <v/>
      </c>
      <c r="G74" s="124" t="str">
        <f>IF($A74="","",INDEX(Assessment!$H:$H,$A74))</f>
        <v/>
      </c>
      <c r="H74" s="120" t="str">
        <f>IF($A74="","",INDEX(Assessment!$I:$I,$A74))</f>
        <v/>
      </c>
      <c r="I74" s="118"/>
      <c r="J74" s="118"/>
      <c r="K74" s="118"/>
    </row>
    <row r="75" spans="1:11" ht="48" customHeight="1" x14ac:dyDescent="0.25">
      <c r="A75" s="116" t="str">
        <f>IFERROR(MATCH(71,Assessment!$N:$N,0),"")</f>
        <v/>
      </c>
      <c r="B75" s="117" t="str">
        <f>IF($A75="","",INDEX(Assessment!$K:$K,$A75))</f>
        <v/>
      </c>
      <c r="C75" s="117" t="str">
        <f>IF($A75="","",INDEX(Assessment!$B:$B,$A75))</f>
        <v/>
      </c>
      <c r="D75" s="117" t="str">
        <f>IF($A75="","",INDEX(Assessment!$D:$D,$A75))</f>
        <v/>
      </c>
      <c r="E75" s="117" t="str">
        <f>IF($A75="","",INDEX(Assessment!$E:$E,$A75))</f>
        <v/>
      </c>
      <c r="F75" s="117" t="str">
        <f>IF($A75="","",INDEX(Assessment!$G:$G,$A75))</f>
        <v/>
      </c>
      <c r="G75" s="117" t="str">
        <f>IF($A75="","",INDEX(Assessment!$H:$H,$A75))</f>
        <v/>
      </c>
      <c r="H75" s="38" t="str">
        <f>IF($A75="","",INDEX(Assessment!$I:$I,$A75))</f>
        <v/>
      </c>
      <c r="I75" s="118"/>
      <c r="J75" s="118"/>
      <c r="K75" s="118"/>
    </row>
    <row r="76" spans="1:11" ht="48" customHeight="1" x14ac:dyDescent="0.25">
      <c r="A76" s="116" t="str">
        <f>IFERROR(MATCH(72,Assessment!$N:$N,0),"")</f>
        <v/>
      </c>
      <c r="B76" s="124" t="str">
        <f>IF($A76="","",INDEX(Assessment!$K:$K,$A76))</f>
        <v/>
      </c>
      <c r="C76" s="124" t="str">
        <f>IF($A76="","",INDEX(Assessment!$B:$B,$A76))</f>
        <v/>
      </c>
      <c r="D76" s="124" t="str">
        <f>IF($A76="","",INDEX(Assessment!$D:$D,$A76))</f>
        <v/>
      </c>
      <c r="E76" s="124" t="str">
        <f>IF($A76="","",INDEX(Assessment!$E:$E,$A76))</f>
        <v/>
      </c>
      <c r="F76" s="124" t="str">
        <f>IF($A76="","",INDEX(Assessment!$G:$G,$A76))</f>
        <v/>
      </c>
      <c r="G76" s="124" t="str">
        <f>IF($A76="","",INDEX(Assessment!$H:$H,$A76))</f>
        <v/>
      </c>
      <c r="H76" s="120" t="str">
        <f>IF($A76="","",INDEX(Assessment!$I:$I,$A76))</f>
        <v/>
      </c>
      <c r="I76" s="118"/>
      <c r="J76" s="118"/>
      <c r="K76" s="118"/>
    </row>
    <row r="77" spans="1:11" ht="48" customHeight="1" x14ac:dyDescent="0.25">
      <c r="A77" s="116" t="str">
        <f>IFERROR(MATCH(73,Assessment!$N:$N,0),"")</f>
        <v/>
      </c>
      <c r="B77" s="117" t="str">
        <f>IF($A77="","",INDEX(Assessment!$K:$K,$A77))</f>
        <v/>
      </c>
      <c r="C77" s="117" t="str">
        <f>IF($A77="","",INDEX(Assessment!$B:$B,$A77))</f>
        <v/>
      </c>
      <c r="D77" s="117" t="str">
        <f>IF($A77="","",INDEX(Assessment!$D:$D,$A77))</f>
        <v/>
      </c>
      <c r="E77" s="117" t="str">
        <f>IF($A77="","",INDEX(Assessment!$E:$E,$A77))</f>
        <v/>
      </c>
      <c r="F77" s="117" t="str">
        <f>IF($A77="","",INDEX(Assessment!$G:$G,$A77))</f>
        <v/>
      </c>
      <c r="G77" s="117" t="str">
        <f>IF($A77="","",INDEX(Assessment!$H:$H,$A77))</f>
        <v/>
      </c>
      <c r="H77" s="38" t="str">
        <f>IF($A77="","",INDEX(Assessment!$I:$I,$A77))</f>
        <v/>
      </c>
      <c r="I77" s="118"/>
      <c r="J77" s="118"/>
      <c r="K77" s="118"/>
    </row>
    <row r="78" spans="1:11" ht="48" customHeight="1" x14ac:dyDescent="0.25">
      <c r="A78" s="116" t="str">
        <f>IFERROR(MATCH(74,Assessment!$N:$N,0),"")</f>
        <v/>
      </c>
      <c r="B78" s="124" t="str">
        <f>IF($A78="","",INDEX(Assessment!$K:$K,$A78))</f>
        <v/>
      </c>
      <c r="C78" s="124" t="str">
        <f>IF($A78="","",INDEX(Assessment!$B:$B,$A78))</f>
        <v/>
      </c>
      <c r="D78" s="124" t="str">
        <f>IF($A78="","",INDEX(Assessment!$D:$D,$A78))</f>
        <v/>
      </c>
      <c r="E78" s="124" t="str">
        <f>IF($A78="","",INDEX(Assessment!$E:$E,$A78))</f>
        <v/>
      </c>
      <c r="F78" s="124" t="str">
        <f>IF($A78="","",INDEX(Assessment!$G:$G,$A78))</f>
        <v/>
      </c>
      <c r="G78" s="124" t="str">
        <f>IF($A78="","",INDEX(Assessment!$H:$H,$A78))</f>
        <v/>
      </c>
      <c r="H78" s="120" t="str">
        <f>IF($A78="","",INDEX(Assessment!$I:$I,$A78))</f>
        <v/>
      </c>
      <c r="I78" s="118"/>
      <c r="J78" s="118"/>
      <c r="K78" s="118"/>
    </row>
    <row r="79" spans="1:11" ht="48" customHeight="1" x14ac:dyDescent="0.25">
      <c r="A79" s="116" t="str">
        <f>IFERROR(MATCH(75,Assessment!$N:$N,0),"")</f>
        <v/>
      </c>
      <c r="B79" s="117" t="str">
        <f>IF($A79="","",INDEX(Assessment!$K:$K,$A79))</f>
        <v/>
      </c>
      <c r="C79" s="117" t="str">
        <f>IF($A79="","",INDEX(Assessment!$B:$B,$A79))</f>
        <v/>
      </c>
      <c r="D79" s="117" t="str">
        <f>IF($A79="","",INDEX(Assessment!$D:$D,$A79))</f>
        <v/>
      </c>
      <c r="E79" s="117" t="str">
        <f>IF($A79="","",INDEX(Assessment!$E:$E,$A79))</f>
        <v/>
      </c>
      <c r="F79" s="117" t="str">
        <f>IF($A79="","",INDEX(Assessment!$G:$G,$A79))</f>
        <v/>
      </c>
      <c r="G79" s="117" t="str">
        <f>IF($A79="","",INDEX(Assessment!$H:$H,$A79))</f>
        <v/>
      </c>
      <c r="H79" s="38" t="str">
        <f>IF($A79="","",INDEX(Assessment!$I:$I,$A79))</f>
        <v/>
      </c>
      <c r="I79" s="118"/>
      <c r="J79" s="118"/>
      <c r="K79" s="118"/>
    </row>
    <row r="80" spans="1:11" ht="48" customHeight="1" x14ac:dyDescent="0.25">
      <c r="A80" s="116" t="str">
        <f>IFERROR(MATCH(76,Assessment!$N:$N,0),"")</f>
        <v/>
      </c>
      <c r="B80" s="124" t="str">
        <f>IF($A80="","",INDEX(Assessment!$K:$K,$A80))</f>
        <v/>
      </c>
      <c r="C80" s="124" t="str">
        <f>IF($A80="","",INDEX(Assessment!$B:$B,$A80))</f>
        <v/>
      </c>
      <c r="D80" s="124" t="str">
        <f>IF($A80="","",INDEX(Assessment!$D:$D,$A80))</f>
        <v/>
      </c>
      <c r="E80" s="124" t="str">
        <f>IF($A80="","",INDEX(Assessment!$E:$E,$A80))</f>
        <v/>
      </c>
      <c r="F80" s="124" t="str">
        <f>IF($A80="","",INDEX(Assessment!$G:$G,$A80))</f>
        <v/>
      </c>
      <c r="G80" s="124" t="str">
        <f>IF($A80="","",INDEX(Assessment!$H:$H,$A80))</f>
        <v/>
      </c>
      <c r="H80" s="120" t="str">
        <f>IF($A80="","",INDEX(Assessment!$I:$I,$A80))</f>
        <v/>
      </c>
      <c r="I80" s="118"/>
      <c r="J80" s="118"/>
      <c r="K80" s="118"/>
    </row>
    <row r="81" spans="1:11" ht="48" customHeight="1" x14ac:dyDescent="0.25">
      <c r="A81" s="116" t="str">
        <f>IFERROR(MATCH(77,Assessment!$N:$N,0),"")</f>
        <v/>
      </c>
      <c r="B81" s="117" t="str">
        <f>IF($A81="","",INDEX(Assessment!$K:$K,$A81))</f>
        <v/>
      </c>
      <c r="C81" s="117" t="str">
        <f>IF($A81="","",INDEX(Assessment!$B:$B,$A81))</f>
        <v/>
      </c>
      <c r="D81" s="117" t="str">
        <f>IF($A81="","",INDEX(Assessment!$D:$D,$A81))</f>
        <v/>
      </c>
      <c r="E81" s="117" t="str">
        <f>IF($A81="","",INDEX(Assessment!$E:$E,$A81))</f>
        <v/>
      </c>
      <c r="F81" s="117" t="str">
        <f>IF($A81="","",INDEX(Assessment!$G:$G,$A81))</f>
        <v/>
      </c>
      <c r="G81" s="117" t="str">
        <f>IF($A81="","",INDEX(Assessment!$H:$H,$A81))</f>
        <v/>
      </c>
      <c r="H81" s="38" t="str">
        <f>IF($A81="","",INDEX(Assessment!$I:$I,$A81))</f>
        <v/>
      </c>
      <c r="I81" s="118"/>
      <c r="J81" s="118"/>
      <c r="K81" s="118"/>
    </row>
    <row r="82" spans="1:11" ht="48" customHeight="1" x14ac:dyDescent="0.25">
      <c r="A82" s="116" t="str">
        <f>IFERROR(MATCH(78,Assessment!$N:$N,0),"")</f>
        <v/>
      </c>
      <c r="B82" s="124" t="str">
        <f>IF($A82="","",INDEX(Assessment!$K:$K,$A82))</f>
        <v/>
      </c>
      <c r="C82" s="124" t="str">
        <f>IF($A82="","",INDEX(Assessment!$B:$B,$A82))</f>
        <v/>
      </c>
      <c r="D82" s="124" t="str">
        <f>IF($A82="","",INDEX(Assessment!$D:$D,$A82))</f>
        <v/>
      </c>
      <c r="E82" s="124" t="str">
        <f>IF($A82="","",INDEX(Assessment!$E:$E,$A82))</f>
        <v/>
      </c>
      <c r="F82" s="124" t="str">
        <f>IF($A82="","",INDEX(Assessment!$G:$G,$A82))</f>
        <v/>
      </c>
      <c r="G82" s="124" t="str">
        <f>IF($A82="","",INDEX(Assessment!$H:$H,$A82))</f>
        <v/>
      </c>
      <c r="H82" s="120" t="str">
        <f>IF($A82="","",INDEX(Assessment!$I:$I,$A82))</f>
        <v/>
      </c>
      <c r="I82" s="118"/>
      <c r="J82" s="118"/>
      <c r="K82" s="118"/>
    </row>
    <row r="83" spans="1:11" ht="48" customHeight="1" x14ac:dyDescent="0.25">
      <c r="A83" s="116" t="str">
        <f>IFERROR(MATCH(79,Assessment!$N:$N,0),"")</f>
        <v/>
      </c>
      <c r="B83" s="117" t="str">
        <f>IF($A83="","",INDEX(Assessment!$K:$K,$A83))</f>
        <v/>
      </c>
      <c r="C83" s="117" t="str">
        <f>IF($A83="","",INDEX(Assessment!$B:$B,$A83))</f>
        <v/>
      </c>
      <c r="D83" s="117" t="str">
        <f>IF($A83="","",INDEX(Assessment!$D:$D,$A83))</f>
        <v/>
      </c>
      <c r="E83" s="117" t="str">
        <f>IF($A83="","",INDEX(Assessment!$E:$E,$A83))</f>
        <v/>
      </c>
      <c r="F83" s="117" t="str">
        <f>IF($A83="","",INDEX(Assessment!$G:$G,$A83))</f>
        <v/>
      </c>
      <c r="G83" s="117" t="str">
        <f>IF($A83="","",INDEX(Assessment!$H:$H,$A83))</f>
        <v/>
      </c>
      <c r="H83" s="38" t="str">
        <f>IF($A83="","",INDEX(Assessment!$I:$I,$A83))</f>
        <v/>
      </c>
      <c r="I83" s="118"/>
      <c r="J83" s="118"/>
      <c r="K83" s="118"/>
    </row>
    <row r="84" spans="1:11" ht="48" customHeight="1" x14ac:dyDescent="0.25">
      <c r="A84" s="116" t="str">
        <f>IFERROR(MATCH(80,Assessment!$N:$N,0),"")</f>
        <v/>
      </c>
      <c r="B84" s="124" t="str">
        <f>IF($A84="","",INDEX(Assessment!$K:$K,$A84))</f>
        <v/>
      </c>
      <c r="C84" s="124" t="str">
        <f>IF($A84="","",INDEX(Assessment!$B:$B,$A84))</f>
        <v/>
      </c>
      <c r="D84" s="124" t="str">
        <f>IF($A84="","",INDEX(Assessment!$D:$D,$A84))</f>
        <v/>
      </c>
      <c r="E84" s="124" t="str">
        <f>IF($A84="","",INDEX(Assessment!$E:$E,$A84))</f>
        <v/>
      </c>
      <c r="F84" s="124" t="str">
        <f>IF($A84="","",INDEX(Assessment!$G:$G,$A84))</f>
        <v/>
      </c>
      <c r="G84" s="124" t="str">
        <f>IF($A84="","",INDEX(Assessment!$H:$H,$A84))</f>
        <v/>
      </c>
      <c r="H84" s="120" t="str">
        <f>IF($A84="","",INDEX(Assessment!$I:$I,$A84))</f>
        <v/>
      </c>
      <c r="I84" s="118"/>
      <c r="J84" s="118"/>
      <c r="K84" s="118"/>
    </row>
    <row r="85" spans="1:11" ht="48" customHeight="1" x14ac:dyDescent="0.25">
      <c r="A85" s="116" t="str">
        <f>IFERROR(MATCH(81,Assessment!$N:$N,0),"")</f>
        <v/>
      </c>
      <c r="B85" s="117" t="str">
        <f>IF($A85="","",INDEX(Assessment!$K:$K,$A85))</f>
        <v/>
      </c>
      <c r="C85" s="117" t="str">
        <f>IF($A85="","",INDEX(Assessment!$B:$B,$A85))</f>
        <v/>
      </c>
      <c r="D85" s="117" t="str">
        <f>IF($A85="","",INDEX(Assessment!$D:$D,$A85))</f>
        <v/>
      </c>
      <c r="E85" s="117" t="str">
        <f>IF($A85="","",INDEX(Assessment!$E:$E,$A85))</f>
        <v/>
      </c>
      <c r="F85" s="117" t="str">
        <f>IF($A85="","",INDEX(Assessment!$G:$G,$A85))</f>
        <v/>
      </c>
      <c r="G85" s="117" t="str">
        <f>IF($A85="","",INDEX(Assessment!$H:$H,$A85))</f>
        <v/>
      </c>
      <c r="H85" s="38" t="str">
        <f>IF($A85="","",INDEX(Assessment!$I:$I,$A85))</f>
        <v/>
      </c>
      <c r="I85" s="118"/>
      <c r="J85" s="118"/>
      <c r="K85" s="118"/>
    </row>
    <row r="86" spans="1:11" ht="48" customHeight="1" x14ac:dyDescent="0.25">
      <c r="A86" s="116" t="str">
        <f>IFERROR(MATCH(82,Assessment!$N:$N,0),"")</f>
        <v/>
      </c>
      <c r="B86" s="124" t="str">
        <f>IF($A86="","",INDEX(Assessment!$K:$K,$A86))</f>
        <v/>
      </c>
      <c r="C86" s="124" t="str">
        <f>IF($A86="","",INDEX(Assessment!$B:$B,$A86))</f>
        <v/>
      </c>
      <c r="D86" s="124" t="str">
        <f>IF($A86="","",INDEX(Assessment!$D:$D,$A86))</f>
        <v/>
      </c>
      <c r="E86" s="124" t="str">
        <f>IF($A86="","",INDEX(Assessment!$E:$E,$A86))</f>
        <v/>
      </c>
      <c r="F86" s="124" t="str">
        <f>IF($A86="","",INDEX(Assessment!$G:$G,$A86))</f>
        <v/>
      </c>
      <c r="G86" s="124" t="str">
        <f>IF($A86="","",INDEX(Assessment!$H:$H,$A86))</f>
        <v/>
      </c>
      <c r="H86" s="120" t="str">
        <f>IF($A86="","",INDEX(Assessment!$I:$I,$A86))</f>
        <v/>
      </c>
      <c r="I86" s="118"/>
      <c r="J86" s="118"/>
      <c r="K86" s="118"/>
    </row>
    <row r="87" spans="1:11" ht="48" customHeight="1" x14ac:dyDescent="0.25">
      <c r="A87" s="116" t="str">
        <f>IFERROR(MATCH(83,Assessment!$N:$N,0),"")</f>
        <v/>
      </c>
      <c r="B87" s="117" t="str">
        <f>IF($A87="","",INDEX(Assessment!$K:$K,$A87))</f>
        <v/>
      </c>
      <c r="C87" s="117" t="str">
        <f>IF($A87="","",INDEX(Assessment!$B:$B,$A87))</f>
        <v/>
      </c>
      <c r="D87" s="117" t="str">
        <f>IF($A87="","",INDEX(Assessment!$D:$D,$A87))</f>
        <v/>
      </c>
      <c r="E87" s="117" t="str">
        <f>IF($A87="","",INDEX(Assessment!$E:$E,$A87))</f>
        <v/>
      </c>
      <c r="F87" s="117" t="str">
        <f>IF($A87="","",INDEX(Assessment!$G:$G,$A87))</f>
        <v/>
      </c>
      <c r="G87" s="117" t="str">
        <f>IF($A87="","",INDEX(Assessment!$H:$H,$A87))</f>
        <v/>
      </c>
      <c r="H87" s="38" t="str">
        <f>IF($A87="","",INDEX(Assessment!$I:$I,$A87))</f>
        <v/>
      </c>
      <c r="I87" s="118"/>
      <c r="J87" s="118"/>
      <c r="K87" s="118"/>
    </row>
    <row r="88" spans="1:11" ht="48" customHeight="1" x14ac:dyDescent="0.25">
      <c r="A88" s="116" t="str">
        <f>IFERROR(MATCH(84,Assessment!$N:$N,0),"")</f>
        <v/>
      </c>
      <c r="B88" s="124" t="str">
        <f>IF($A88="","",INDEX(Assessment!$K:$K,$A88))</f>
        <v/>
      </c>
      <c r="C88" s="124" t="str">
        <f>IF($A88="","",INDEX(Assessment!$B:$B,$A88))</f>
        <v/>
      </c>
      <c r="D88" s="124" t="str">
        <f>IF($A88="","",INDEX(Assessment!$D:$D,$A88))</f>
        <v/>
      </c>
      <c r="E88" s="124" t="str">
        <f>IF($A88="","",INDEX(Assessment!$E:$E,$A88))</f>
        <v/>
      </c>
      <c r="F88" s="124" t="str">
        <f>IF($A88="","",INDEX(Assessment!$G:$G,$A88))</f>
        <v/>
      </c>
      <c r="G88" s="124" t="str">
        <f>IF($A88="","",INDEX(Assessment!$H:$H,$A88))</f>
        <v/>
      </c>
      <c r="H88" s="120" t="str">
        <f>IF($A88="","",INDEX(Assessment!$I:$I,$A88))</f>
        <v/>
      </c>
      <c r="I88" s="118"/>
      <c r="J88" s="118"/>
      <c r="K88" s="118"/>
    </row>
    <row r="89" spans="1:11" ht="48" customHeight="1" x14ac:dyDescent="0.25">
      <c r="A89" s="116" t="str">
        <f>IFERROR(MATCH(85,Assessment!$N:$N,0),"")</f>
        <v/>
      </c>
      <c r="B89" s="117" t="str">
        <f>IF($A89="","",INDEX(Assessment!$K:$K,$A89))</f>
        <v/>
      </c>
      <c r="C89" s="117" t="str">
        <f>IF($A89="","",INDEX(Assessment!$B:$B,$A89))</f>
        <v/>
      </c>
      <c r="D89" s="117" t="str">
        <f>IF($A89="","",INDEX(Assessment!$D:$D,$A89))</f>
        <v/>
      </c>
      <c r="E89" s="117" t="str">
        <f>IF($A89="","",INDEX(Assessment!$E:$E,$A89))</f>
        <v/>
      </c>
      <c r="F89" s="117" t="str">
        <f>IF($A89="","",INDEX(Assessment!$G:$G,$A89))</f>
        <v/>
      </c>
      <c r="G89" s="117" t="str">
        <f>IF($A89="","",INDEX(Assessment!$H:$H,$A89))</f>
        <v/>
      </c>
      <c r="H89" s="38" t="str">
        <f>IF($A89="","",INDEX(Assessment!$I:$I,$A89))</f>
        <v/>
      </c>
      <c r="I89" s="118"/>
      <c r="J89" s="118"/>
      <c r="K89" s="118"/>
    </row>
    <row r="90" spans="1:11" ht="48" customHeight="1" x14ac:dyDescent="0.25">
      <c r="A90" s="116" t="str">
        <f>IFERROR(MATCH(86,Assessment!$N:$N,0),"")</f>
        <v/>
      </c>
      <c r="B90" s="124" t="str">
        <f>IF($A90="","",INDEX(Assessment!$K:$K,$A90))</f>
        <v/>
      </c>
      <c r="C90" s="124" t="str">
        <f>IF($A90="","",INDEX(Assessment!$B:$B,$A90))</f>
        <v/>
      </c>
      <c r="D90" s="124" t="str">
        <f>IF($A90="","",INDEX(Assessment!$D:$D,$A90))</f>
        <v/>
      </c>
      <c r="E90" s="124" t="str">
        <f>IF($A90="","",INDEX(Assessment!$E:$E,$A90))</f>
        <v/>
      </c>
      <c r="F90" s="124" t="str">
        <f>IF($A90="","",INDEX(Assessment!$G:$G,$A90))</f>
        <v/>
      </c>
      <c r="G90" s="124" t="str">
        <f>IF($A90="","",INDEX(Assessment!$H:$H,$A90))</f>
        <v/>
      </c>
      <c r="H90" s="120" t="str">
        <f>IF($A90="","",INDEX(Assessment!$I:$I,$A90))</f>
        <v/>
      </c>
      <c r="I90" s="118"/>
      <c r="J90" s="118"/>
      <c r="K90" s="118"/>
    </row>
    <row r="91" spans="1:11" ht="48" customHeight="1" x14ac:dyDescent="0.25">
      <c r="A91" s="116" t="str">
        <f>IFERROR(MATCH(87,Assessment!$N:$N,0),"")</f>
        <v/>
      </c>
      <c r="B91" s="117" t="str">
        <f>IF($A91="","",INDEX(Assessment!$K:$K,$A91))</f>
        <v/>
      </c>
      <c r="C91" s="117" t="str">
        <f>IF($A91="","",INDEX(Assessment!$B:$B,$A91))</f>
        <v/>
      </c>
      <c r="D91" s="117" t="str">
        <f>IF($A91="","",INDEX(Assessment!$D:$D,$A91))</f>
        <v/>
      </c>
      <c r="E91" s="117" t="str">
        <f>IF($A91="","",INDEX(Assessment!$E:$E,$A91))</f>
        <v/>
      </c>
      <c r="F91" s="117" t="str">
        <f>IF($A91="","",INDEX(Assessment!$G:$G,$A91))</f>
        <v/>
      </c>
      <c r="G91" s="117" t="str">
        <f>IF($A91="","",INDEX(Assessment!$H:$H,$A91))</f>
        <v/>
      </c>
      <c r="H91" s="38" t="str">
        <f>IF($A91="","",INDEX(Assessment!$I:$I,$A91))</f>
        <v/>
      </c>
      <c r="I91" s="118"/>
      <c r="J91" s="118"/>
      <c r="K91" s="118"/>
    </row>
    <row r="92" spans="1:11" ht="48" customHeight="1" x14ac:dyDescent="0.25">
      <c r="A92" s="116" t="str">
        <f>IFERROR(MATCH(88,Assessment!$N:$N,0),"")</f>
        <v/>
      </c>
      <c r="B92" s="124" t="str">
        <f>IF($A92="","",INDEX(Assessment!$K:$K,$A92))</f>
        <v/>
      </c>
      <c r="C92" s="124" t="str">
        <f>IF($A92="","",INDEX(Assessment!$B:$B,$A92))</f>
        <v/>
      </c>
      <c r="D92" s="124" t="str">
        <f>IF($A92="","",INDEX(Assessment!$D:$D,$A92))</f>
        <v/>
      </c>
      <c r="E92" s="124" t="str">
        <f>IF($A92="","",INDEX(Assessment!$E:$E,$A92))</f>
        <v/>
      </c>
      <c r="F92" s="124" t="str">
        <f>IF($A92="","",INDEX(Assessment!$G:$G,$A92))</f>
        <v/>
      </c>
      <c r="G92" s="124" t="str">
        <f>IF($A92="","",INDEX(Assessment!$H:$H,$A92))</f>
        <v/>
      </c>
      <c r="H92" s="120" t="str">
        <f>IF($A92="","",INDEX(Assessment!$I:$I,$A92))</f>
        <v/>
      </c>
      <c r="I92" s="118"/>
      <c r="J92" s="118"/>
      <c r="K92" s="118"/>
    </row>
    <row r="93" spans="1:11" ht="48" customHeight="1" x14ac:dyDescent="0.25">
      <c r="A93" s="116" t="str">
        <f>IFERROR(MATCH(89,Assessment!$N:$N,0),"")</f>
        <v/>
      </c>
      <c r="B93" s="117" t="str">
        <f>IF($A93="","",INDEX(Assessment!$K:$K,$A93))</f>
        <v/>
      </c>
      <c r="C93" s="117" t="str">
        <f>IF($A93="","",INDEX(Assessment!$B:$B,$A93))</f>
        <v/>
      </c>
      <c r="D93" s="117" t="str">
        <f>IF($A93="","",INDEX(Assessment!$D:$D,$A93))</f>
        <v/>
      </c>
      <c r="E93" s="117" t="str">
        <f>IF($A93="","",INDEX(Assessment!$E:$E,$A93))</f>
        <v/>
      </c>
      <c r="F93" s="117" t="str">
        <f>IF($A93="","",INDEX(Assessment!$G:$G,$A93))</f>
        <v/>
      </c>
      <c r="G93" s="117" t="str">
        <f>IF($A93="","",INDEX(Assessment!$H:$H,$A93))</f>
        <v/>
      </c>
      <c r="H93" s="38" t="str">
        <f>IF($A93="","",INDEX(Assessment!$I:$I,$A93))</f>
        <v/>
      </c>
      <c r="I93" s="118"/>
      <c r="J93" s="118"/>
      <c r="K93" s="118"/>
    </row>
    <row r="94" spans="1:11" ht="48" customHeight="1" x14ac:dyDescent="0.25">
      <c r="A94" s="116" t="str">
        <f>IFERROR(MATCH(90,Assessment!$N:$N,0),"")</f>
        <v/>
      </c>
      <c r="B94" s="124" t="str">
        <f>IF($A94="","",INDEX(Assessment!$K:$K,$A94))</f>
        <v/>
      </c>
      <c r="C94" s="124" t="str">
        <f>IF($A94="","",INDEX(Assessment!$B:$B,$A94))</f>
        <v/>
      </c>
      <c r="D94" s="124" t="str">
        <f>IF($A94="","",INDEX(Assessment!$D:$D,$A94))</f>
        <v/>
      </c>
      <c r="E94" s="124" t="str">
        <f>IF($A94="","",INDEX(Assessment!$E:$E,$A94))</f>
        <v/>
      </c>
      <c r="F94" s="124" t="str">
        <f>IF($A94="","",INDEX(Assessment!$G:$G,$A94))</f>
        <v/>
      </c>
      <c r="G94" s="124" t="str">
        <f>IF($A94="","",INDEX(Assessment!$H:$H,$A94))</f>
        <v/>
      </c>
      <c r="H94" s="120" t="str">
        <f>IF($A94="","",INDEX(Assessment!$I:$I,$A94))</f>
        <v/>
      </c>
      <c r="I94" s="118"/>
      <c r="J94" s="118"/>
      <c r="K94" s="118"/>
    </row>
    <row r="95" spans="1:11" ht="48" customHeight="1" x14ac:dyDescent="0.25">
      <c r="A95" s="116" t="str">
        <f>IFERROR(MATCH(91,Assessment!$N:$N,0),"")</f>
        <v/>
      </c>
      <c r="B95" s="117" t="str">
        <f>IF($A95="","",INDEX(Assessment!$K:$K,$A95))</f>
        <v/>
      </c>
      <c r="C95" s="117" t="str">
        <f>IF($A95="","",INDEX(Assessment!$B:$B,$A95))</f>
        <v/>
      </c>
      <c r="D95" s="117" t="str">
        <f>IF($A95="","",INDEX(Assessment!$D:$D,$A95))</f>
        <v/>
      </c>
      <c r="E95" s="117" t="str">
        <f>IF($A95="","",INDEX(Assessment!$E:$E,$A95))</f>
        <v/>
      </c>
      <c r="F95" s="117" t="str">
        <f>IF($A95="","",INDEX(Assessment!$G:$G,$A95))</f>
        <v/>
      </c>
      <c r="G95" s="117" t="str">
        <f>IF($A95="","",INDEX(Assessment!$H:$H,$A95))</f>
        <v/>
      </c>
      <c r="H95" s="38" t="str">
        <f>IF($A95="","",INDEX(Assessment!$I:$I,$A95))</f>
        <v/>
      </c>
      <c r="I95" s="118"/>
      <c r="J95" s="118"/>
      <c r="K95" s="118"/>
    </row>
    <row r="96" spans="1:11" ht="48" customHeight="1" x14ac:dyDescent="0.25">
      <c r="A96" s="116" t="str">
        <f>IFERROR(MATCH(92,Assessment!$N:$N,0),"")</f>
        <v/>
      </c>
      <c r="B96" s="124" t="str">
        <f>IF($A96="","",INDEX(Assessment!$K:$K,$A96))</f>
        <v/>
      </c>
      <c r="C96" s="124" t="str">
        <f>IF($A96="","",INDEX(Assessment!$B:$B,$A96))</f>
        <v/>
      </c>
      <c r="D96" s="124" t="str">
        <f>IF($A96="","",INDEX(Assessment!$D:$D,$A96))</f>
        <v/>
      </c>
      <c r="E96" s="124" t="str">
        <f>IF($A96="","",INDEX(Assessment!$E:$E,$A96))</f>
        <v/>
      </c>
      <c r="F96" s="124" t="str">
        <f>IF($A96="","",INDEX(Assessment!$G:$G,$A96))</f>
        <v/>
      </c>
      <c r="G96" s="124" t="str">
        <f>IF($A96="","",INDEX(Assessment!$H:$H,$A96))</f>
        <v/>
      </c>
      <c r="H96" s="120" t="str">
        <f>IF($A96="","",INDEX(Assessment!$I:$I,$A96))</f>
        <v/>
      </c>
      <c r="I96" s="118"/>
      <c r="J96" s="118"/>
      <c r="K96" s="118"/>
    </row>
    <row r="97" spans="1:11" ht="48" customHeight="1" x14ac:dyDescent="0.25">
      <c r="A97" s="116" t="str">
        <f>IFERROR(MATCH(93,Assessment!$N:$N,0),"")</f>
        <v/>
      </c>
      <c r="B97" s="117" t="str">
        <f>IF($A97="","",INDEX(Assessment!$K:$K,$A97))</f>
        <v/>
      </c>
      <c r="C97" s="117" t="str">
        <f>IF($A97="","",INDEX(Assessment!$B:$B,$A97))</f>
        <v/>
      </c>
      <c r="D97" s="117" t="str">
        <f>IF($A97="","",INDEX(Assessment!$D:$D,$A97))</f>
        <v/>
      </c>
      <c r="E97" s="117" t="str">
        <f>IF($A97="","",INDEX(Assessment!$E:$E,$A97))</f>
        <v/>
      </c>
      <c r="F97" s="117" t="str">
        <f>IF($A97="","",INDEX(Assessment!$G:$G,$A97))</f>
        <v/>
      </c>
      <c r="G97" s="117" t="str">
        <f>IF($A97="","",INDEX(Assessment!$H:$H,$A97))</f>
        <v/>
      </c>
      <c r="H97" s="38" t="str">
        <f>IF($A97="","",INDEX(Assessment!$I:$I,$A97))</f>
        <v/>
      </c>
      <c r="I97" s="118"/>
      <c r="J97" s="118"/>
      <c r="K97" s="118"/>
    </row>
    <row r="98" spans="1:11" ht="48" customHeight="1" x14ac:dyDescent="0.25">
      <c r="A98" s="116" t="str">
        <f>IFERROR(MATCH(94,Assessment!$N:$N,0),"")</f>
        <v/>
      </c>
      <c r="B98" s="124" t="str">
        <f>IF($A98="","",INDEX(Assessment!$K:$K,$A98))</f>
        <v/>
      </c>
      <c r="C98" s="124" t="str">
        <f>IF($A98="","",INDEX(Assessment!$B:$B,$A98))</f>
        <v/>
      </c>
      <c r="D98" s="124" t="str">
        <f>IF($A98="","",INDEX(Assessment!$D:$D,$A98))</f>
        <v/>
      </c>
      <c r="E98" s="124" t="str">
        <f>IF($A98="","",INDEX(Assessment!$E:$E,$A98))</f>
        <v/>
      </c>
      <c r="F98" s="124" t="str">
        <f>IF($A98="","",INDEX(Assessment!$G:$G,$A98))</f>
        <v/>
      </c>
      <c r="G98" s="124" t="str">
        <f>IF($A98="","",INDEX(Assessment!$H:$H,$A98))</f>
        <v/>
      </c>
      <c r="H98" s="120" t="str">
        <f>IF($A98="","",INDEX(Assessment!$I:$I,$A98))</f>
        <v/>
      </c>
      <c r="I98" s="118"/>
      <c r="J98" s="118"/>
      <c r="K98" s="118"/>
    </row>
    <row r="99" spans="1:11" ht="48" customHeight="1" x14ac:dyDescent="0.25">
      <c r="A99" s="116" t="str">
        <f>IFERROR(MATCH(95,Assessment!$N:$N,0),"")</f>
        <v/>
      </c>
      <c r="B99" s="117" t="str">
        <f>IF($A99="","",INDEX(Assessment!$K:$K,$A99))</f>
        <v/>
      </c>
      <c r="C99" s="117" t="str">
        <f>IF($A99="","",INDEX(Assessment!$B:$B,$A99))</f>
        <v/>
      </c>
      <c r="D99" s="117" t="str">
        <f>IF($A99="","",INDEX(Assessment!$D:$D,$A99))</f>
        <v/>
      </c>
      <c r="E99" s="117" t="str">
        <f>IF($A99="","",INDEX(Assessment!$E:$E,$A99))</f>
        <v/>
      </c>
      <c r="F99" s="117" t="str">
        <f>IF($A99="","",INDEX(Assessment!$G:$G,$A99))</f>
        <v/>
      </c>
      <c r="G99" s="117" t="str">
        <f>IF($A99="","",INDEX(Assessment!$H:$H,$A99))</f>
        <v/>
      </c>
      <c r="H99" s="38" t="str">
        <f>IF($A99="","",INDEX(Assessment!$I:$I,$A99))</f>
        <v/>
      </c>
      <c r="I99" s="118"/>
      <c r="J99" s="118"/>
      <c r="K99" s="118"/>
    </row>
    <row r="100" spans="1:11" ht="48" customHeight="1" x14ac:dyDescent="0.25">
      <c r="A100" s="116" t="str">
        <f>IFERROR(MATCH(96,Assessment!$N:$N,0),"")</f>
        <v/>
      </c>
      <c r="B100" s="124" t="str">
        <f>IF($A100="","",INDEX(Assessment!$K:$K,$A100))</f>
        <v/>
      </c>
      <c r="C100" s="124" t="str">
        <f>IF($A100="","",INDEX(Assessment!$B:$B,$A100))</f>
        <v/>
      </c>
      <c r="D100" s="124" t="str">
        <f>IF($A100="","",INDEX(Assessment!$D:$D,$A100))</f>
        <v/>
      </c>
      <c r="E100" s="124" t="str">
        <f>IF($A100="","",INDEX(Assessment!$E:$E,$A100))</f>
        <v/>
      </c>
      <c r="F100" s="124" t="str">
        <f>IF($A100="","",INDEX(Assessment!$G:$G,$A100))</f>
        <v/>
      </c>
      <c r="G100" s="124" t="str">
        <f>IF($A100="","",INDEX(Assessment!$H:$H,$A100))</f>
        <v/>
      </c>
      <c r="H100" s="120" t="str">
        <f>IF($A100="","",INDEX(Assessment!$I:$I,$A100))</f>
        <v/>
      </c>
      <c r="I100" s="118"/>
      <c r="J100" s="118"/>
      <c r="K100" s="118"/>
    </row>
    <row r="101" spans="1:11" ht="48" customHeight="1" x14ac:dyDescent="0.25">
      <c r="A101" s="116" t="str">
        <f>IFERROR(MATCH(97,Assessment!$N:$N,0),"")</f>
        <v/>
      </c>
      <c r="B101" s="117" t="str">
        <f>IF($A101="","",INDEX(Assessment!$K:$K,$A101))</f>
        <v/>
      </c>
      <c r="C101" s="117" t="str">
        <f>IF($A101="","",INDEX(Assessment!$B:$B,$A101))</f>
        <v/>
      </c>
      <c r="D101" s="117" t="str">
        <f>IF($A101="","",INDEX(Assessment!$D:$D,$A101))</f>
        <v/>
      </c>
      <c r="E101" s="117" t="str">
        <f>IF($A101="","",INDEX(Assessment!$E:$E,$A101))</f>
        <v/>
      </c>
      <c r="F101" s="117" t="str">
        <f>IF($A101="","",INDEX(Assessment!$G:$G,$A101))</f>
        <v/>
      </c>
      <c r="G101" s="117" t="str">
        <f>IF($A101="","",INDEX(Assessment!$H:$H,$A101))</f>
        <v/>
      </c>
      <c r="H101" s="38" t="str">
        <f>IF($A101="","",INDEX(Assessment!$I:$I,$A101))</f>
        <v/>
      </c>
      <c r="I101" s="118"/>
      <c r="J101" s="118"/>
      <c r="K101" s="118"/>
    </row>
    <row r="102" spans="1:11" ht="48" customHeight="1" x14ac:dyDescent="0.25">
      <c r="A102" s="116" t="str">
        <f>IFERROR(MATCH(98,Assessment!$N:$N,0),"")</f>
        <v/>
      </c>
      <c r="B102" s="124" t="str">
        <f>IF($A102="","",INDEX(Assessment!$K:$K,$A102))</f>
        <v/>
      </c>
      <c r="C102" s="124" t="str">
        <f>IF($A102="","",INDEX(Assessment!$B:$B,$A102))</f>
        <v/>
      </c>
      <c r="D102" s="124" t="str">
        <f>IF($A102="","",INDEX(Assessment!$D:$D,$A102))</f>
        <v/>
      </c>
      <c r="E102" s="124" t="str">
        <f>IF($A102="","",INDEX(Assessment!$E:$E,$A102))</f>
        <v/>
      </c>
      <c r="F102" s="124" t="str">
        <f>IF($A102="","",INDEX(Assessment!$G:$G,$A102))</f>
        <v/>
      </c>
      <c r="G102" s="124" t="str">
        <f>IF($A102="","",INDEX(Assessment!$H:$H,$A102))</f>
        <v/>
      </c>
      <c r="H102" s="120" t="str">
        <f>IF($A102="","",INDEX(Assessment!$I:$I,$A102))</f>
        <v/>
      </c>
      <c r="I102" s="118"/>
      <c r="J102" s="118"/>
      <c r="K102" s="118"/>
    </row>
    <row r="103" spans="1:11" ht="48" customHeight="1" x14ac:dyDescent="0.25">
      <c r="A103" s="116" t="str">
        <f>IFERROR(MATCH(99,Assessment!$N:$N,0),"")</f>
        <v/>
      </c>
      <c r="B103" s="117" t="str">
        <f>IF($A103="","",INDEX(Assessment!$K:$K,$A103))</f>
        <v/>
      </c>
      <c r="C103" s="117" t="str">
        <f>IF($A103="","",INDEX(Assessment!$B:$B,$A103))</f>
        <v/>
      </c>
      <c r="D103" s="117" t="str">
        <f>IF($A103="","",INDEX(Assessment!$D:$D,$A103))</f>
        <v/>
      </c>
      <c r="E103" s="117" t="str">
        <f>IF($A103="","",INDEX(Assessment!$E:$E,$A103))</f>
        <v/>
      </c>
      <c r="F103" s="117" t="str">
        <f>IF($A103="","",INDEX(Assessment!$G:$G,$A103))</f>
        <v/>
      </c>
      <c r="G103" s="117" t="str">
        <f>IF($A103="","",INDEX(Assessment!$H:$H,$A103))</f>
        <v/>
      </c>
      <c r="H103" s="38" t="str">
        <f>IF($A103="","",INDEX(Assessment!$I:$I,$A103))</f>
        <v/>
      </c>
      <c r="I103" s="118"/>
      <c r="J103" s="118"/>
      <c r="K103" s="118"/>
    </row>
    <row r="104" spans="1:11" ht="48" customHeight="1" x14ac:dyDescent="0.25">
      <c r="A104" s="116" t="str">
        <f>IFERROR(MATCH(100,Assessment!$N:$N,0),"")</f>
        <v/>
      </c>
      <c r="B104" s="124" t="str">
        <f>IF($A104="","",INDEX(Assessment!$K:$K,$A104))</f>
        <v/>
      </c>
      <c r="C104" s="124" t="str">
        <f>IF($A104="","",INDEX(Assessment!$B:$B,$A104))</f>
        <v/>
      </c>
      <c r="D104" s="124" t="str">
        <f>IF($A104="","",INDEX(Assessment!$D:$D,$A104))</f>
        <v/>
      </c>
      <c r="E104" s="124" t="str">
        <f>IF($A104="","",INDEX(Assessment!$E:$E,$A104))</f>
        <v/>
      </c>
      <c r="F104" s="124" t="str">
        <f>IF($A104="","",INDEX(Assessment!$G:$G,$A104))</f>
        <v/>
      </c>
      <c r="G104" s="124" t="str">
        <f>IF($A104="","",INDEX(Assessment!$H:$H,$A104))</f>
        <v/>
      </c>
      <c r="H104" s="120" t="str">
        <f>IF($A104="","",INDEX(Assessment!$I:$I,$A104))</f>
        <v/>
      </c>
      <c r="I104" s="118"/>
      <c r="J104" s="118"/>
      <c r="K104" s="118"/>
    </row>
    <row r="105" spans="1:11" ht="48" customHeight="1" x14ac:dyDescent="0.25">
      <c r="A105" s="116" t="str">
        <f>IFERROR(MATCH(101,Assessment!$N:$N,0),"")</f>
        <v/>
      </c>
      <c r="B105" s="117" t="str">
        <f>IF($A105="","",INDEX(Assessment!$K:$K,$A105))</f>
        <v/>
      </c>
      <c r="C105" s="117" t="str">
        <f>IF($A105="","",INDEX(Assessment!$B:$B,$A105))</f>
        <v/>
      </c>
      <c r="D105" s="117" t="str">
        <f>IF($A105="","",INDEX(Assessment!$D:$D,$A105))</f>
        <v/>
      </c>
      <c r="E105" s="117" t="str">
        <f>IF($A105="","",INDEX(Assessment!$E:$E,$A105))</f>
        <v/>
      </c>
      <c r="F105" s="117" t="str">
        <f>IF($A105="","",INDEX(Assessment!$G:$G,$A105))</f>
        <v/>
      </c>
      <c r="G105" s="117" t="str">
        <f>IF($A105="","",INDEX(Assessment!$H:$H,$A105))</f>
        <v/>
      </c>
      <c r="H105" s="38" t="str">
        <f>IF($A105="","",INDEX(Assessment!$I:$I,$A105))</f>
        <v/>
      </c>
      <c r="I105" s="118"/>
      <c r="J105" s="118"/>
      <c r="K105" s="118"/>
    </row>
    <row r="106" spans="1:11" ht="48" customHeight="1" x14ac:dyDescent="0.25">
      <c r="A106" s="116" t="str">
        <f>IFERROR(MATCH(102,Assessment!$N:$N,0),"")</f>
        <v/>
      </c>
      <c r="B106" s="124" t="str">
        <f>IF($A106="","",INDEX(Assessment!$K:$K,$A106))</f>
        <v/>
      </c>
      <c r="C106" s="124" t="str">
        <f>IF($A106="","",INDEX(Assessment!$B:$B,$A106))</f>
        <v/>
      </c>
      <c r="D106" s="124" t="str">
        <f>IF($A106="","",INDEX(Assessment!$D:$D,$A106))</f>
        <v/>
      </c>
      <c r="E106" s="124" t="str">
        <f>IF($A106="","",INDEX(Assessment!$E:$E,$A106))</f>
        <v/>
      </c>
      <c r="F106" s="124" t="str">
        <f>IF($A106="","",INDEX(Assessment!$G:$G,$A106))</f>
        <v/>
      </c>
      <c r="G106" s="124" t="str">
        <f>IF($A106="","",INDEX(Assessment!$H:$H,$A106))</f>
        <v/>
      </c>
      <c r="H106" s="120" t="str">
        <f>IF($A106="","",INDEX(Assessment!$I:$I,$A106))</f>
        <v/>
      </c>
      <c r="I106" s="118"/>
      <c r="J106" s="118"/>
      <c r="K106" s="118"/>
    </row>
    <row r="107" spans="1:11" ht="48" customHeight="1" x14ac:dyDescent="0.25">
      <c r="A107" s="116" t="str">
        <f>IFERROR(MATCH(103,Assessment!$N:$N,0),"")</f>
        <v/>
      </c>
      <c r="B107" s="117" t="str">
        <f>IF($A107="","",INDEX(Assessment!$K:$K,$A107))</f>
        <v/>
      </c>
      <c r="C107" s="117" t="str">
        <f>IF($A107="","",INDEX(Assessment!$B:$B,$A107))</f>
        <v/>
      </c>
      <c r="D107" s="117" t="str">
        <f>IF($A107="","",INDEX(Assessment!$D:$D,$A107))</f>
        <v/>
      </c>
      <c r="E107" s="117" t="str">
        <f>IF($A107="","",INDEX(Assessment!$E:$E,$A107))</f>
        <v/>
      </c>
      <c r="F107" s="117" t="str">
        <f>IF($A107="","",INDEX(Assessment!$G:$G,$A107))</f>
        <v/>
      </c>
      <c r="G107" s="117" t="str">
        <f>IF($A107="","",INDEX(Assessment!$H:$H,$A107))</f>
        <v/>
      </c>
      <c r="H107" s="38" t="str">
        <f>IF($A107="","",INDEX(Assessment!$I:$I,$A107))</f>
        <v/>
      </c>
      <c r="I107" s="118"/>
      <c r="J107" s="118"/>
      <c r="K107" s="118"/>
    </row>
    <row r="108" spans="1:11" ht="48" customHeight="1" x14ac:dyDescent="0.25">
      <c r="A108" s="116" t="str">
        <f>IFERROR(MATCH(104,Assessment!$N:$N,0),"")</f>
        <v/>
      </c>
      <c r="B108" s="124" t="str">
        <f>IF($A108="","",INDEX(Assessment!$K:$K,$A108))</f>
        <v/>
      </c>
      <c r="C108" s="124" t="str">
        <f>IF($A108="","",INDEX(Assessment!$B:$B,$A108))</f>
        <v/>
      </c>
      <c r="D108" s="124" t="str">
        <f>IF($A108="","",INDEX(Assessment!$D:$D,$A108))</f>
        <v/>
      </c>
      <c r="E108" s="124" t="str">
        <f>IF($A108="","",INDEX(Assessment!$E:$E,$A108))</f>
        <v/>
      </c>
      <c r="F108" s="124" t="str">
        <f>IF($A108="","",INDEX(Assessment!$G:$G,$A108))</f>
        <v/>
      </c>
      <c r="G108" s="124" t="str">
        <f>IF($A108="","",INDEX(Assessment!$H:$H,$A108))</f>
        <v/>
      </c>
      <c r="H108" s="120" t="str">
        <f>IF($A108="","",INDEX(Assessment!$I:$I,$A108))</f>
        <v/>
      </c>
      <c r="I108" s="118"/>
      <c r="J108" s="118"/>
      <c r="K108" s="118"/>
    </row>
    <row r="109" spans="1:11" ht="48" customHeight="1" x14ac:dyDescent="0.25">
      <c r="A109" s="116" t="str">
        <f>IFERROR(MATCH(105,Assessment!$N:$N,0),"")</f>
        <v/>
      </c>
      <c r="B109" s="117" t="str">
        <f>IF($A109="","",INDEX(Assessment!$K:$K,$A109))</f>
        <v/>
      </c>
      <c r="C109" s="117" t="str">
        <f>IF($A109="","",INDEX(Assessment!$B:$B,$A109))</f>
        <v/>
      </c>
      <c r="D109" s="117" t="str">
        <f>IF($A109="","",INDEX(Assessment!$D:$D,$A109))</f>
        <v/>
      </c>
      <c r="E109" s="117" t="str">
        <f>IF($A109="","",INDEX(Assessment!$E:$E,$A109))</f>
        <v/>
      </c>
      <c r="F109" s="117" t="str">
        <f>IF($A109="","",INDEX(Assessment!$G:$G,$A109))</f>
        <v/>
      </c>
      <c r="G109" s="117" t="str">
        <f>IF($A109="","",INDEX(Assessment!$H:$H,$A109))</f>
        <v/>
      </c>
      <c r="H109" s="38" t="str">
        <f>IF($A109="","",INDEX(Assessment!$I:$I,$A109))</f>
        <v/>
      </c>
      <c r="I109" s="118"/>
      <c r="J109" s="118"/>
      <c r="K109" s="118"/>
    </row>
    <row r="110" spans="1:11" ht="48" customHeight="1" x14ac:dyDescent="0.25">
      <c r="A110" s="116" t="str">
        <f>IFERROR(MATCH(106,Assessment!$N:$N,0),"")</f>
        <v/>
      </c>
      <c r="B110" s="124" t="str">
        <f>IF($A110="","",INDEX(Assessment!$K:$K,$A110))</f>
        <v/>
      </c>
      <c r="C110" s="124" t="str">
        <f>IF($A110="","",INDEX(Assessment!$B:$B,$A110))</f>
        <v/>
      </c>
      <c r="D110" s="124" t="str">
        <f>IF($A110="","",INDEX(Assessment!$D:$D,$A110))</f>
        <v/>
      </c>
      <c r="E110" s="124" t="str">
        <f>IF($A110="","",INDEX(Assessment!$E:$E,$A110))</f>
        <v/>
      </c>
      <c r="F110" s="124" t="str">
        <f>IF($A110="","",INDEX(Assessment!$G:$G,$A110))</f>
        <v/>
      </c>
      <c r="G110" s="124" t="str">
        <f>IF($A110="","",INDEX(Assessment!$H:$H,$A110))</f>
        <v/>
      </c>
      <c r="H110" s="120" t="str">
        <f>IF($A110="","",INDEX(Assessment!$I:$I,$A110))</f>
        <v/>
      </c>
      <c r="I110" s="118"/>
      <c r="J110" s="118"/>
      <c r="K110" s="118"/>
    </row>
    <row r="111" spans="1:11" ht="48" customHeight="1" x14ac:dyDescent="0.25">
      <c r="A111" s="116" t="str">
        <f>IFERROR(MATCH(107,Assessment!$N:$N,0),"")</f>
        <v/>
      </c>
      <c r="B111" s="117" t="str">
        <f>IF($A111="","",INDEX(Assessment!$K:$K,$A111))</f>
        <v/>
      </c>
      <c r="C111" s="117" t="str">
        <f>IF($A111="","",INDEX(Assessment!$B:$B,$A111))</f>
        <v/>
      </c>
      <c r="D111" s="117" t="str">
        <f>IF($A111="","",INDEX(Assessment!$D:$D,$A111))</f>
        <v/>
      </c>
      <c r="E111" s="117" t="str">
        <f>IF($A111="","",INDEX(Assessment!$E:$E,$A111))</f>
        <v/>
      </c>
      <c r="F111" s="117" t="str">
        <f>IF($A111="","",INDEX(Assessment!$G:$G,$A111))</f>
        <v/>
      </c>
      <c r="G111" s="117" t="str">
        <f>IF($A111="","",INDEX(Assessment!$H:$H,$A111))</f>
        <v/>
      </c>
      <c r="H111" s="38" t="str">
        <f>IF($A111="","",INDEX(Assessment!$I:$I,$A111))</f>
        <v/>
      </c>
      <c r="I111" s="118"/>
      <c r="J111" s="118"/>
      <c r="K111" s="118"/>
    </row>
    <row r="112" spans="1:11" ht="48" customHeight="1" x14ac:dyDescent="0.25">
      <c r="A112" s="116" t="str">
        <f>IFERROR(MATCH(108,Assessment!$N:$N,0),"")</f>
        <v/>
      </c>
      <c r="B112" s="124" t="str">
        <f>IF($A112="","",INDEX(Assessment!$K:$K,$A112))</f>
        <v/>
      </c>
      <c r="C112" s="124" t="str">
        <f>IF($A112="","",INDEX(Assessment!$B:$B,$A112))</f>
        <v/>
      </c>
      <c r="D112" s="124" t="str">
        <f>IF($A112="","",INDEX(Assessment!$D:$D,$A112))</f>
        <v/>
      </c>
      <c r="E112" s="124" t="str">
        <f>IF($A112="","",INDEX(Assessment!$E:$E,$A112))</f>
        <v/>
      </c>
      <c r="F112" s="124" t="str">
        <f>IF($A112="","",INDEX(Assessment!$G:$G,$A112))</f>
        <v/>
      </c>
      <c r="G112" s="124" t="str">
        <f>IF($A112="","",INDEX(Assessment!$H:$H,$A112))</f>
        <v/>
      </c>
      <c r="H112" s="120" t="str">
        <f>IF($A112="","",INDEX(Assessment!$I:$I,$A112))</f>
        <v/>
      </c>
      <c r="I112" s="118"/>
      <c r="J112" s="118"/>
      <c r="K112" s="118"/>
    </row>
    <row r="113" spans="1:11" ht="48" customHeight="1" x14ac:dyDescent="0.25">
      <c r="A113" s="116" t="str">
        <f>IFERROR(MATCH(109,Assessment!$N:$N,0),"")</f>
        <v/>
      </c>
      <c r="B113" s="117" t="str">
        <f>IF($A113="","",INDEX(Assessment!$K:$K,$A113))</f>
        <v/>
      </c>
      <c r="C113" s="117" t="str">
        <f>IF($A113="","",INDEX(Assessment!$B:$B,$A113))</f>
        <v/>
      </c>
      <c r="D113" s="117" t="str">
        <f>IF($A113="","",INDEX(Assessment!$D:$D,$A113))</f>
        <v/>
      </c>
      <c r="E113" s="117" t="str">
        <f>IF($A113="","",INDEX(Assessment!$E:$E,$A113))</f>
        <v/>
      </c>
      <c r="F113" s="117" t="str">
        <f>IF($A113="","",INDEX(Assessment!$G:$G,$A113))</f>
        <v/>
      </c>
      <c r="G113" s="117" t="str">
        <f>IF($A113="","",INDEX(Assessment!$H:$H,$A113))</f>
        <v/>
      </c>
      <c r="H113" s="38" t="str">
        <f>IF($A113="","",INDEX(Assessment!$I:$I,$A113))</f>
        <v/>
      </c>
      <c r="I113" s="118"/>
      <c r="J113" s="118"/>
      <c r="K113" s="118"/>
    </row>
    <row r="114" spans="1:11" ht="48" customHeight="1" x14ac:dyDescent="0.25">
      <c r="A114" s="116" t="str">
        <f>IFERROR(MATCH(110,Assessment!$N:$N,0),"")</f>
        <v/>
      </c>
      <c r="B114" s="124" t="str">
        <f>IF($A114="","",INDEX(Assessment!$K:$K,$A114))</f>
        <v/>
      </c>
      <c r="C114" s="124" t="str">
        <f>IF($A114="","",INDEX(Assessment!$B:$B,$A114))</f>
        <v/>
      </c>
      <c r="D114" s="124" t="str">
        <f>IF($A114="","",INDEX(Assessment!$D:$D,$A114))</f>
        <v/>
      </c>
      <c r="E114" s="124" t="str">
        <f>IF($A114="","",INDEX(Assessment!$E:$E,$A114))</f>
        <v/>
      </c>
      <c r="F114" s="124" t="str">
        <f>IF($A114="","",INDEX(Assessment!$G:$G,$A114))</f>
        <v/>
      </c>
      <c r="G114" s="124" t="str">
        <f>IF($A114="","",INDEX(Assessment!$H:$H,$A114))</f>
        <v/>
      </c>
      <c r="H114" s="120" t="str">
        <f>IF($A114="","",INDEX(Assessment!$I:$I,$A114))</f>
        <v/>
      </c>
      <c r="I114" s="118"/>
      <c r="J114" s="118"/>
      <c r="K114" s="118"/>
    </row>
    <row r="115" spans="1:11" ht="48" customHeight="1" x14ac:dyDescent="0.25">
      <c r="A115" s="116" t="str">
        <f>IFERROR(MATCH(111,Assessment!$N:$N,0),"")</f>
        <v/>
      </c>
      <c r="B115" s="117" t="str">
        <f>IF($A115="","",INDEX(Assessment!$K:$K,$A115))</f>
        <v/>
      </c>
      <c r="C115" s="117" t="str">
        <f>IF($A115="","",INDEX(Assessment!$B:$B,$A115))</f>
        <v/>
      </c>
      <c r="D115" s="117" t="str">
        <f>IF($A115="","",INDEX(Assessment!$D:$D,$A115))</f>
        <v/>
      </c>
      <c r="E115" s="117" t="str">
        <f>IF($A115="","",INDEX(Assessment!$E:$E,$A115))</f>
        <v/>
      </c>
      <c r="F115" s="117" t="str">
        <f>IF($A115="","",INDEX(Assessment!$G:$G,$A115))</f>
        <v/>
      </c>
      <c r="G115" s="117" t="str">
        <f>IF($A115="","",INDEX(Assessment!$H:$H,$A115))</f>
        <v/>
      </c>
      <c r="H115" s="38" t="str">
        <f>IF($A115="","",INDEX(Assessment!$I:$I,$A115))</f>
        <v/>
      </c>
      <c r="I115" s="118"/>
      <c r="J115" s="118"/>
      <c r="K115" s="118"/>
    </row>
    <row r="116" spans="1:11" ht="48" customHeight="1" x14ac:dyDescent="0.25">
      <c r="A116" s="116" t="str">
        <f>IFERROR(MATCH(112,Assessment!$N:$N,0),"")</f>
        <v/>
      </c>
      <c r="B116" s="124" t="str">
        <f>IF($A116="","",INDEX(Assessment!$K:$K,$A116))</f>
        <v/>
      </c>
      <c r="C116" s="124" t="str">
        <f>IF($A116="","",INDEX(Assessment!$B:$B,$A116))</f>
        <v/>
      </c>
      <c r="D116" s="124" t="str">
        <f>IF($A116="","",INDEX(Assessment!$D:$D,$A116))</f>
        <v/>
      </c>
      <c r="E116" s="124" t="str">
        <f>IF($A116="","",INDEX(Assessment!$E:$E,$A116))</f>
        <v/>
      </c>
      <c r="F116" s="124" t="str">
        <f>IF($A116="","",INDEX(Assessment!$G:$G,$A116))</f>
        <v/>
      </c>
      <c r="G116" s="124" t="str">
        <f>IF($A116="","",INDEX(Assessment!$H:$H,$A116))</f>
        <v/>
      </c>
      <c r="H116" s="120" t="str">
        <f>IF($A116="","",INDEX(Assessment!$I:$I,$A116))</f>
        <v/>
      </c>
      <c r="I116" s="118"/>
      <c r="J116" s="118"/>
      <c r="K116" s="118"/>
    </row>
    <row r="117" spans="1:11" ht="48" customHeight="1" x14ac:dyDescent="0.25">
      <c r="A117" s="116" t="str">
        <f>IFERROR(MATCH(113,Assessment!$N:$N,0),"")</f>
        <v/>
      </c>
      <c r="B117" s="117" t="str">
        <f>IF($A117="","",INDEX(Assessment!$K:$K,$A117))</f>
        <v/>
      </c>
      <c r="C117" s="117" t="str">
        <f>IF($A117="","",INDEX(Assessment!$B:$B,$A117))</f>
        <v/>
      </c>
      <c r="D117" s="117" t="str">
        <f>IF($A117="","",INDEX(Assessment!$D:$D,$A117))</f>
        <v/>
      </c>
      <c r="E117" s="117" t="str">
        <f>IF($A117="","",INDEX(Assessment!$E:$E,$A117))</f>
        <v/>
      </c>
      <c r="F117" s="117" t="str">
        <f>IF($A117="","",INDEX(Assessment!$G:$G,$A117))</f>
        <v/>
      </c>
      <c r="G117" s="117" t="str">
        <f>IF($A117="","",INDEX(Assessment!$H:$H,$A117))</f>
        <v/>
      </c>
      <c r="H117" s="38" t="str">
        <f>IF($A117="","",INDEX(Assessment!$I:$I,$A117))</f>
        <v/>
      </c>
      <c r="I117" s="118"/>
      <c r="J117" s="118"/>
      <c r="K117" s="118"/>
    </row>
    <row r="118" spans="1:11" ht="48" customHeight="1" x14ac:dyDescent="0.25">
      <c r="A118" s="116" t="str">
        <f>IFERROR(MATCH(114,Assessment!$N:$N,0),"")</f>
        <v/>
      </c>
      <c r="B118" s="124" t="str">
        <f>IF($A118="","",INDEX(Assessment!$K:$K,$A118))</f>
        <v/>
      </c>
      <c r="C118" s="124" t="str">
        <f>IF($A118="","",INDEX(Assessment!$B:$B,$A118))</f>
        <v/>
      </c>
      <c r="D118" s="124" t="str">
        <f>IF($A118="","",INDEX(Assessment!$D:$D,$A118))</f>
        <v/>
      </c>
      <c r="E118" s="124" t="str">
        <f>IF($A118="","",INDEX(Assessment!$E:$E,$A118))</f>
        <v/>
      </c>
      <c r="F118" s="124" t="str">
        <f>IF($A118="","",INDEX(Assessment!$G:$G,$A118))</f>
        <v/>
      </c>
      <c r="G118" s="124" t="str">
        <f>IF($A118="","",INDEX(Assessment!$H:$H,$A118))</f>
        <v/>
      </c>
      <c r="H118" s="120" t="str">
        <f>IF($A118="","",INDEX(Assessment!$I:$I,$A118))</f>
        <v/>
      </c>
      <c r="I118" s="118"/>
      <c r="J118" s="118"/>
      <c r="K118" s="118"/>
    </row>
    <row r="119" spans="1:11" ht="48" customHeight="1" x14ac:dyDescent="0.25">
      <c r="A119" s="116" t="str">
        <f>IFERROR(MATCH(115,Assessment!$N:$N,0),"")</f>
        <v/>
      </c>
      <c r="B119" s="117" t="str">
        <f>IF($A119="","",INDEX(Assessment!$K:$K,$A119))</f>
        <v/>
      </c>
      <c r="C119" s="117" t="str">
        <f>IF($A119="","",INDEX(Assessment!$B:$B,$A119))</f>
        <v/>
      </c>
      <c r="D119" s="117" t="str">
        <f>IF($A119="","",INDEX(Assessment!$D:$D,$A119))</f>
        <v/>
      </c>
      <c r="E119" s="117" t="str">
        <f>IF($A119="","",INDEX(Assessment!$E:$E,$A119))</f>
        <v/>
      </c>
      <c r="F119" s="117" t="str">
        <f>IF($A119="","",INDEX(Assessment!$G:$G,$A119))</f>
        <v/>
      </c>
      <c r="G119" s="117" t="str">
        <f>IF($A119="","",INDEX(Assessment!$H:$H,$A119))</f>
        <v/>
      </c>
      <c r="H119" s="38" t="str">
        <f>IF($A119="","",INDEX(Assessment!$I:$I,$A119))</f>
        <v/>
      </c>
      <c r="I119" s="118"/>
      <c r="J119" s="118"/>
      <c r="K119" s="118"/>
    </row>
    <row r="120" spans="1:11" ht="48" customHeight="1" x14ac:dyDescent="0.25">
      <c r="A120" s="116" t="str">
        <f>IFERROR(MATCH(116,Assessment!$N:$N,0),"")</f>
        <v/>
      </c>
      <c r="B120" s="124" t="str">
        <f>IF($A120="","",INDEX(Assessment!$K:$K,$A120))</f>
        <v/>
      </c>
      <c r="C120" s="124" t="str">
        <f>IF($A120="","",INDEX(Assessment!$B:$B,$A120))</f>
        <v/>
      </c>
      <c r="D120" s="124" t="str">
        <f>IF($A120="","",INDEX(Assessment!$D:$D,$A120))</f>
        <v/>
      </c>
      <c r="E120" s="124" t="str">
        <f>IF($A120="","",INDEX(Assessment!$E:$E,$A120))</f>
        <v/>
      </c>
      <c r="F120" s="124" t="str">
        <f>IF($A120="","",INDEX(Assessment!$G:$G,$A120))</f>
        <v/>
      </c>
      <c r="G120" s="124" t="str">
        <f>IF($A120="","",INDEX(Assessment!$H:$H,$A120))</f>
        <v/>
      </c>
      <c r="H120" s="120" t="str">
        <f>IF($A120="","",INDEX(Assessment!$I:$I,$A120))</f>
        <v/>
      </c>
      <c r="I120" s="118"/>
      <c r="J120" s="118"/>
      <c r="K120" s="118"/>
    </row>
    <row r="121" spans="1:11" ht="48" customHeight="1" x14ac:dyDescent="0.25">
      <c r="A121" s="116" t="str">
        <f>IFERROR(MATCH(117,Assessment!$N:$N,0),"")</f>
        <v/>
      </c>
      <c r="B121" s="117" t="str">
        <f>IF($A121="","",INDEX(Assessment!$K:$K,$A121))</f>
        <v/>
      </c>
      <c r="C121" s="117" t="str">
        <f>IF($A121="","",INDEX(Assessment!$B:$B,$A121))</f>
        <v/>
      </c>
      <c r="D121" s="117" t="str">
        <f>IF($A121="","",INDEX(Assessment!$D:$D,$A121))</f>
        <v/>
      </c>
      <c r="E121" s="117" t="str">
        <f>IF($A121="","",INDEX(Assessment!$E:$E,$A121))</f>
        <v/>
      </c>
      <c r="F121" s="117" t="str">
        <f>IF($A121="","",INDEX(Assessment!$G:$G,$A121))</f>
        <v/>
      </c>
      <c r="G121" s="117" t="str">
        <f>IF($A121="","",INDEX(Assessment!$H:$H,$A121))</f>
        <v/>
      </c>
      <c r="H121" s="38" t="str">
        <f>IF($A121="","",INDEX(Assessment!$I:$I,$A121))</f>
        <v/>
      </c>
      <c r="I121" s="118"/>
      <c r="J121" s="118"/>
      <c r="K121" s="118"/>
    </row>
    <row r="122" spans="1:11" ht="48" customHeight="1" x14ac:dyDescent="0.25">
      <c r="A122" s="116" t="str">
        <f>IFERROR(MATCH(118,Assessment!$N:$N,0),"")</f>
        <v/>
      </c>
      <c r="B122" s="124" t="str">
        <f>IF($A122="","",INDEX(Assessment!$K:$K,$A122))</f>
        <v/>
      </c>
      <c r="C122" s="124" t="str">
        <f>IF($A122="","",INDEX(Assessment!$B:$B,$A122))</f>
        <v/>
      </c>
      <c r="D122" s="124" t="str">
        <f>IF($A122="","",INDEX(Assessment!$D:$D,$A122))</f>
        <v/>
      </c>
      <c r="E122" s="124" t="str">
        <f>IF($A122="","",INDEX(Assessment!$E:$E,$A122))</f>
        <v/>
      </c>
      <c r="F122" s="124" t="str">
        <f>IF($A122="","",INDEX(Assessment!$G:$G,$A122))</f>
        <v/>
      </c>
      <c r="G122" s="124" t="str">
        <f>IF($A122="","",INDEX(Assessment!$H:$H,$A122))</f>
        <v/>
      </c>
      <c r="H122" s="120" t="str">
        <f>IF($A122="","",INDEX(Assessment!$I:$I,$A122))</f>
        <v/>
      </c>
      <c r="I122" s="118"/>
      <c r="J122" s="118"/>
      <c r="K122" s="118"/>
    </row>
    <row r="123" spans="1:11" ht="48" customHeight="1" x14ac:dyDescent="0.25">
      <c r="A123" s="116" t="str">
        <f>IFERROR(MATCH(119,Assessment!$N:$N,0),"")</f>
        <v/>
      </c>
      <c r="B123" s="117" t="str">
        <f>IF($A123="","",INDEX(Assessment!$K:$K,$A123))</f>
        <v/>
      </c>
      <c r="C123" s="117" t="str">
        <f>IF($A123="","",INDEX(Assessment!$B:$B,$A123))</f>
        <v/>
      </c>
      <c r="D123" s="117" t="str">
        <f>IF($A123="","",INDEX(Assessment!$D:$D,$A123))</f>
        <v/>
      </c>
      <c r="E123" s="117" t="str">
        <f>IF($A123="","",INDEX(Assessment!$E:$E,$A123))</f>
        <v/>
      </c>
      <c r="F123" s="117" t="str">
        <f>IF($A123="","",INDEX(Assessment!$G:$G,$A123))</f>
        <v/>
      </c>
      <c r="G123" s="117" t="str">
        <f>IF($A123="","",INDEX(Assessment!$H:$H,$A123))</f>
        <v/>
      </c>
      <c r="H123" s="38" t="str">
        <f>IF($A123="","",INDEX(Assessment!$I:$I,$A123))</f>
        <v/>
      </c>
      <c r="I123" s="118"/>
      <c r="J123" s="118"/>
      <c r="K123" s="118"/>
    </row>
    <row r="124" spans="1:11" ht="48" customHeight="1" x14ac:dyDescent="0.25">
      <c r="A124" s="116" t="str">
        <f>IFERROR(MATCH(120,Assessment!$N:$N,0),"")</f>
        <v/>
      </c>
      <c r="B124" s="124" t="str">
        <f>IF($A124="","",INDEX(Assessment!$K:$K,$A124))</f>
        <v/>
      </c>
      <c r="C124" s="124" t="str">
        <f>IF($A124="","",INDEX(Assessment!$B:$B,$A124))</f>
        <v/>
      </c>
      <c r="D124" s="124" t="str">
        <f>IF($A124="","",INDEX(Assessment!$D:$D,$A124))</f>
        <v/>
      </c>
      <c r="E124" s="124" t="str">
        <f>IF($A124="","",INDEX(Assessment!$E:$E,$A124))</f>
        <v/>
      </c>
      <c r="F124" s="124" t="str">
        <f>IF($A124="","",INDEX(Assessment!$G:$G,$A124))</f>
        <v/>
      </c>
      <c r="G124" s="124" t="str">
        <f>IF($A124="","",INDEX(Assessment!$H:$H,$A124))</f>
        <v/>
      </c>
      <c r="H124" s="120" t="str">
        <f>IF($A124="","",INDEX(Assessment!$I:$I,$A124))</f>
        <v/>
      </c>
      <c r="I124" s="118"/>
      <c r="J124" s="118"/>
      <c r="K124" s="118"/>
    </row>
    <row r="125" spans="1:11" ht="48" customHeight="1" x14ac:dyDescent="0.25">
      <c r="A125" s="116" t="str">
        <f>IFERROR(MATCH(121,Assessment!$N:$N,0),"")</f>
        <v/>
      </c>
      <c r="B125" s="117" t="str">
        <f>IF($A125="","",INDEX(Assessment!$K:$K,$A125))</f>
        <v/>
      </c>
      <c r="C125" s="117" t="str">
        <f>IF($A125="","",INDEX(Assessment!$B:$B,$A125))</f>
        <v/>
      </c>
      <c r="D125" s="117" t="str">
        <f>IF($A125="","",INDEX(Assessment!$D:$D,$A125))</f>
        <v/>
      </c>
      <c r="E125" s="117" t="str">
        <f>IF($A125="","",INDEX(Assessment!$E:$E,$A125))</f>
        <v/>
      </c>
      <c r="F125" s="117" t="str">
        <f>IF($A125="","",INDEX(Assessment!$G:$G,$A125))</f>
        <v/>
      </c>
      <c r="G125" s="117" t="str">
        <f>IF($A125="","",INDEX(Assessment!$H:$H,$A125))</f>
        <v/>
      </c>
      <c r="H125" s="38" t="str">
        <f>IF($A125="","",INDEX(Assessment!$I:$I,$A125))</f>
        <v/>
      </c>
      <c r="I125" s="118"/>
      <c r="J125" s="118"/>
      <c r="K125" s="118"/>
    </row>
    <row r="126" spans="1:11" ht="48" customHeight="1" x14ac:dyDescent="0.25">
      <c r="A126" s="116" t="str">
        <f>IFERROR(MATCH(122,Assessment!$N:$N,0),"")</f>
        <v/>
      </c>
      <c r="B126" s="124" t="str">
        <f>IF($A126="","",INDEX(Assessment!$K:$K,$A126))</f>
        <v/>
      </c>
      <c r="C126" s="124" t="str">
        <f>IF($A126="","",INDEX(Assessment!$B:$B,$A126))</f>
        <v/>
      </c>
      <c r="D126" s="124" t="str">
        <f>IF($A126="","",INDEX(Assessment!$D:$D,$A126))</f>
        <v/>
      </c>
      <c r="E126" s="124" t="str">
        <f>IF($A126="","",INDEX(Assessment!$E:$E,$A126))</f>
        <v/>
      </c>
      <c r="F126" s="124" t="str">
        <f>IF($A126="","",INDEX(Assessment!$G:$G,$A126))</f>
        <v/>
      </c>
      <c r="G126" s="124" t="str">
        <f>IF($A126="","",INDEX(Assessment!$H:$H,$A126))</f>
        <v/>
      </c>
      <c r="H126" s="120" t="str">
        <f>IF($A126="","",INDEX(Assessment!$I:$I,$A126))</f>
        <v/>
      </c>
      <c r="I126" s="118"/>
      <c r="J126" s="118"/>
      <c r="K126" s="118"/>
    </row>
    <row r="127" spans="1:11" ht="48" customHeight="1" x14ac:dyDescent="0.25">
      <c r="A127" s="116" t="str">
        <f>IFERROR(MATCH(123,Assessment!$N:$N,0),"")</f>
        <v/>
      </c>
      <c r="B127" s="117" t="str">
        <f>IF($A127="","",INDEX(Assessment!$K:$K,$A127))</f>
        <v/>
      </c>
      <c r="C127" s="117" t="str">
        <f>IF($A127="","",INDEX(Assessment!$B:$B,$A127))</f>
        <v/>
      </c>
      <c r="D127" s="117" t="str">
        <f>IF($A127="","",INDEX(Assessment!$D:$D,$A127))</f>
        <v/>
      </c>
      <c r="E127" s="117" t="str">
        <f>IF($A127="","",INDEX(Assessment!$E:$E,$A127))</f>
        <v/>
      </c>
      <c r="F127" s="117" t="str">
        <f>IF($A127="","",INDEX(Assessment!$G:$G,$A127))</f>
        <v/>
      </c>
      <c r="G127" s="117" t="str">
        <f>IF($A127="","",INDEX(Assessment!$H:$H,$A127))</f>
        <v/>
      </c>
      <c r="H127" s="38" t="str">
        <f>IF($A127="","",INDEX(Assessment!$I:$I,$A127))</f>
        <v/>
      </c>
      <c r="I127" s="118"/>
      <c r="J127" s="118"/>
      <c r="K127" s="118"/>
    </row>
    <row r="128" spans="1:11" ht="48" customHeight="1" x14ac:dyDescent="0.25">
      <c r="A128" s="116" t="str">
        <f>IFERROR(MATCH(124,Assessment!$N:$N,0),"")</f>
        <v/>
      </c>
      <c r="B128" s="124" t="str">
        <f>IF($A128="","",INDEX(Assessment!$K:$K,$A128))</f>
        <v/>
      </c>
      <c r="C128" s="124" t="str">
        <f>IF($A128="","",INDEX(Assessment!$B:$B,$A128))</f>
        <v/>
      </c>
      <c r="D128" s="124" t="str">
        <f>IF($A128="","",INDEX(Assessment!$D:$D,$A128))</f>
        <v/>
      </c>
      <c r="E128" s="124" t="str">
        <f>IF($A128="","",INDEX(Assessment!$E:$E,$A128))</f>
        <v/>
      </c>
      <c r="F128" s="124" t="str">
        <f>IF($A128="","",INDEX(Assessment!$G:$G,$A128))</f>
        <v/>
      </c>
      <c r="G128" s="124" t="str">
        <f>IF($A128="","",INDEX(Assessment!$H:$H,$A128))</f>
        <v/>
      </c>
      <c r="H128" s="120" t="str">
        <f>IF($A128="","",INDEX(Assessment!$I:$I,$A128))</f>
        <v/>
      </c>
      <c r="I128" s="118"/>
      <c r="J128" s="118"/>
      <c r="K128" s="118"/>
    </row>
    <row r="129" spans="1:11" ht="48" customHeight="1" x14ac:dyDescent="0.25">
      <c r="A129" s="116" t="str">
        <f>IFERROR(MATCH(125,Assessment!$N:$N,0),"")</f>
        <v/>
      </c>
      <c r="B129" s="117" t="str">
        <f>IF($A129="","",INDEX(Assessment!$K:$K,$A129))</f>
        <v/>
      </c>
      <c r="C129" s="117" t="str">
        <f>IF($A129="","",INDEX(Assessment!$B:$B,$A129))</f>
        <v/>
      </c>
      <c r="D129" s="117" t="str">
        <f>IF($A129="","",INDEX(Assessment!$D:$D,$A129))</f>
        <v/>
      </c>
      <c r="E129" s="117" t="str">
        <f>IF($A129="","",INDEX(Assessment!$E:$E,$A129))</f>
        <v/>
      </c>
      <c r="F129" s="117" t="str">
        <f>IF($A129="","",INDEX(Assessment!$G:$G,$A129))</f>
        <v/>
      </c>
      <c r="G129" s="117" t="str">
        <f>IF($A129="","",INDEX(Assessment!$H:$H,$A129))</f>
        <v/>
      </c>
      <c r="H129" s="38" t="str">
        <f>IF($A129="","",INDEX(Assessment!$I:$I,$A129))</f>
        <v/>
      </c>
      <c r="I129" s="118"/>
      <c r="J129" s="118"/>
      <c r="K129" s="118"/>
    </row>
    <row r="130" spans="1:11" ht="48" customHeight="1" x14ac:dyDescent="0.25">
      <c r="A130" s="116" t="str">
        <f>IFERROR(MATCH(126,Assessment!$N:$N,0),"")</f>
        <v/>
      </c>
      <c r="B130" s="124" t="str">
        <f>IF($A130="","",INDEX(Assessment!$K:$K,$A130))</f>
        <v/>
      </c>
      <c r="C130" s="124" t="str">
        <f>IF($A130="","",INDEX(Assessment!$B:$B,$A130))</f>
        <v/>
      </c>
      <c r="D130" s="124" t="str">
        <f>IF($A130="","",INDEX(Assessment!$D:$D,$A130))</f>
        <v/>
      </c>
      <c r="E130" s="124" t="str">
        <f>IF($A130="","",INDEX(Assessment!$E:$E,$A130))</f>
        <v/>
      </c>
      <c r="F130" s="124" t="str">
        <f>IF($A130="","",INDEX(Assessment!$G:$G,$A130))</f>
        <v/>
      </c>
      <c r="G130" s="124" t="str">
        <f>IF($A130="","",INDEX(Assessment!$H:$H,$A130))</f>
        <v/>
      </c>
      <c r="H130" s="120" t="str">
        <f>IF($A130="","",INDEX(Assessment!$I:$I,$A130))</f>
        <v/>
      </c>
      <c r="I130" s="118"/>
      <c r="J130" s="118"/>
      <c r="K130" s="118"/>
    </row>
    <row r="131" spans="1:11" ht="48" customHeight="1" x14ac:dyDescent="0.25">
      <c r="A131" s="116" t="str">
        <f>IFERROR(MATCH(127,Assessment!$N:$N,0),"")</f>
        <v/>
      </c>
      <c r="B131" s="117" t="str">
        <f>IF($A131="","",INDEX(Assessment!$K:$K,$A131))</f>
        <v/>
      </c>
      <c r="C131" s="117" t="str">
        <f>IF($A131="","",INDEX(Assessment!$B:$B,$A131))</f>
        <v/>
      </c>
      <c r="D131" s="117" t="str">
        <f>IF($A131="","",INDEX(Assessment!$D:$D,$A131))</f>
        <v/>
      </c>
      <c r="E131" s="117" t="str">
        <f>IF($A131="","",INDEX(Assessment!$E:$E,$A131))</f>
        <v/>
      </c>
      <c r="F131" s="117" t="str">
        <f>IF($A131="","",INDEX(Assessment!$G:$G,$A131))</f>
        <v/>
      </c>
      <c r="G131" s="117" t="str">
        <f>IF($A131="","",INDEX(Assessment!$H:$H,$A131))</f>
        <v/>
      </c>
      <c r="H131" s="38" t="str">
        <f>IF($A131="","",INDEX(Assessment!$I:$I,$A131))</f>
        <v/>
      </c>
      <c r="I131" s="118"/>
      <c r="J131" s="118"/>
      <c r="K131" s="118"/>
    </row>
    <row r="132" spans="1:11" ht="48" customHeight="1" x14ac:dyDescent="0.25">
      <c r="A132" s="116" t="str">
        <f>IFERROR(MATCH(128,Assessment!$N:$N,0),"")</f>
        <v/>
      </c>
      <c r="B132" s="124" t="str">
        <f>IF($A132="","",INDEX(Assessment!$K:$K,$A132))</f>
        <v/>
      </c>
      <c r="C132" s="124" t="str">
        <f>IF($A132="","",INDEX(Assessment!$B:$B,$A132))</f>
        <v/>
      </c>
      <c r="D132" s="124" t="str">
        <f>IF($A132="","",INDEX(Assessment!$D:$D,$A132))</f>
        <v/>
      </c>
      <c r="E132" s="124" t="str">
        <f>IF($A132="","",INDEX(Assessment!$E:$E,$A132))</f>
        <v/>
      </c>
      <c r="F132" s="124" t="str">
        <f>IF($A132="","",INDEX(Assessment!$G:$G,$A132))</f>
        <v/>
      </c>
      <c r="G132" s="124" t="str">
        <f>IF($A132="","",INDEX(Assessment!$H:$H,$A132))</f>
        <v/>
      </c>
      <c r="H132" s="120" t="str">
        <f>IF($A132="","",INDEX(Assessment!$I:$I,$A132))</f>
        <v/>
      </c>
      <c r="I132" s="118"/>
      <c r="J132" s="118"/>
      <c r="K132" s="118"/>
    </row>
    <row r="133" spans="1:11" ht="48" customHeight="1" x14ac:dyDescent="0.25">
      <c r="A133" s="116" t="str">
        <f>IFERROR(MATCH(129,Assessment!$N:$N,0),"")</f>
        <v/>
      </c>
      <c r="B133" s="117" t="str">
        <f>IF($A133="","",INDEX(Assessment!$K:$K,$A133))</f>
        <v/>
      </c>
      <c r="C133" s="117" t="str">
        <f>IF($A133="","",INDEX(Assessment!$B:$B,$A133))</f>
        <v/>
      </c>
      <c r="D133" s="117" t="str">
        <f>IF($A133="","",INDEX(Assessment!$D:$D,$A133))</f>
        <v/>
      </c>
      <c r="E133" s="117" t="str">
        <f>IF($A133="","",INDEX(Assessment!$E:$E,$A133))</f>
        <v/>
      </c>
      <c r="F133" s="117" t="str">
        <f>IF($A133="","",INDEX(Assessment!$G:$G,$A133))</f>
        <v/>
      </c>
      <c r="G133" s="117" t="str">
        <f>IF($A133="","",INDEX(Assessment!$H:$H,$A133))</f>
        <v/>
      </c>
      <c r="H133" s="38" t="str">
        <f>IF($A133="","",INDEX(Assessment!$I:$I,$A133))</f>
        <v/>
      </c>
      <c r="I133" s="118"/>
      <c r="J133" s="118"/>
      <c r="K133" s="118"/>
    </row>
    <row r="134" spans="1:11" ht="48" customHeight="1" x14ac:dyDescent="0.25">
      <c r="A134" s="116" t="str">
        <f>IFERROR(MATCH(130,Assessment!$N:$N,0),"")</f>
        <v/>
      </c>
      <c r="B134" s="124" t="str">
        <f>IF($A134="","",INDEX(Assessment!$K:$K,$A134))</f>
        <v/>
      </c>
      <c r="C134" s="124" t="str">
        <f>IF($A134="","",INDEX(Assessment!$B:$B,$A134))</f>
        <v/>
      </c>
      <c r="D134" s="124" t="str">
        <f>IF($A134="","",INDEX(Assessment!$D:$D,$A134))</f>
        <v/>
      </c>
      <c r="E134" s="124" t="str">
        <f>IF($A134="","",INDEX(Assessment!$E:$E,$A134))</f>
        <v/>
      </c>
      <c r="F134" s="124" t="str">
        <f>IF($A134="","",INDEX(Assessment!$G:$G,$A134))</f>
        <v/>
      </c>
      <c r="G134" s="124" t="str">
        <f>IF($A134="","",INDEX(Assessment!$H:$H,$A134))</f>
        <v/>
      </c>
      <c r="H134" s="120" t="str">
        <f>IF($A134="","",INDEX(Assessment!$I:$I,$A134))</f>
        <v/>
      </c>
      <c r="I134" s="118"/>
      <c r="J134" s="118"/>
      <c r="K134" s="118"/>
    </row>
    <row r="135" spans="1:11" ht="48" customHeight="1" x14ac:dyDescent="0.25">
      <c r="A135" s="116" t="str">
        <f>IFERROR(MATCH(131,Assessment!$N:$N,0),"")</f>
        <v/>
      </c>
      <c r="B135" s="117" t="str">
        <f>IF($A135="","",INDEX(Assessment!$K:$K,$A135))</f>
        <v/>
      </c>
      <c r="C135" s="117" t="str">
        <f>IF($A135="","",INDEX(Assessment!$B:$B,$A135))</f>
        <v/>
      </c>
      <c r="D135" s="117" t="str">
        <f>IF($A135="","",INDEX(Assessment!$D:$D,$A135))</f>
        <v/>
      </c>
      <c r="E135" s="117" t="str">
        <f>IF($A135="","",INDEX(Assessment!$E:$E,$A135))</f>
        <v/>
      </c>
      <c r="F135" s="117" t="str">
        <f>IF($A135="","",INDEX(Assessment!$G:$G,$A135))</f>
        <v/>
      </c>
      <c r="G135" s="117" t="str">
        <f>IF($A135="","",INDEX(Assessment!$H:$H,$A135))</f>
        <v/>
      </c>
      <c r="H135" s="38" t="str">
        <f>IF($A135="","",INDEX(Assessment!$I:$I,$A135))</f>
        <v/>
      </c>
      <c r="I135" s="118"/>
      <c r="J135" s="118"/>
      <c r="K135" s="118"/>
    </row>
    <row r="136" spans="1:11" ht="48" customHeight="1" x14ac:dyDescent="0.25">
      <c r="A136" s="116" t="str">
        <f>IFERROR(MATCH(132,Assessment!$N:$N,0),"")</f>
        <v/>
      </c>
      <c r="B136" s="124" t="str">
        <f>IF($A136="","",INDEX(Assessment!$K:$K,$A136))</f>
        <v/>
      </c>
      <c r="C136" s="124" t="str">
        <f>IF($A136="","",INDEX(Assessment!$B:$B,$A136))</f>
        <v/>
      </c>
      <c r="D136" s="124" t="str">
        <f>IF($A136="","",INDEX(Assessment!$D:$D,$A136))</f>
        <v/>
      </c>
      <c r="E136" s="124" t="str">
        <f>IF($A136="","",INDEX(Assessment!$E:$E,$A136))</f>
        <v/>
      </c>
      <c r="F136" s="124" t="str">
        <f>IF($A136="","",INDEX(Assessment!$G:$G,$A136))</f>
        <v/>
      </c>
      <c r="G136" s="124" t="str">
        <f>IF($A136="","",INDEX(Assessment!$H:$H,$A136))</f>
        <v/>
      </c>
      <c r="H136" s="120" t="str">
        <f>IF($A136="","",INDEX(Assessment!$I:$I,$A136))</f>
        <v/>
      </c>
      <c r="I136" s="118"/>
      <c r="J136" s="118"/>
      <c r="K136" s="118"/>
    </row>
    <row r="137" spans="1:11" ht="48" customHeight="1" x14ac:dyDescent="0.25">
      <c r="A137" s="116" t="str">
        <f>IFERROR(MATCH(133,Assessment!$N:$N,0),"")</f>
        <v/>
      </c>
      <c r="B137" s="117" t="str">
        <f>IF($A137="","",INDEX(Assessment!$K:$K,$A137))</f>
        <v/>
      </c>
      <c r="C137" s="117" t="str">
        <f>IF($A137="","",INDEX(Assessment!$B:$B,$A137))</f>
        <v/>
      </c>
      <c r="D137" s="117" t="str">
        <f>IF($A137="","",INDEX(Assessment!$D:$D,$A137))</f>
        <v/>
      </c>
      <c r="E137" s="117" t="str">
        <f>IF($A137="","",INDEX(Assessment!$E:$E,$A137))</f>
        <v/>
      </c>
      <c r="F137" s="117" t="str">
        <f>IF($A137="","",INDEX(Assessment!$G:$G,$A137))</f>
        <v/>
      </c>
      <c r="G137" s="117" t="str">
        <f>IF($A137="","",INDEX(Assessment!$H:$H,$A137))</f>
        <v/>
      </c>
      <c r="H137" s="38" t="str">
        <f>IF($A137="","",INDEX(Assessment!$I:$I,$A137))</f>
        <v/>
      </c>
      <c r="I137" s="118"/>
      <c r="J137" s="118"/>
      <c r="K137" s="118"/>
    </row>
    <row r="138" spans="1:11" ht="48" customHeight="1" x14ac:dyDescent="0.25">
      <c r="A138" s="116" t="str">
        <f>IFERROR(MATCH(134,Assessment!$N:$N,0),"")</f>
        <v/>
      </c>
      <c r="B138" s="124" t="str">
        <f>IF($A138="","",INDEX(Assessment!$K:$K,$A138))</f>
        <v/>
      </c>
      <c r="C138" s="124" t="str">
        <f>IF($A138="","",INDEX(Assessment!$B:$B,$A138))</f>
        <v/>
      </c>
      <c r="D138" s="124" t="str">
        <f>IF($A138="","",INDEX(Assessment!$D:$D,$A138))</f>
        <v/>
      </c>
      <c r="E138" s="124" t="str">
        <f>IF($A138="","",INDEX(Assessment!$E:$E,$A138))</f>
        <v/>
      </c>
      <c r="F138" s="124" t="str">
        <f>IF($A138="","",INDEX(Assessment!$G:$G,$A138))</f>
        <v/>
      </c>
      <c r="G138" s="124" t="str">
        <f>IF($A138="","",INDEX(Assessment!$H:$H,$A138))</f>
        <v/>
      </c>
      <c r="H138" s="120" t="str">
        <f>IF($A138="","",INDEX(Assessment!$I:$I,$A138))</f>
        <v/>
      </c>
      <c r="I138" s="118"/>
      <c r="J138" s="118"/>
      <c r="K138" s="118"/>
    </row>
    <row r="139" spans="1:11" ht="48" customHeight="1" x14ac:dyDescent="0.25">
      <c r="A139" s="116" t="str">
        <f>IFERROR(MATCH(135,Assessment!$N:$N,0),"")</f>
        <v/>
      </c>
      <c r="B139" s="117" t="str">
        <f>IF($A139="","",INDEX(Assessment!$K:$K,$A139))</f>
        <v/>
      </c>
      <c r="C139" s="117" t="str">
        <f>IF($A139="","",INDEX(Assessment!$B:$B,$A139))</f>
        <v/>
      </c>
      <c r="D139" s="117" t="str">
        <f>IF($A139="","",INDEX(Assessment!$D:$D,$A139))</f>
        <v/>
      </c>
      <c r="E139" s="117" t="str">
        <f>IF($A139="","",INDEX(Assessment!$E:$E,$A139))</f>
        <v/>
      </c>
      <c r="F139" s="117" t="str">
        <f>IF($A139="","",INDEX(Assessment!$G:$G,$A139))</f>
        <v/>
      </c>
      <c r="G139" s="117" t="str">
        <f>IF($A139="","",INDEX(Assessment!$H:$H,$A139))</f>
        <v/>
      </c>
      <c r="H139" s="38" t="str">
        <f>IF($A139="","",INDEX(Assessment!$I:$I,$A139))</f>
        <v/>
      </c>
      <c r="I139" s="118"/>
      <c r="J139" s="118"/>
      <c r="K139" s="118"/>
    </row>
    <row r="140" spans="1:11" ht="48" customHeight="1" x14ac:dyDescent="0.25">
      <c r="A140" s="116" t="str">
        <f>IFERROR(MATCH(136,Assessment!$N:$N,0),"")</f>
        <v/>
      </c>
      <c r="B140" s="124" t="str">
        <f>IF($A140="","",INDEX(Assessment!$K:$K,$A140))</f>
        <v/>
      </c>
      <c r="C140" s="124" t="str">
        <f>IF($A140="","",INDEX(Assessment!$B:$B,$A140))</f>
        <v/>
      </c>
      <c r="D140" s="124" t="str">
        <f>IF($A140="","",INDEX(Assessment!$D:$D,$A140))</f>
        <v/>
      </c>
      <c r="E140" s="124" t="str">
        <f>IF($A140="","",INDEX(Assessment!$E:$E,$A140))</f>
        <v/>
      </c>
      <c r="F140" s="124" t="str">
        <f>IF($A140="","",INDEX(Assessment!$G:$G,$A140))</f>
        <v/>
      </c>
      <c r="G140" s="124" t="str">
        <f>IF($A140="","",INDEX(Assessment!$H:$H,$A140))</f>
        <v/>
      </c>
      <c r="H140" s="120" t="str">
        <f>IF($A140="","",INDEX(Assessment!$I:$I,$A140))</f>
        <v/>
      </c>
      <c r="I140" s="118"/>
      <c r="J140" s="118"/>
      <c r="K140" s="118"/>
    </row>
    <row r="141" spans="1:11" ht="48" customHeight="1" x14ac:dyDescent="0.25">
      <c r="A141" s="116" t="str">
        <f>IFERROR(MATCH(137,Assessment!$N:$N,0),"")</f>
        <v/>
      </c>
      <c r="B141" s="117" t="str">
        <f>IF($A141="","",INDEX(Assessment!$K:$K,$A141))</f>
        <v/>
      </c>
      <c r="C141" s="117" t="str">
        <f>IF($A141="","",INDEX(Assessment!$B:$B,$A141))</f>
        <v/>
      </c>
      <c r="D141" s="117" t="str">
        <f>IF($A141="","",INDEX(Assessment!$D:$D,$A141))</f>
        <v/>
      </c>
      <c r="E141" s="117" t="str">
        <f>IF($A141="","",INDEX(Assessment!$E:$E,$A141))</f>
        <v/>
      </c>
      <c r="F141" s="117" t="str">
        <f>IF($A141="","",INDEX(Assessment!$G:$G,$A141))</f>
        <v/>
      </c>
      <c r="G141" s="117" t="str">
        <f>IF($A141="","",INDEX(Assessment!$H:$H,$A141))</f>
        <v/>
      </c>
      <c r="H141" s="38" t="str">
        <f>IF($A141="","",INDEX(Assessment!$I:$I,$A141))</f>
        <v/>
      </c>
      <c r="I141" s="118"/>
      <c r="J141" s="118"/>
      <c r="K141" s="118"/>
    </row>
    <row r="142" spans="1:11" ht="48" customHeight="1" x14ac:dyDescent="0.25">
      <c r="A142" s="116" t="str">
        <f>IFERROR(MATCH(138,Assessment!$N:$N,0),"")</f>
        <v/>
      </c>
      <c r="B142" s="124" t="str">
        <f>IF($A142="","",INDEX(Assessment!$K:$K,$A142))</f>
        <v/>
      </c>
      <c r="C142" s="124" t="str">
        <f>IF($A142="","",INDEX(Assessment!$B:$B,$A142))</f>
        <v/>
      </c>
      <c r="D142" s="124" t="str">
        <f>IF($A142="","",INDEX(Assessment!$D:$D,$A142))</f>
        <v/>
      </c>
      <c r="E142" s="124" t="str">
        <f>IF($A142="","",INDEX(Assessment!$E:$E,$A142))</f>
        <v/>
      </c>
      <c r="F142" s="124" t="str">
        <f>IF($A142="","",INDEX(Assessment!$G:$G,$A142))</f>
        <v/>
      </c>
      <c r="G142" s="124" t="str">
        <f>IF($A142="","",INDEX(Assessment!$H:$H,$A142))</f>
        <v/>
      </c>
      <c r="H142" s="120" t="str">
        <f>IF($A142="","",INDEX(Assessment!$I:$I,$A142))</f>
        <v/>
      </c>
      <c r="I142" s="118"/>
      <c r="J142" s="118"/>
      <c r="K142" s="118"/>
    </row>
    <row r="143" spans="1:11" ht="48" customHeight="1" x14ac:dyDescent="0.25">
      <c r="A143" s="116" t="str">
        <f>IFERROR(MATCH(139,Assessment!$N:$N,0),"")</f>
        <v/>
      </c>
      <c r="B143" s="117" t="str">
        <f>IF($A143="","",INDEX(Assessment!$K:$K,$A143))</f>
        <v/>
      </c>
      <c r="C143" s="117" t="str">
        <f>IF($A143="","",INDEX(Assessment!$B:$B,$A143))</f>
        <v/>
      </c>
      <c r="D143" s="117" t="str">
        <f>IF($A143="","",INDEX(Assessment!$D:$D,$A143))</f>
        <v/>
      </c>
      <c r="E143" s="117" t="str">
        <f>IF($A143="","",INDEX(Assessment!$E:$E,$A143))</f>
        <v/>
      </c>
      <c r="F143" s="117" t="str">
        <f>IF($A143="","",INDEX(Assessment!$G:$G,$A143))</f>
        <v/>
      </c>
      <c r="G143" s="117" t="str">
        <f>IF($A143="","",INDEX(Assessment!$H:$H,$A143))</f>
        <v/>
      </c>
      <c r="H143" s="38" t="str">
        <f>IF($A143="","",INDEX(Assessment!$I:$I,$A143))</f>
        <v/>
      </c>
      <c r="I143" s="118"/>
      <c r="J143" s="118"/>
      <c r="K143" s="118"/>
    </row>
    <row r="144" spans="1:11" ht="48" customHeight="1" x14ac:dyDescent="0.25">
      <c r="A144" s="116" t="str">
        <f>IFERROR(MATCH(140,Assessment!$N:$N,0),"")</f>
        <v/>
      </c>
      <c r="B144" s="124" t="str">
        <f>IF($A144="","",INDEX(Assessment!$K:$K,$A144))</f>
        <v/>
      </c>
      <c r="C144" s="124" t="str">
        <f>IF($A144="","",INDEX(Assessment!$B:$B,$A144))</f>
        <v/>
      </c>
      <c r="D144" s="124" t="str">
        <f>IF($A144="","",INDEX(Assessment!$D:$D,$A144))</f>
        <v/>
      </c>
      <c r="E144" s="124" t="str">
        <f>IF($A144="","",INDEX(Assessment!$E:$E,$A144))</f>
        <v/>
      </c>
      <c r="F144" s="124" t="str">
        <f>IF($A144="","",INDEX(Assessment!$G:$G,$A144))</f>
        <v/>
      </c>
      <c r="G144" s="124" t="str">
        <f>IF($A144="","",INDEX(Assessment!$H:$H,$A144))</f>
        <v/>
      </c>
      <c r="H144" s="120" t="str">
        <f>IF($A144="","",INDEX(Assessment!$I:$I,$A144))</f>
        <v/>
      </c>
      <c r="I144" s="118"/>
      <c r="J144" s="118"/>
      <c r="K144" s="118"/>
    </row>
    <row r="145" spans="1:11" ht="48" customHeight="1" x14ac:dyDescent="0.25">
      <c r="A145" s="116" t="str">
        <f>IFERROR(MATCH(141,Assessment!$N:$N,0),"")</f>
        <v/>
      </c>
      <c r="B145" s="117" t="str">
        <f>IF($A145="","",INDEX(Assessment!$K:$K,$A145))</f>
        <v/>
      </c>
      <c r="C145" s="117" t="str">
        <f>IF($A145="","",INDEX(Assessment!$B:$B,$A145))</f>
        <v/>
      </c>
      <c r="D145" s="117" t="str">
        <f>IF($A145="","",INDEX(Assessment!$D:$D,$A145))</f>
        <v/>
      </c>
      <c r="E145" s="117" t="str">
        <f>IF($A145="","",INDEX(Assessment!$E:$E,$A145))</f>
        <v/>
      </c>
      <c r="F145" s="117" t="str">
        <f>IF($A145="","",INDEX(Assessment!$G:$G,$A145))</f>
        <v/>
      </c>
      <c r="G145" s="117" t="str">
        <f>IF($A145="","",INDEX(Assessment!$H:$H,$A145))</f>
        <v/>
      </c>
      <c r="H145" s="38" t="str">
        <f>IF($A145="","",INDEX(Assessment!$I:$I,$A145))</f>
        <v/>
      </c>
      <c r="I145" s="118"/>
      <c r="J145" s="118"/>
      <c r="K145" s="118"/>
    </row>
    <row r="146" spans="1:11" ht="48" customHeight="1" x14ac:dyDescent="0.25">
      <c r="A146" s="116" t="str">
        <f>IFERROR(MATCH(142,Assessment!$N:$N,0),"")</f>
        <v/>
      </c>
      <c r="B146" s="124" t="str">
        <f>IF($A146="","",INDEX(Assessment!$K:$K,$A146))</f>
        <v/>
      </c>
      <c r="C146" s="124" t="str">
        <f>IF($A146="","",INDEX(Assessment!$B:$B,$A146))</f>
        <v/>
      </c>
      <c r="D146" s="124" t="str">
        <f>IF($A146="","",INDEX(Assessment!$D:$D,$A146))</f>
        <v/>
      </c>
      <c r="E146" s="124" t="str">
        <f>IF($A146="","",INDEX(Assessment!$E:$E,$A146))</f>
        <v/>
      </c>
      <c r="F146" s="124" t="str">
        <f>IF($A146="","",INDEX(Assessment!$G:$G,$A146))</f>
        <v/>
      </c>
      <c r="G146" s="124" t="str">
        <f>IF($A146="","",INDEX(Assessment!$H:$H,$A146))</f>
        <v/>
      </c>
      <c r="H146" s="120" t="str">
        <f>IF($A146="","",INDEX(Assessment!$I:$I,$A146))</f>
        <v/>
      </c>
      <c r="I146" s="118"/>
      <c r="J146" s="118"/>
      <c r="K146" s="118"/>
    </row>
    <row r="147" spans="1:11" ht="48" customHeight="1" x14ac:dyDescent="0.25">
      <c r="A147" s="116" t="str">
        <f>IFERROR(MATCH(143,Assessment!$N:$N,0),"")</f>
        <v/>
      </c>
      <c r="B147" s="117" t="str">
        <f>IF($A147="","",INDEX(Assessment!$K:$K,$A147))</f>
        <v/>
      </c>
      <c r="C147" s="117" t="str">
        <f>IF($A147="","",INDEX(Assessment!$B:$B,$A147))</f>
        <v/>
      </c>
      <c r="D147" s="117" t="str">
        <f>IF($A147="","",INDEX(Assessment!$D:$D,$A147))</f>
        <v/>
      </c>
      <c r="E147" s="117" t="str">
        <f>IF($A147="","",INDEX(Assessment!$E:$E,$A147))</f>
        <v/>
      </c>
      <c r="F147" s="117" t="str">
        <f>IF($A147="","",INDEX(Assessment!$G:$G,$A147))</f>
        <v/>
      </c>
      <c r="G147" s="117" t="str">
        <f>IF($A147="","",INDEX(Assessment!$H:$H,$A147))</f>
        <v/>
      </c>
      <c r="H147" s="38" t="str">
        <f>IF($A147="","",INDEX(Assessment!$I:$I,$A147))</f>
        <v/>
      </c>
      <c r="I147" s="118"/>
      <c r="J147" s="118"/>
      <c r="K147" s="118"/>
    </row>
    <row r="148" spans="1:11" ht="48" customHeight="1" x14ac:dyDescent="0.25">
      <c r="A148" s="116" t="str">
        <f>IFERROR(MATCH(144,Assessment!$N:$N,0),"")</f>
        <v/>
      </c>
      <c r="B148" s="124" t="str">
        <f>IF($A148="","",INDEX(Assessment!$K:$K,$A148))</f>
        <v/>
      </c>
      <c r="C148" s="124" t="str">
        <f>IF($A148="","",INDEX(Assessment!$B:$B,$A148))</f>
        <v/>
      </c>
      <c r="D148" s="124" t="str">
        <f>IF($A148="","",INDEX(Assessment!$D:$D,$A148))</f>
        <v/>
      </c>
      <c r="E148" s="124" t="str">
        <f>IF($A148="","",INDEX(Assessment!$E:$E,$A148))</f>
        <v/>
      </c>
      <c r="F148" s="124" t="str">
        <f>IF($A148="","",INDEX(Assessment!$G:$G,$A148))</f>
        <v/>
      </c>
      <c r="G148" s="124" t="str">
        <f>IF($A148="","",INDEX(Assessment!$H:$H,$A148))</f>
        <v/>
      </c>
      <c r="H148" s="120" t="str">
        <f>IF($A148="","",INDEX(Assessment!$I:$I,$A148))</f>
        <v/>
      </c>
      <c r="I148" s="118"/>
      <c r="J148" s="118"/>
      <c r="K148" s="118"/>
    </row>
    <row r="149" spans="1:11" ht="48" customHeight="1" x14ac:dyDescent="0.25">
      <c r="A149" s="116" t="str">
        <f>IFERROR(MATCH(145,Assessment!$N:$N,0),"")</f>
        <v/>
      </c>
      <c r="B149" s="117" t="str">
        <f>IF($A149="","",INDEX(Assessment!$K:$K,$A149))</f>
        <v/>
      </c>
      <c r="C149" s="117" t="str">
        <f>IF($A149="","",INDEX(Assessment!$B:$B,$A149))</f>
        <v/>
      </c>
      <c r="D149" s="117" t="str">
        <f>IF($A149="","",INDEX(Assessment!$D:$D,$A149))</f>
        <v/>
      </c>
      <c r="E149" s="117" t="str">
        <f>IF($A149="","",INDEX(Assessment!$E:$E,$A149))</f>
        <v/>
      </c>
      <c r="F149" s="117" t="str">
        <f>IF($A149="","",INDEX(Assessment!$G:$G,$A149))</f>
        <v/>
      </c>
      <c r="G149" s="117" t="str">
        <f>IF($A149="","",INDEX(Assessment!$H:$H,$A149))</f>
        <v/>
      </c>
      <c r="H149" s="38" t="str">
        <f>IF($A149="","",INDEX(Assessment!$I:$I,$A149))</f>
        <v/>
      </c>
      <c r="I149" s="118"/>
      <c r="J149" s="118"/>
      <c r="K149" s="118"/>
    </row>
    <row r="150" spans="1:11" ht="48" customHeight="1" x14ac:dyDescent="0.25">
      <c r="A150" s="116" t="str">
        <f>IFERROR(MATCH(146,Assessment!$N:$N,0),"")</f>
        <v/>
      </c>
      <c r="B150" s="124" t="str">
        <f>IF($A150="","",INDEX(Assessment!$K:$K,$A150))</f>
        <v/>
      </c>
      <c r="C150" s="124" t="str">
        <f>IF($A150="","",INDEX(Assessment!$B:$B,$A150))</f>
        <v/>
      </c>
      <c r="D150" s="124" t="str">
        <f>IF($A150="","",INDEX(Assessment!$D:$D,$A150))</f>
        <v/>
      </c>
      <c r="E150" s="124" t="str">
        <f>IF($A150="","",INDEX(Assessment!$E:$E,$A150))</f>
        <v/>
      </c>
      <c r="F150" s="124" t="str">
        <f>IF($A150="","",INDEX(Assessment!$G:$G,$A150))</f>
        <v/>
      </c>
      <c r="G150" s="124" t="str">
        <f>IF($A150="","",INDEX(Assessment!$H:$H,$A150))</f>
        <v/>
      </c>
      <c r="H150" s="120" t="str">
        <f>IF($A150="","",INDEX(Assessment!$I:$I,$A150))</f>
        <v/>
      </c>
      <c r="I150" s="118"/>
      <c r="J150" s="118"/>
      <c r="K150" s="118"/>
    </row>
    <row r="151" spans="1:11" ht="48" customHeight="1" x14ac:dyDescent="0.25">
      <c r="A151" s="116" t="str">
        <f>IFERROR(MATCH(147,Assessment!$N:$N,0),"")</f>
        <v/>
      </c>
      <c r="B151" s="117" t="str">
        <f>IF($A151="","",INDEX(Assessment!$K:$K,$A151))</f>
        <v/>
      </c>
      <c r="C151" s="117" t="str">
        <f>IF($A151="","",INDEX(Assessment!$B:$B,$A151))</f>
        <v/>
      </c>
      <c r="D151" s="117" t="str">
        <f>IF($A151="","",INDEX(Assessment!$D:$D,$A151))</f>
        <v/>
      </c>
      <c r="E151" s="117" t="str">
        <f>IF($A151="","",INDEX(Assessment!$E:$E,$A151))</f>
        <v/>
      </c>
      <c r="F151" s="117" t="str">
        <f>IF($A151="","",INDEX(Assessment!$G:$G,$A151))</f>
        <v/>
      </c>
      <c r="G151" s="117" t="str">
        <f>IF($A151="","",INDEX(Assessment!$H:$H,$A151))</f>
        <v/>
      </c>
      <c r="H151" s="38" t="str">
        <f>IF($A151="","",INDEX(Assessment!$I:$I,$A151))</f>
        <v/>
      </c>
      <c r="I151" s="118"/>
      <c r="J151" s="118"/>
      <c r="K151" s="118"/>
    </row>
    <row r="152" spans="1:11" ht="48" customHeight="1" x14ac:dyDescent="0.25">
      <c r="A152" s="116" t="str">
        <f>IFERROR(MATCH(148,Assessment!$N:$N,0),"")</f>
        <v/>
      </c>
      <c r="B152" s="124" t="str">
        <f>IF($A152="","",INDEX(Assessment!$K:$K,$A152))</f>
        <v/>
      </c>
      <c r="C152" s="124" t="str">
        <f>IF($A152="","",INDEX(Assessment!$B:$B,$A152))</f>
        <v/>
      </c>
      <c r="D152" s="124" t="str">
        <f>IF($A152="","",INDEX(Assessment!$D:$D,$A152))</f>
        <v/>
      </c>
      <c r="E152" s="124" t="str">
        <f>IF($A152="","",INDEX(Assessment!$E:$E,$A152))</f>
        <v/>
      </c>
      <c r="F152" s="124" t="str">
        <f>IF($A152="","",INDEX(Assessment!$G:$G,$A152))</f>
        <v/>
      </c>
      <c r="G152" s="124" t="str">
        <f>IF($A152="","",INDEX(Assessment!$H:$H,$A152))</f>
        <v/>
      </c>
      <c r="H152" s="120" t="str">
        <f>IF($A152="","",INDEX(Assessment!$I:$I,$A152))</f>
        <v/>
      </c>
      <c r="I152" s="118"/>
      <c r="J152" s="118"/>
      <c r="K152" s="118"/>
    </row>
    <row r="153" spans="1:11" ht="48" customHeight="1" x14ac:dyDescent="0.25">
      <c r="A153" s="116" t="str">
        <f>IFERROR(MATCH(149,Assessment!$N:$N,0),"")</f>
        <v/>
      </c>
      <c r="B153" s="117" t="str">
        <f>IF($A153="","",INDEX(Assessment!$K:$K,$A153))</f>
        <v/>
      </c>
      <c r="C153" s="117" t="str">
        <f>IF($A153="","",INDEX(Assessment!$B:$B,$A153))</f>
        <v/>
      </c>
      <c r="D153" s="117" t="str">
        <f>IF($A153="","",INDEX(Assessment!$D:$D,$A153))</f>
        <v/>
      </c>
      <c r="E153" s="117" t="str">
        <f>IF($A153="","",INDEX(Assessment!$E:$E,$A153))</f>
        <v/>
      </c>
      <c r="F153" s="117" t="str">
        <f>IF($A153="","",INDEX(Assessment!$G:$G,$A153))</f>
        <v/>
      </c>
      <c r="G153" s="117" t="str">
        <f>IF($A153="","",INDEX(Assessment!$H:$H,$A153))</f>
        <v/>
      </c>
      <c r="H153" s="38" t="str">
        <f>IF($A153="","",INDEX(Assessment!$I:$I,$A153))</f>
        <v/>
      </c>
      <c r="I153" s="118"/>
      <c r="J153" s="118"/>
      <c r="K153" s="118"/>
    </row>
    <row r="154" spans="1:11" ht="48" customHeight="1" x14ac:dyDescent="0.25">
      <c r="A154" s="116" t="str">
        <f>IFERROR(MATCH(150,Assessment!$N:$N,0),"")</f>
        <v/>
      </c>
      <c r="B154" s="124" t="str">
        <f>IF($A154="","",INDEX(Assessment!$K:$K,$A154))</f>
        <v/>
      </c>
      <c r="C154" s="124" t="str">
        <f>IF($A154="","",INDEX(Assessment!$B:$B,$A154))</f>
        <v/>
      </c>
      <c r="D154" s="124" t="str">
        <f>IF($A154="","",INDEX(Assessment!$D:$D,$A154))</f>
        <v/>
      </c>
      <c r="E154" s="124" t="str">
        <f>IF($A154="","",INDEX(Assessment!$E:$E,$A154))</f>
        <v/>
      </c>
      <c r="F154" s="124" t="str">
        <f>IF($A154="","",INDEX(Assessment!$G:$G,$A154))</f>
        <v/>
      </c>
      <c r="G154" s="124" t="str">
        <f>IF($A154="","",INDEX(Assessment!$H:$H,$A154))</f>
        <v/>
      </c>
      <c r="H154" s="120" t="str">
        <f>IF($A154="","",INDEX(Assessment!$I:$I,$A154))</f>
        <v/>
      </c>
      <c r="I154" s="118"/>
      <c r="J154" s="118"/>
      <c r="K154" s="118"/>
    </row>
    <row r="155" spans="1:11" ht="48" customHeight="1" x14ac:dyDescent="0.25">
      <c r="A155" s="116" t="str">
        <f>IFERROR(MATCH(151,Assessment!$N:$N,0),"")</f>
        <v/>
      </c>
      <c r="B155" s="117" t="str">
        <f>IF($A155="","",INDEX(Assessment!$K:$K,$A155))</f>
        <v/>
      </c>
      <c r="C155" s="117" t="str">
        <f>IF($A155="","",INDEX(Assessment!$B:$B,$A155))</f>
        <v/>
      </c>
      <c r="D155" s="117" t="str">
        <f>IF($A155="","",INDEX(Assessment!$D:$D,$A155))</f>
        <v/>
      </c>
      <c r="E155" s="117" t="str">
        <f>IF($A155="","",INDEX(Assessment!$E:$E,$A155))</f>
        <v/>
      </c>
      <c r="F155" s="117" t="str">
        <f>IF($A155="","",INDEX(Assessment!$G:$G,$A155))</f>
        <v/>
      </c>
      <c r="G155" s="117" t="str">
        <f>IF($A155="","",INDEX(Assessment!$H:$H,$A155))</f>
        <v/>
      </c>
      <c r="H155" s="38" t="str">
        <f>IF($A155="","",INDEX(Assessment!$I:$I,$A155))</f>
        <v/>
      </c>
      <c r="I155" s="118"/>
      <c r="J155" s="118"/>
      <c r="K155" s="118"/>
    </row>
    <row r="156" spans="1:11" ht="48" customHeight="1" x14ac:dyDescent="0.25">
      <c r="A156" s="116" t="str">
        <f>IFERROR(MATCH(152,Assessment!$N:$N,0),"")</f>
        <v/>
      </c>
      <c r="B156" s="124" t="str">
        <f>IF($A156="","",INDEX(Assessment!$K:$K,$A156))</f>
        <v/>
      </c>
      <c r="C156" s="124" t="str">
        <f>IF($A156="","",INDEX(Assessment!$B:$B,$A156))</f>
        <v/>
      </c>
      <c r="D156" s="124" t="str">
        <f>IF($A156="","",INDEX(Assessment!$D:$D,$A156))</f>
        <v/>
      </c>
      <c r="E156" s="124" t="str">
        <f>IF($A156="","",INDEX(Assessment!$E:$E,$A156))</f>
        <v/>
      </c>
      <c r="F156" s="124" t="str">
        <f>IF($A156="","",INDEX(Assessment!$G:$G,$A156))</f>
        <v/>
      </c>
      <c r="G156" s="124" t="str">
        <f>IF($A156="","",INDEX(Assessment!$H:$H,$A156))</f>
        <v/>
      </c>
      <c r="H156" s="120" t="str">
        <f>IF($A156="","",INDEX(Assessment!$I:$I,$A156))</f>
        <v/>
      </c>
      <c r="I156" s="118"/>
      <c r="J156" s="118"/>
      <c r="K156" s="118"/>
    </row>
    <row r="157" spans="1:11" ht="48" customHeight="1" x14ac:dyDescent="0.25">
      <c r="A157" s="116" t="str">
        <f>IFERROR(MATCH(153,Assessment!$N:$N,0),"")</f>
        <v/>
      </c>
      <c r="B157" s="117" t="str">
        <f>IF($A157="","",INDEX(Assessment!$K:$K,$A157))</f>
        <v/>
      </c>
      <c r="C157" s="117" t="str">
        <f>IF($A157="","",INDEX(Assessment!$B:$B,$A157))</f>
        <v/>
      </c>
      <c r="D157" s="117" t="str">
        <f>IF($A157="","",INDEX(Assessment!$D:$D,$A157))</f>
        <v/>
      </c>
      <c r="E157" s="117" t="str">
        <f>IF($A157="","",INDEX(Assessment!$E:$E,$A157))</f>
        <v/>
      </c>
      <c r="F157" s="117" t="str">
        <f>IF($A157="","",INDEX(Assessment!$G:$G,$A157))</f>
        <v/>
      </c>
      <c r="G157" s="117" t="str">
        <f>IF($A157="","",INDEX(Assessment!$H:$H,$A157))</f>
        <v/>
      </c>
      <c r="H157" s="38" t="str">
        <f>IF($A157="","",INDEX(Assessment!$I:$I,$A157))</f>
        <v/>
      </c>
      <c r="I157" s="118"/>
      <c r="J157" s="118"/>
      <c r="K157" s="118"/>
    </row>
    <row r="158" spans="1:11" ht="48" customHeight="1" x14ac:dyDescent="0.25">
      <c r="A158" s="116" t="str">
        <f>IFERROR(MATCH(154,Assessment!$N:$N,0),"")</f>
        <v/>
      </c>
      <c r="B158" s="124" t="str">
        <f>IF($A158="","",INDEX(Assessment!$K:$K,$A158))</f>
        <v/>
      </c>
      <c r="C158" s="124" t="str">
        <f>IF($A158="","",INDEX(Assessment!$B:$B,$A158))</f>
        <v/>
      </c>
      <c r="D158" s="124" t="str">
        <f>IF($A158="","",INDEX(Assessment!$D:$D,$A158))</f>
        <v/>
      </c>
      <c r="E158" s="124" t="str">
        <f>IF($A158="","",INDEX(Assessment!$E:$E,$A158))</f>
        <v/>
      </c>
      <c r="F158" s="124" t="str">
        <f>IF($A158="","",INDEX(Assessment!$G:$G,$A158))</f>
        <v/>
      </c>
      <c r="G158" s="124" t="str">
        <f>IF($A158="","",INDEX(Assessment!$H:$H,$A158))</f>
        <v/>
      </c>
      <c r="H158" s="120" t="str">
        <f>IF($A158="","",INDEX(Assessment!$I:$I,$A158))</f>
        <v/>
      </c>
      <c r="I158" s="118"/>
      <c r="J158" s="118"/>
      <c r="K158" s="118"/>
    </row>
    <row r="159" spans="1:11" ht="48" customHeight="1" x14ac:dyDescent="0.25">
      <c r="A159" s="116" t="str">
        <f>IFERROR(MATCH(155,Assessment!$N:$N,0),"")</f>
        <v/>
      </c>
      <c r="B159" s="117" t="str">
        <f>IF($A159="","",INDEX(Assessment!$K:$K,$A159))</f>
        <v/>
      </c>
      <c r="C159" s="117" t="str">
        <f>IF($A159="","",INDEX(Assessment!$B:$B,$A159))</f>
        <v/>
      </c>
      <c r="D159" s="117" t="str">
        <f>IF($A159="","",INDEX(Assessment!$D:$D,$A159))</f>
        <v/>
      </c>
      <c r="E159" s="117" t="str">
        <f>IF($A159="","",INDEX(Assessment!$E:$E,$A159))</f>
        <v/>
      </c>
      <c r="F159" s="117" t="str">
        <f>IF($A159="","",INDEX(Assessment!$G:$G,$A159))</f>
        <v/>
      </c>
      <c r="G159" s="117" t="str">
        <f>IF($A159="","",INDEX(Assessment!$H:$H,$A159))</f>
        <v/>
      </c>
      <c r="H159" s="38" t="str">
        <f>IF($A159="","",INDEX(Assessment!$I:$I,$A159))</f>
        <v/>
      </c>
      <c r="I159" s="118"/>
      <c r="J159" s="118"/>
      <c r="K159" s="118"/>
    </row>
    <row r="160" spans="1:11" ht="48" customHeight="1" x14ac:dyDescent="0.25">
      <c r="A160" s="116" t="str">
        <f>IFERROR(MATCH(156,Assessment!$N:$N,0),"")</f>
        <v/>
      </c>
      <c r="B160" s="124" t="str">
        <f>IF($A160="","",INDEX(Assessment!$K:$K,$A160))</f>
        <v/>
      </c>
      <c r="C160" s="124" t="str">
        <f>IF($A160="","",INDEX(Assessment!$B:$B,$A160))</f>
        <v/>
      </c>
      <c r="D160" s="124" t="str">
        <f>IF($A160="","",INDEX(Assessment!$D:$D,$A160))</f>
        <v/>
      </c>
      <c r="E160" s="124" t="str">
        <f>IF($A160="","",INDEX(Assessment!$E:$E,$A160))</f>
        <v/>
      </c>
      <c r="F160" s="124" t="str">
        <f>IF($A160="","",INDEX(Assessment!$G:$G,$A160))</f>
        <v/>
      </c>
      <c r="G160" s="124" t="str">
        <f>IF($A160="","",INDEX(Assessment!$H:$H,$A160))</f>
        <v/>
      </c>
      <c r="H160" s="120" t="str">
        <f>IF($A160="","",INDEX(Assessment!$I:$I,$A160))</f>
        <v/>
      </c>
      <c r="I160" s="118"/>
      <c r="J160" s="118"/>
      <c r="K160" s="118"/>
    </row>
    <row r="161" spans="1:11" ht="48" customHeight="1" x14ac:dyDescent="0.25">
      <c r="A161" s="116" t="str">
        <f>IFERROR(MATCH(157,Assessment!$N:$N,0),"")</f>
        <v/>
      </c>
      <c r="B161" s="117" t="str">
        <f>IF($A161="","",INDEX(Assessment!$K:$K,$A161))</f>
        <v/>
      </c>
      <c r="C161" s="117" t="str">
        <f>IF($A161="","",INDEX(Assessment!$B:$B,$A161))</f>
        <v/>
      </c>
      <c r="D161" s="117" t="str">
        <f>IF($A161="","",INDEX(Assessment!$D:$D,$A161))</f>
        <v/>
      </c>
      <c r="E161" s="117" t="str">
        <f>IF($A161="","",INDEX(Assessment!$E:$E,$A161))</f>
        <v/>
      </c>
      <c r="F161" s="117" t="str">
        <f>IF($A161="","",INDEX(Assessment!$G:$G,$A161))</f>
        <v/>
      </c>
      <c r="G161" s="117" t="str">
        <f>IF($A161="","",INDEX(Assessment!$H:$H,$A161))</f>
        <v/>
      </c>
      <c r="H161" s="38" t="str">
        <f>IF($A161="","",INDEX(Assessment!$I:$I,$A161))</f>
        <v/>
      </c>
      <c r="I161" s="118"/>
      <c r="J161" s="118"/>
      <c r="K161" s="118"/>
    </row>
    <row r="162" spans="1:11" ht="48" customHeight="1" x14ac:dyDescent="0.25">
      <c r="A162" s="116" t="str">
        <f>IFERROR(MATCH(158,Assessment!$N:$N,0),"")</f>
        <v/>
      </c>
      <c r="B162" s="124" t="str">
        <f>IF($A162="","",INDEX(Assessment!$K:$K,$A162))</f>
        <v/>
      </c>
      <c r="C162" s="124" t="str">
        <f>IF($A162="","",INDEX(Assessment!$B:$B,$A162))</f>
        <v/>
      </c>
      <c r="D162" s="124" t="str">
        <f>IF($A162="","",INDEX(Assessment!$D:$D,$A162))</f>
        <v/>
      </c>
      <c r="E162" s="124" t="str">
        <f>IF($A162="","",INDEX(Assessment!$E:$E,$A162))</f>
        <v/>
      </c>
      <c r="F162" s="124" t="str">
        <f>IF($A162="","",INDEX(Assessment!$G:$G,$A162))</f>
        <v/>
      </c>
      <c r="G162" s="124" t="str">
        <f>IF($A162="","",INDEX(Assessment!$H:$H,$A162))</f>
        <v/>
      </c>
      <c r="H162" s="120" t="str">
        <f>IF($A162="","",INDEX(Assessment!$I:$I,$A162))</f>
        <v/>
      </c>
      <c r="I162" s="118"/>
      <c r="J162" s="118"/>
      <c r="K162" s="118"/>
    </row>
    <row r="163" spans="1:11" ht="48" customHeight="1" x14ac:dyDescent="0.25">
      <c r="A163" s="116" t="str">
        <f>IFERROR(MATCH(159,Assessment!$N:$N,0),"")</f>
        <v/>
      </c>
      <c r="B163" s="117" t="str">
        <f>IF($A163="","",INDEX(Assessment!$K:$K,$A163))</f>
        <v/>
      </c>
      <c r="C163" s="117" t="str">
        <f>IF($A163="","",INDEX(Assessment!$B:$B,$A163))</f>
        <v/>
      </c>
      <c r="D163" s="117" t="str">
        <f>IF($A163="","",INDEX(Assessment!$D:$D,$A163))</f>
        <v/>
      </c>
      <c r="E163" s="117" t="str">
        <f>IF($A163="","",INDEX(Assessment!$E:$E,$A163))</f>
        <v/>
      </c>
      <c r="F163" s="117" t="str">
        <f>IF($A163="","",INDEX(Assessment!$G:$G,$A163))</f>
        <v/>
      </c>
      <c r="G163" s="117" t="str">
        <f>IF($A163="","",INDEX(Assessment!$H:$H,$A163))</f>
        <v/>
      </c>
      <c r="H163" s="38" t="str">
        <f>IF($A163="","",INDEX(Assessment!$I:$I,$A163))</f>
        <v/>
      </c>
      <c r="I163" s="118"/>
      <c r="J163" s="118"/>
      <c r="K163" s="118"/>
    </row>
    <row r="164" spans="1:11" ht="48" customHeight="1" x14ac:dyDescent="0.25">
      <c r="A164" s="116" t="str">
        <f>IFERROR(MATCH(160,Assessment!$N:$N,0),"")</f>
        <v/>
      </c>
      <c r="B164" s="124" t="str">
        <f>IF($A164="","",INDEX(Assessment!$K:$K,$A164))</f>
        <v/>
      </c>
      <c r="C164" s="124" t="str">
        <f>IF($A164="","",INDEX(Assessment!$B:$B,$A164))</f>
        <v/>
      </c>
      <c r="D164" s="124" t="str">
        <f>IF($A164="","",INDEX(Assessment!$D:$D,$A164))</f>
        <v/>
      </c>
      <c r="E164" s="124" t="str">
        <f>IF($A164="","",INDEX(Assessment!$E:$E,$A164))</f>
        <v/>
      </c>
      <c r="F164" s="124" t="str">
        <f>IF($A164="","",INDEX(Assessment!$G:$G,$A164))</f>
        <v/>
      </c>
      <c r="G164" s="124" t="str">
        <f>IF($A164="","",INDEX(Assessment!$H:$H,$A164))</f>
        <v/>
      </c>
      <c r="H164" s="120" t="str">
        <f>IF($A164="","",INDEX(Assessment!$I:$I,$A164))</f>
        <v/>
      </c>
      <c r="I164" s="118"/>
      <c r="J164" s="118"/>
      <c r="K164" s="118"/>
    </row>
    <row r="165" spans="1:11" ht="48" customHeight="1" x14ac:dyDescent="0.25">
      <c r="A165" s="116" t="str">
        <f>IFERROR(MATCH(161,Assessment!$N:$N,0),"")</f>
        <v/>
      </c>
      <c r="B165" s="117" t="str">
        <f>IF($A165="","",INDEX(Assessment!$K:$K,$A165))</f>
        <v/>
      </c>
      <c r="C165" s="117" t="str">
        <f>IF($A165="","",INDEX(Assessment!$B:$B,$A165))</f>
        <v/>
      </c>
      <c r="D165" s="117" t="str">
        <f>IF($A165="","",INDEX(Assessment!$D:$D,$A165))</f>
        <v/>
      </c>
      <c r="E165" s="117" t="str">
        <f>IF($A165="","",INDEX(Assessment!$E:$E,$A165))</f>
        <v/>
      </c>
      <c r="F165" s="117" t="str">
        <f>IF($A165="","",INDEX(Assessment!$G:$G,$A165))</f>
        <v/>
      </c>
      <c r="G165" s="117" t="str">
        <f>IF($A165="","",INDEX(Assessment!$H:$H,$A165))</f>
        <v/>
      </c>
      <c r="H165" s="38" t="str">
        <f>IF($A165="","",INDEX(Assessment!$I:$I,$A165))</f>
        <v/>
      </c>
      <c r="I165" s="118"/>
      <c r="J165" s="118"/>
      <c r="K165" s="118"/>
    </row>
    <row r="166" spans="1:11" ht="48" customHeight="1" x14ac:dyDescent="0.25">
      <c r="A166" s="116" t="str">
        <f>IFERROR(MATCH(162,Assessment!$N:$N,0),"")</f>
        <v/>
      </c>
      <c r="B166" s="124" t="str">
        <f>IF($A166="","",INDEX(Assessment!$K:$K,$A166))</f>
        <v/>
      </c>
      <c r="C166" s="124" t="str">
        <f>IF($A166="","",INDEX(Assessment!$B:$B,$A166))</f>
        <v/>
      </c>
      <c r="D166" s="124" t="str">
        <f>IF($A166="","",INDEX(Assessment!$D:$D,$A166))</f>
        <v/>
      </c>
      <c r="E166" s="124" t="str">
        <f>IF($A166="","",INDEX(Assessment!$E:$E,$A166))</f>
        <v/>
      </c>
      <c r="F166" s="124" t="str">
        <f>IF($A166="","",INDEX(Assessment!$G:$G,$A166))</f>
        <v/>
      </c>
      <c r="G166" s="124" t="str">
        <f>IF($A166="","",INDEX(Assessment!$H:$H,$A166))</f>
        <v/>
      </c>
      <c r="H166" s="120" t="str">
        <f>IF($A166="","",INDEX(Assessment!$I:$I,$A166))</f>
        <v/>
      </c>
      <c r="I166" s="118"/>
      <c r="J166" s="118"/>
      <c r="K166" s="118"/>
    </row>
    <row r="167" spans="1:11" ht="48" customHeight="1" x14ac:dyDescent="0.25">
      <c r="A167" s="116" t="str">
        <f>IFERROR(MATCH(163,Assessment!$N:$N,0),"")</f>
        <v/>
      </c>
      <c r="B167" s="117" t="str">
        <f>IF($A167="","",INDEX(Assessment!$K:$K,$A167))</f>
        <v/>
      </c>
      <c r="C167" s="117" t="str">
        <f>IF($A167="","",INDEX(Assessment!$B:$B,$A167))</f>
        <v/>
      </c>
      <c r="D167" s="117" t="str">
        <f>IF($A167="","",INDEX(Assessment!$D:$D,$A167))</f>
        <v/>
      </c>
      <c r="E167" s="117" t="str">
        <f>IF($A167="","",INDEX(Assessment!$E:$E,$A167))</f>
        <v/>
      </c>
      <c r="F167" s="117" t="str">
        <f>IF($A167="","",INDEX(Assessment!$G:$G,$A167))</f>
        <v/>
      </c>
      <c r="G167" s="117" t="str">
        <f>IF($A167="","",INDEX(Assessment!$H:$H,$A167))</f>
        <v/>
      </c>
      <c r="H167" s="38" t="str">
        <f>IF($A167="","",INDEX(Assessment!$I:$I,$A167))</f>
        <v/>
      </c>
      <c r="I167" s="118"/>
      <c r="J167" s="118"/>
      <c r="K167" s="118"/>
    </row>
    <row r="168" spans="1:11" ht="48" customHeight="1" x14ac:dyDescent="0.25">
      <c r="A168" s="116" t="str">
        <f>IFERROR(MATCH(164,Assessment!$N:$N,0),"")</f>
        <v/>
      </c>
      <c r="B168" s="124" t="str">
        <f>IF($A168="","",INDEX(Assessment!$K:$K,$A168))</f>
        <v/>
      </c>
      <c r="C168" s="124" t="str">
        <f>IF($A168="","",INDEX(Assessment!$B:$B,$A168))</f>
        <v/>
      </c>
      <c r="D168" s="124" t="str">
        <f>IF($A168="","",INDEX(Assessment!$D:$D,$A168))</f>
        <v/>
      </c>
      <c r="E168" s="124" t="str">
        <f>IF($A168="","",INDEX(Assessment!$E:$E,$A168))</f>
        <v/>
      </c>
      <c r="F168" s="124" t="str">
        <f>IF($A168="","",INDEX(Assessment!$G:$G,$A168))</f>
        <v/>
      </c>
      <c r="G168" s="124" t="str">
        <f>IF($A168="","",INDEX(Assessment!$H:$H,$A168))</f>
        <v/>
      </c>
      <c r="H168" s="120" t="str">
        <f>IF($A168="","",INDEX(Assessment!$I:$I,$A168))</f>
        <v/>
      </c>
      <c r="I168" s="118"/>
      <c r="J168" s="118"/>
      <c r="K168" s="118"/>
    </row>
    <row r="169" spans="1:11" ht="48" customHeight="1" x14ac:dyDescent="0.25">
      <c r="A169" s="116" t="str">
        <f>IFERROR(MATCH(165,Assessment!$N:$N,0),"")</f>
        <v/>
      </c>
      <c r="B169" s="117" t="str">
        <f>IF($A169="","",INDEX(Assessment!$K:$K,$A169))</f>
        <v/>
      </c>
      <c r="C169" s="117" t="str">
        <f>IF($A169="","",INDEX(Assessment!$B:$B,$A169))</f>
        <v/>
      </c>
      <c r="D169" s="117" t="str">
        <f>IF($A169="","",INDEX(Assessment!$D:$D,$A169))</f>
        <v/>
      </c>
      <c r="E169" s="117" t="str">
        <f>IF($A169="","",INDEX(Assessment!$E:$E,$A169))</f>
        <v/>
      </c>
      <c r="F169" s="117" t="str">
        <f>IF($A169="","",INDEX(Assessment!$G:$G,$A169))</f>
        <v/>
      </c>
      <c r="G169" s="117" t="str">
        <f>IF($A169="","",INDEX(Assessment!$H:$H,$A169))</f>
        <v/>
      </c>
      <c r="H169" s="38" t="str">
        <f>IF($A169="","",INDEX(Assessment!$I:$I,$A169))</f>
        <v/>
      </c>
      <c r="I169" s="118"/>
      <c r="J169" s="118"/>
      <c r="K169" s="118"/>
    </row>
    <row r="170" spans="1:11" ht="48" customHeight="1" x14ac:dyDescent="0.25">
      <c r="A170" s="116" t="str">
        <f>IFERROR(MATCH(166,Assessment!$N:$N,0),"")</f>
        <v/>
      </c>
      <c r="B170" s="124" t="str">
        <f>IF($A170="","",INDEX(Assessment!$K:$K,$A170))</f>
        <v/>
      </c>
      <c r="C170" s="124" t="str">
        <f>IF($A170="","",INDEX(Assessment!$B:$B,$A170))</f>
        <v/>
      </c>
      <c r="D170" s="124" t="str">
        <f>IF($A170="","",INDEX(Assessment!$D:$D,$A170))</f>
        <v/>
      </c>
      <c r="E170" s="124" t="str">
        <f>IF($A170="","",INDEX(Assessment!$E:$E,$A170))</f>
        <v/>
      </c>
      <c r="F170" s="124" t="str">
        <f>IF($A170="","",INDEX(Assessment!$G:$G,$A170))</f>
        <v/>
      </c>
      <c r="G170" s="124" t="str">
        <f>IF($A170="","",INDEX(Assessment!$H:$H,$A170))</f>
        <v/>
      </c>
      <c r="H170" s="120" t="str">
        <f>IF($A170="","",INDEX(Assessment!$I:$I,$A170))</f>
        <v/>
      </c>
      <c r="I170" s="118"/>
      <c r="J170" s="118"/>
      <c r="K170" s="118"/>
    </row>
    <row r="171" spans="1:11" ht="48" customHeight="1" x14ac:dyDescent="0.25">
      <c r="A171" s="116" t="str">
        <f>IFERROR(MATCH(167,Assessment!$N:$N,0),"")</f>
        <v/>
      </c>
      <c r="B171" s="117" t="str">
        <f>IF($A171="","",INDEX(Assessment!$K:$K,$A171))</f>
        <v/>
      </c>
      <c r="C171" s="117" t="str">
        <f>IF($A171="","",INDEX(Assessment!$B:$B,$A171))</f>
        <v/>
      </c>
      <c r="D171" s="117" t="str">
        <f>IF($A171="","",INDEX(Assessment!$D:$D,$A171))</f>
        <v/>
      </c>
      <c r="E171" s="117" t="str">
        <f>IF($A171="","",INDEX(Assessment!$E:$E,$A171))</f>
        <v/>
      </c>
      <c r="F171" s="117" t="str">
        <f>IF($A171="","",INDEX(Assessment!$G:$G,$A171))</f>
        <v/>
      </c>
      <c r="G171" s="117" t="str">
        <f>IF($A171="","",INDEX(Assessment!$H:$H,$A171))</f>
        <v/>
      </c>
      <c r="H171" s="38" t="str">
        <f>IF($A171="","",INDEX(Assessment!$I:$I,$A171))</f>
        <v/>
      </c>
      <c r="I171" s="118"/>
      <c r="J171" s="118"/>
      <c r="K171" s="118"/>
    </row>
    <row r="172" spans="1:11" ht="48" customHeight="1" x14ac:dyDescent="0.25">
      <c r="A172" s="116" t="str">
        <f>IFERROR(MATCH(168,Assessment!$N:$N,0),"")</f>
        <v/>
      </c>
      <c r="B172" s="124" t="str">
        <f>IF($A172="","",INDEX(Assessment!$K:$K,$A172))</f>
        <v/>
      </c>
      <c r="C172" s="124" t="str">
        <f>IF($A172="","",INDEX(Assessment!$B:$B,$A172))</f>
        <v/>
      </c>
      <c r="D172" s="124" t="str">
        <f>IF($A172="","",INDEX(Assessment!$D:$D,$A172))</f>
        <v/>
      </c>
      <c r="E172" s="124" t="str">
        <f>IF($A172="","",INDEX(Assessment!$E:$E,$A172))</f>
        <v/>
      </c>
      <c r="F172" s="124" t="str">
        <f>IF($A172="","",INDEX(Assessment!$G:$G,$A172))</f>
        <v/>
      </c>
      <c r="G172" s="124" t="str">
        <f>IF($A172="","",INDEX(Assessment!$H:$H,$A172))</f>
        <v/>
      </c>
      <c r="H172" s="120" t="str">
        <f>IF($A172="","",INDEX(Assessment!$I:$I,$A172))</f>
        <v/>
      </c>
      <c r="I172" s="118"/>
      <c r="J172" s="118"/>
      <c r="K172" s="118"/>
    </row>
    <row r="173" spans="1:11" ht="48" customHeight="1" x14ac:dyDescent="0.25">
      <c r="A173" s="116" t="str">
        <f>IFERROR(MATCH(169,Assessment!$N:$N,0),"")</f>
        <v/>
      </c>
      <c r="B173" s="117" t="str">
        <f>IF($A173="","",INDEX(Assessment!$K:$K,$A173))</f>
        <v/>
      </c>
      <c r="C173" s="117" t="str">
        <f>IF($A173="","",INDEX(Assessment!$B:$B,$A173))</f>
        <v/>
      </c>
      <c r="D173" s="117" t="str">
        <f>IF($A173="","",INDEX(Assessment!$D:$D,$A173))</f>
        <v/>
      </c>
      <c r="E173" s="117" t="str">
        <f>IF($A173="","",INDEX(Assessment!$E:$E,$A173))</f>
        <v/>
      </c>
      <c r="F173" s="117" t="str">
        <f>IF($A173="","",INDEX(Assessment!$G:$G,$A173))</f>
        <v/>
      </c>
      <c r="G173" s="117" t="str">
        <f>IF($A173="","",INDEX(Assessment!$H:$H,$A173))</f>
        <v/>
      </c>
      <c r="H173" s="38" t="str">
        <f>IF($A173="","",INDEX(Assessment!$I:$I,$A173))</f>
        <v/>
      </c>
      <c r="I173" s="118"/>
      <c r="J173" s="118"/>
      <c r="K173" s="118"/>
    </row>
    <row r="174" spans="1:11" ht="48" customHeight="1" x14ac:dyDescent="0.25">
      <c r="A174" s="116" t="str">
        <f>IFERROR(MATCH(170,Assessment!$N:$N,0),"")</f>
        <v/>
      </c>
      <c r="B174" s="124" t="str">
        <f>IF($A174="","",INDEX(Assessment!$K:$K,$A174))</f>
        <v/>
      </c>
      <c r="C174" s="124" t="str">
        <f>IF($A174="","",INDEX(Assessment!$B:$B,$A174))</f>
        <v/>
      </c>
      <c r="D174" s="124" t="str">
        <f>IF($A174="","",INDEX(Assessment!$D:$D,$A174))</f>
        <v/>
      </c>
      <c r="E174" s="124" t="str">
        <f>IF($A174="","",INDEX(Assessment!$E:$E,$A174))</f>
        <v/>
      </c>
      <c r="F174" s="124" t="str">
        <f>IF($A174="","",INDEX(Assessment!$G:$G,$A174))</f>
        <v/>
      </c>
      <c r="G174" s="124" t="str">
        <f>IF($A174="","",INDEX(Assessment!$H:$H,$A174))</f>
        <v/>
      </c>
      <c r="H174" s="120" t="str">
        <f>IF($A174="","",INDEX(Assessment!$I:$I,$A174))</f>
        <v/>
      </c>
      <c r="I174" s="118"/>
      <c r="J174" s="118"/>
      <c r="K174" s="118"/>
    </row>
    <row r="175" spans="1:11" ht="48" customHeight="1" x14ac:dyDescent="0.25">
      <c r="A175" s="116" t="str">
        <f>IFERROR(MATCH(171,Assessment!$N:$N,0),"")</f>
        <v/>
      </c>
      <c r="B175" s="117" t="str">
        <f>IF($A175="","",INDEX(Assessment!$K:$K,$A175))</f>
        <v/>
      </c>
      <c r="C175" s="117" t="str">
        <f>IF($A175="","",INDEX(Assessment!$B:$B,$A175))</f>
        <v/>
      </c>
      <c r="D175" s="117" t="str">
        <f>IF($A175="","",INDEX(Assessment!$D:$D,$A175))</f>
        <v/>
      </c>
      <c r="E175" s="117" t="str">
        <f>IF($A175="","",INDEX(Assessment!$E:$E,$A175))</f>
        <v/>
      </c>
      <c r="F175" s="117" t="str">
        <f>IF($A175="","",INDEX(Assessment!$G:$G,$A175))</f>
        <v/>
      </c>
      <c r="G175" s="117" t="str">
        <f>IF($A175="","",INDEX(Assessment!$H:$H,$A175))</f>
        <v/>
      </c>
      <c r="H175" s="38" t="str">
        <f>IF($A175="","",INDEX(Assessment!$I:$I,$A175))</f>
        <v/>
      </c>
      <c r="I175" s="118"/>
      <c r="J175" s="118"/>
      <c r="K175" s="118"/>
    </row>
    <row r="176" spans="1:11" ht="48" customHeight="1" x14ac:dyDescent="0.25">
      <c r="A176" s="116" t="str">
        <f>IFERROR(MATCH(172,Assessment!$N:$N,0),"")</f>
        <v/>
      </c>
      <c r="B176" s="124" t="str">
        <f>IF($A176="","",INDEX(Assessment!$K:$K,$A176))</f>
        <v/>
      </c>
      <c r="C176" s="124" t="str">
        <f>IF($A176="","",INDEX(Assessment!$B:$B,$A176))</f>
        <v/>
      </c>
      <c r="D176" s="124" t="str">
        <f>IF($A176="","",INDEX(Assessment!$D:$D,$A176))</f>
        <v/>
      </c>
      <c r="E176" s="124" t="str">
        <f>IF($A176="","",INDEX(Assessment!$E:$E,$A176))</f>
        <v/>
      </c>
      <c r="F176" s="124" t="str">
        <f>IF($A176="","",INDEX(Assessment!$G:$G,$A176))</f>
        <v/>
      </c>
      <c r="G176" s="124" t="str">
        <f>IF($A176="","",INDEX(Assessment!$H:$H,$A176))</f>
        <v/>
      </c>
      <c r="H176" s="120" t="str">
        <f>IF($A176="","",INDEX(Assessment!$I:$I,$A176))</f>
        <v/>
      </c>
      <c r="I176" s="118"/>
      <c r="J176" s="118"/>
      <c r="K176" s="118"/>
    </row>
    <row r="177" spans="1:11" ht="48" customHeight="1" x14ac:dyDescent="0.25">
      <c r="A177" s="116" t="str">
        <f>IFERROR(MATCH(173,Assessment!$N:$N,0),"")</f>
        <v/>
      </c>
      <c r="B177" s="117" t="str">
        <f>IF($A177="","",INDEX(Assessment!$K:$K,$A177))</f>
        <v/>
      </c>
      <c r="C177" s="117" t="str">
        <f>IF($A177="","",INDEX(Assessment!$B:$B,$A177))</f>
        <v/>
      </c>
      <c r="D177" s="117" t="str">
        <f>IF($A177="","",INDEX(Assessment!$D:$D,$A177))</f>
        <v/>
      </c>
      <c r="E177" s="117" t="str">
        <f>IF($A177="","",INDEX(Assessment!$E:$E,$A177))</f>
        <v/>
      </c>
      <c r="F177" s="117" t="str">
        <f>IF($A177="","",INDEX(Assessment!$G:$G,$A177))</f>
        <v/>
      </c>
      <c r="G177" s="117" t="str">
        <f>IF($A177="","",INDEX(Assessment!$H:$H,$A177))</f>
        <v/>
      </c>
      <c r="H177" s="38" t="str">
        <f>IF($A177="","",INDEX(Assessment!$I:$I,$A177))</f>
        <v/>
      </c>
      <c r="I177" s="118"/>
      <c r="J177" s="118"/>
      <c r="K177" s="118"/>
    </row>
    <row r="178" spans="1:11" ht="48" customHeight="1" x14ac:dyDescent="0.25">
      <c r="A178" s="116" t="str">
        <f>IFERROR(MATCH(174,Assessment!$N:$N,0),"")</f>
        <v/>
      </c>
      <c r="B178" s="124" t="str">
        <f>IF($A178="","",INDEX(Assessment!$K:$K,$A178))</f>
        <v/>
      </c>
      <c r="C178" s="124" t="str">
        <f>IF($A178="","",INDEX(Assessment!$B:$B,$A178))</f>
        <v/>
      </c>
      <c r="D178" s="124" t="str">
        <f>IF($A178="","",INDEX(Assessment!$D:$D,$A178))</f>
        <v/>
      </c>
      <c r="E178" s="124" t="str">
        <f>IF($A178="","",INDEX(Assessment!$E:$E,$A178))</f>
        <v/>
      </c>
      <c r="F178" s="124" t="str">
        <f>IF($A178="","",INDEX(Assessment!$G:$G,$A178))</f>
        <v/>
      </c>
      <c r="G178" s="124" t="str">
        <f>IF($A178="","",INDEX(Assessment!$H:$H,$A178))</f>
        <v/>
      </c>
      <c r="H178" s="120" t="str">
        <f>IF($A178="","",INDEX(Assessment!$I:$I,$A178))</f>
        <v/>
      </c>
      <c r="I178" s="118"/>
      <c r="J178" s="118"/>
      <c r="K178" s="118"/>
    </row>
    <row r="179" spans="1:11" ht="48" customHeight="1" x14ac:dyDescent="0.25">
      <c r="A179" s="116" t="str">
        <f>IFERROR(MATCH(175,Assessment!$N:$N,0),"")</f>
        <v/>
      </c>
      <c r="B179" s="117" t="str">
        <f>IF($A179="","",INDEX(Assessment!$K:$K,$A179))</f>
        <v/>
      </c>
      <c r="C179" s="117" t="str">
        <f>IF($A179="","",INDEX(Assessment!$B:$B,$A179))</f>
        <v/>
      </c>
      <c r="D179" s="117" t="str">
        <f>IF($A179="","",INDEX(Assessment!$D:$D,$A179))</f>
        <v/>
      </c>
      <c r="E179" s="117" t="str">
        <f>IF($A179="","",INDEX(Assessment!$E:$E,$A179))</f>
        <v/>
      </c>
      <c r="F179" s="117" t="str">
        <f>IF($A179="","",INDEX(Assessment!$G:$G,$A179))</f>
        <v/>
      </c>
      <c r="G179" s="117" t="str">
        <f>IF($A179="","",INDEX(Assessment!$H:$H,$A179))</f>
        <v/>
      </c>
      <c r="H179" s="38" t="str">
        <f>IF($A179="","",INDEX(Assessment!$I:$I,$A179))</f>
        <v/>
      </c>
      <c r="I179" s="118"/>
      <c r="J179" s="118"/>
      <c r="K179" s="118"/>
    </row>
    <row r="180" spans="1:11" ht="48" customHeight="1" x14ac:dyDescent="0.25">
      <c r="A180" s="116" t="str">
        <f>IFERROR(MATCH(176,Assessment!$N:$N,0),"")</f>
        <v/>
      </c>
      <c r="B180" s="124" t="str">
        <f>IF($A180="","",INDEX(Assessment!$K:$K,$A180))</f>
        <v/>
      </c>
      <c r="C180" s="124" t="str">
        <f>IF($A180="","",INDEX(Assessment!$B:$B,$A180))</f>
        <v/>
      </c>
      <c r="D180" s="124" t="str">
        <f>IF($A180="","",INDEX(Assessment!$D:$D,$A180))</f>
        <v/>
      </c>
      <c r="E180" s="124" t="str">
        <f>IF($A180="","",INDEX(Assessment!$E:$E,$A180))</f>
        <v/>
      </c>
      <c r="F180" s="124" t="str">
        <f>IF($A180="","",INDEX(Assessment!$G:$G,$A180))</f>
        <v/>
      </c>
      <c r="G180" s="124" t="str">
        <f>IF($A180="","",INDEX(Assessment!$H:$H,$A180))</f>
        <v/>
      </c>
      <c r="H180" s="120" t="str">
        <f>IF($A180="","",INDEX(Assessment!$I:$I,$A180))</f>
        <v/>
      </c>
      <c r="I180" s="118"/>
      <c r="J180" s="118"/>
      <c r="K180" s="118"/>
    </row>
    <row r="181" spans="1:11" ht="48" customHeight="1" x14ac:dyDescent="0.25">
      <c r="A181" s="116" t="str">
        <f>IFERROR(MATCH(177,Assessment!$N:$N,0),"")</f>
        <v/>
      </c>
      <c r="B181" s="117" t="str">
        <f>IF($A181="","",INDEX(Assessment!$K:$K,$A181))</f>
        <v/>
      </c>
      <c r="C181" s="117" t="str">
        <f>IF($A181="","",INDEX(Assessment!$B:$B,$A181))</f>
        <v/>
      </c>
      <c r="D181" s="117" t="str">
        <f>IF($A181="","",INDEX(Assessment!$D:$D,$A181))</f>
        <v/>
      </c>
      <c r="E181" s="117" t="str">
        <f>IF($A181="","",INDEX(Assessment!$E:$E,$A181))</f>
        <v/>
      </c>
      <c r="F181" s="117" t="str">
        <f>IF($A181="","",INDEX(Assessment!$G:$G,$A181))</f>
        <v/>
      </c>
      <c r="G181" s="117" t="str">
        <f>IF($A181="","",INDEX(Assessment!$H:$H,$A181))</f>
        <v/>
      </c>
      <c r="H181" s="38" t="str">
        <f>IF($A181="","",INDEX(Assessment!$I:$I,$A181))</f>
        <v/>
      </c>
      <c r="I181" s="118"/>
      <c r="J181" s="118"/>
      <c r="K181" s="118"/>
    </row>
    <row r="182" spans="1:11" ht="48" customHeight="1" x14ac:dyDescent="0.25">
      <c r="A182" s="116" t="str">
        <f>IFERROR(MATCH(178,Assessment!$N:$N,0),"")</f>
        <v/>
      </c>
      <c r="B182" s="124" t="str">
        <f>IF($A182="","",INDEX(Assessment!$K:$K,$A182))</f>
        <v/>
      </c>
      <c r="C182" s="124" t="str">
        <f>IF($A182="","",INDEX(Assessment!$B:$B,$A182))</f>
        <v/>
      </c>
      <c r="D182" s="124" t="str">
        <f>IF($A182="","",INDEX(Assessment!$D:$D,$A182))</f>
        <v/>
      </c>
      <c r="E182" s="124" t="str">
        <f>IF($A182="","",INDEX(Assessment!$E:$E,$A182))</f>
        <v/>
      </c>
      <c r="F182" s="124" t="str">
        <f>IF($A182="","",INDEX(Assessment!$G:$G,$A182))</f>
        <v/>
      </c>
      <c r="G182" s="124" t="str">
        <f>IF($A182="","",INDEX(Assessment!$H:$H,$A182))</f>
        <v/>
      </c>
      <c r="H182" s="120" t="str">
        <f>IF($A182="","",INDEX(Assessment!$I:$I,$A182))</f>
        <v/>
      </c>
      <c r="I182" s="118"/>
      <c r="J182" s="118"/>
      <c r="K182" s="118"/>
    </row>
    <row r="183" spans="1:11" ht="48" customHeight="1" x14ac:dyDescent="0.25">
      <c r="A183" s="116" t="str">
        <f>IFERROR(MATCH(179,Assessment!$N:$N,0),"")</f>
        <v/>
      </c>
      <c r="B183" s="117" t="str">
        <f>IF($A183="","",INDEX(Assessment!$K:$K,$A183))</f>
        <v/>
      </c>
      <c r="C183" s="117" t="str">
        <f>IF($A183="","",INDEX(Assessment!$B:$B,$A183))</f>
        <v/>
      </c>
      <c r="D183" s="117" t="str">
        <f>IF($A183="","",INDEX(Assessment!$D:$D,$A183))</f>
        <v/>
      </c>
      <c r="E183" s="117" t="str">
        <f>IF($A183="","",INDEX(Assessment!$E:$E,$A183))</f>
        <v/>
      </c>
      <c r="F183" s="117" t="str">
        <f>IF($A183="","",INDEX(Assessment!$G:$G,$A183))</f>
        <v/>
      </c>
      <c r="G183" s="117" t="str">
        <f>IF($A183="","",INDEX(Assessment!$H:$H,$A183))</f>
        <v/>
      </c>
      <c r="H183" s="38" t="str">
        <f>IF($A183="","",INDEX(Assessment!$I:$I,$A183))</f>
        <v/>
      </c>
      <c r="I183" s="118"/>
      <c r="J183" s="118"/>
      <c r="K183" s="118"/>
    </row>
    <row r="184" spans="1:11" ht="48" customHeight="1" x14ac:dyDescent="0.25">
      <c r="A184" s="116" t="str">
        <f>IFERROR(MATCH(180,Assessment!$N:$N,0),"")</f>
        <v/>
      </c>
      <c r="B184" s="124" t="str">
        <f>IF($A184="","",INDEX(Assessment!$K:$K,$A184))</f>
        <v/>
      </c>
      <c r="C184" s="124" t="str">
        <f>IF($A184="","",INDEX(Assessment!$B:$B,$A184))</f>
        <v/>
      </c>
      <c r="D184" s="124" t="str">
        <f>IF($A184="","",INDEX(Assessment!$D:$D,$A184))</f>
        <v/>
      </c>
      <c r="E184" s="124" t="str">
        <f>IF($A184="","",INDEX(Assessment!$E:$E,$A184))</f>
        <v/>
      </c>
      <c r="F184" s="124" t="str">
        <f>IF($A184="","",INDEX(Assessment!$G:$G,$A184))</f>
        <v/>
      </c>
      <c r="G184" s="124" t="str">
        <f>IF($A184="","",INDEX(Assessment!$H:$H,$A184))</f>
        <v/>
      </c>
      <c r="H184" s="120" t="str">
        <f>IF($A184="","",INDEX(Assessment!$I:$I,$A184))</f>
        <v/>
      </c>
      <c r="I184" s="118"/>
      <c r="J184" s="118"/>
      <c r="K184" s="118"/>
    </row>
    <row r="185" spans="1:11" ht="48" customHeight="1" x14ac:dyDescent="0.25">
      <c r="A185" s="116" t="str">
        <f>IFERROR(MATCH(181,Assessment!$N:$N,0),"")</f>
        <v/>
      </c>
      <c r="B185" s="117" t="str">
        <f>IF($A185="","",INDEX(Assessment!$K:$K,$A185))</f>
        <v/>
      </c>
      <c r="C185" s="117" t="str">
        <f>IF($A185="","",INDEX(Assessment!$B:$B,$A185))</f>
        <v/>
      </c>
      <c r="D185" s="117" t="str">
        <f>IF($A185="","",INDEX(Assessment!$D:$D,$A185))</f>
        <v/>
      </c>
      <c r="E185" s="117" t="str">
        <f>IF($A185="","",INDEX(Assessment!$E:$E,$A185))</f>
        <v/>
      </c>
      <c r="F185" s="117" t="str">
        <f>IF($A185="","",INDEX(Assessment!$G:$G,$A185))</f>
        <v/>
      </c>
      <c r="G185" s="117" t="str">
        <f>IF($A185="","",INDEX(Assessment!$H:$H,$A185))</f>
        <v/>
      </c>
      <c r="H185" s="38" t="str">
        <f>IF($A185="","",INDEX(Assessment!$I:$I,$A185))</f>
        <v/>
      </c>
      <c r="I185" s="118"/>
      <c r="J185" s="118"/>
      <c r="K185" s="118"/>
    </row>
    <row r="186" spans="1:11" ht="48" customHeight="1" x14ac:dyDescent="0.25">
      <c r="A186" s="116" t="str">
        <f>IFERROR(MATCH(182,Assessment!$N:$N,0),"")</f>
        <v/>
      </c>
      <c r="B186" s="124" t="str">
        <f>IF($A186="","",INDEX(Assessment!$K:$K,$A186))</f>
        <v/>
      </c>
      <c r="C186" s="124" t="str">
        <f>IF($A186="","",INDEX(Assessment!$B:$B,$A186))</f>
        <v/>
      </c>
      <c r="D186" s="124" t="str">
        <f>IF($A186="","",INDEX(Assessment!$D:$D,$A186))</f>
        <v/>
      </c>
      <c r="E186" s="124" t="str">
        <f>IF($A186="","",INDEX(Assessment!$E:$E,$A186))</f>
        <v/>
      </c>
      <c r="F186" s="124" t="str">
        <f>IF($A186="","",INDEX(Assessment!$G:$G,$A186))</f>
        <v/>
      </c>
      <c r="G186" s="124" t="str">
        <f>IF($A186="","",INDEX(Assessment!$H:$H,$A186))</f>
        <v/>
      </c>
      <c r="H186" s="120" t="str">
        <f>IF($A186="","",INDEX(Assessment!$I:$I,$A186))</f>
        <v/>
      </c>
      <c r="I186" s="118"/>
      <c r="J186" s="118"/>
      <c r="K186" s="118"/>
    </row>
    <row r="187" spans="1:11" ht="48" customHeight="1" x14ac:dyDescent="0.25">
      <c r="A187" s="116" t="str">
        <f>IFERROR(MATCH(183,Assessment!$N:$N,0),"")</f>
        <v/>
      </c>
      <c r="B187" s="117" t="str">
        <f>IF($A187="","",INDEX(Assessment!$K:$K,$A187))</f>
        <v/>
      </c>
      <c r="C187" s="117" t="str">
        <f>IF($A187="","",INDEX(Assessment!$B:$B,$A187))</f>
        <v/>
      </c>
      <c r="D187" s="117" t="str">
        <f>IF($A187="","",INDEX(Assessment!$D:$D,$A187))</f>
        <v/>
      </c>
      <c r="E187" s="117" t="str">
        <f>IF($A187="","",INDEX(Assessment!$E:$E,$A187))</f>
        <v/>
      </c>
      <c r="F187" s="117" t="str">
        <f>IF($A187="","",INDEX(Assessment!$G:$G,$A187))</f>
        <v/>
      </c>
      <c r="G187" s="117" t="str">
        <f>IF($A187="","",INDEX(Assessment!$H:$H,$A187))</f>
        <v/>
      </c>
      <c r="H187" s="38" t="str">
        <f>IF($A187="","",INDEX(Assessment!$I:$I,$A187))</f>
        <v/>
      </c>
      <c r="I187" s="118"/>
      <c r="J187" s="118"/>
      <c r="K187" s="118"/>
    </row>
    <row r="188" spans="1:11" ht="48" customHeight="1" x14ac:dyDescent="0.25">
      <c r="A188" s="116" t="str">
        <f>IFERROR(MATCH(184,Assessment!$N:$N,0),"")</f>
        <v/>
      </c>
      <c r="B188" s="124" t="str">
        <f>IF($A188="","",INDEX(Assessment!$K:$K,$A188))</f>
        <v/>
      </c>
      <c r="C188" s="124" t="str">
        <f>IF($A188="","",INDEX(Assessment!$B:$B,$A188))</f>
        <v/>
      </c>
      <c r="D188" s="124" t="str">
        <f>IF($A188="","",INDEX(Assessment!$D:$D,$A188))</f>
        <v/>
      </c>
      <c r="E188" s="124" t="str">
        <f>IF($A188="","",INDEX(Assessment!$E:$E,$A188))</f>
        <v/>
      </c>
      <c r="F188" s="124" t="str">
        <f>IF($A188="","",INDEX(Assessment!$G:$G,$A188))</f>
        <v/>
      </c>
      <c r="G188" s="124" t="str">
        <f>IF($A188="","",INDEX(Assessment!$H:$H,$A188))</f>
        <v/>
      </c>
      <c r="H188" s="120" t="str">
        <f>IF($A188="","",INDEX(Assessment!$I:$I,$A188))</f>
        <v/>
      </c>
      <c r="I188" s="118"/>
      <c r="J188" s="118"/>
      <c r="K188" s="118"/>
    </row>
    <row r="189" spans="1:11" ht="48" customHeight="1" x14ac:dyDescent="0.25">
      <c r="A189" s="116" t="str">
        <f>IFERROR(MATCH(185,Assessment!$N:$N,0),"")</f>
        <v/>
      </c>
      <c r="B189" s="117" t="str">
        <f>IF($A189="","",INDEX(Assessment!$K:$K,$A189))</f>
        <v/>
      </c>
      <c r="C189" s="117" t="str">
        <f>IF($A189="","",INDEX(Assessment!$B:$B,$A189))</f>
        <v/>
      </c>
      <c r="D189" s="117" t="str">
        <f>IF($A189="","",INDEX(Assessment!$D:$D,$A189))</f>
        <v/>
      </c>
      <c r="E189" s="117" t="str">
        <f>IF($A189="","",INDEX(Assessment!$E:$E,$A189))</f>
        <v/>
      </c>
      <c r="F189" s="117" t="str">
        <f>IF($A189="","",INDEX(Assessment!$G:$G,$A189))</f>
        <v/>
      </c>
      <c r="G189" s="117" t="str">
        <f>IF($A189="","",INDEX(Assessment!$H:$H,$A189))</f>
        <v/>
      </c>
      <c r="H189" s="38" t="str">
        <f>IF($A189="","",INDEX(Assessment!$I:$I,$A189))</f>
        <v/>
      </c>
      <c r="I189" s="118"/>
      <c r="J189" s="118"/>
      <c r="K189" s="118"/>
    </row>
    <row r="190" spans="1:11" ht="48" customHeight="1" x14ac:dyDescent="0.25">
      <c r="A190" s="116" t="str">
        <f>IFERROR(MATCH(186,Assessment!$N:$N,0),"")</f>
        <v/>
      </c>
      <c r="B190" s="124" t="str">
        <f>IF($A190="","",INDEX(Assessment!$K:$K,$A190))</f>
        <v/>
      </c>
      <c r="C190" s="124" t="str">
        <f>IF($A190="","",INDEX(Assessment!$B:$B,$A190))</f>
        <v/>
      </c>
      <c r="D190" s="124" t="str">
        <f>IF($A190="","",INDEX(Assessment!$D:$D,$A190))</f>
        <v/>
      </c>
      <c r="E190" s="124" t="str">
        <f>IF($A190="","",INDEX(Assessment!$E:$E,$A190))</f>
        <v/>
      </c>
      <c r="F190" s="124" t="str">
        <f>IF($A190="","",INDEX(Assessment!$G:$G,$A190))</f>
        <v/>
      </c>
      <c r="G190" s="124" t="str">
        <f>IF($A190="","",INDEX(Assessment!$H:$H,$A190))</f>
        <v/>
      </c>
      <c r="H190" s="120" t="str">
        <f>IF($A190="","",INDEX(Assessment!$I:$I,$A190))</f>
        <v/>
      </c>
      <c r="I190" s="118"/>
      <c r="J190" s="118"/>
      <c r="K190" s="118"/>
    </row>
    <row r="191" spans="1:11" ht="48" customHeight="1" x14ac:dyDescent="0.25">
      <c r="A191" s="116" t="str">
        <f>IFERROR(MATCH(187,Assessment!$N:$N,0),"")</f>
        <v/>
      </c>
      <c r="B191" s="117" t="str">
        <f>IF($A191="","",INDEX(Assessment!$K:$K,$A191))</f>
        <v/>
      </c>
      <c r="C191" s="117" t="str">
        <f>IF($A191="","",INDEX(Assessment!$B:$B,$A191))</f>
        <v/>
      </c>
      <c r="D191" s="117" t="str">
        <f>IF($A191="","",INDEX(Assessment!$D:$D,$A191))</f>
        <v/>
      </c>
      <c r="E191" s="117" t="str">
        <f>IF($A191="","",INDEX(Assessment!$E:$E,$A191))</f>
        <v/>
      </c>
      <c r="F191" s="117" t="str">
        <f>IF($A191="","",INDEX(Assessment!$G:$G,$A191))</f>
        <v/>
      </c>
      <c r="G191" s="117" t="str">
        <f>IF($A191="","",INDEX(Assessment!$H:$H,$A191))</f>
        <v/>
      </c>
      <c r="H191" s="38" t="str">
        <f>IF($A191="","",INDEX(Assessment!$I:$I,$A191))</f>
        <v/>
      </c>
      <c r="I191" s="118"/>
      <c r="J191" s="118"/>
      <c r="K191" s="118"/>
    </row>
    <row r="192" spans="1:11" ht="48" customHeight="1" x14ac:dyDescent="0.25">
      <c r="A192" s="116" t="str">
        <f>IFERROR(MATCH(188,Assessment!$N:$N,0),"")</f>
        <v/>
      </c>
      <c r="B192" s="124" t="str">
        <f>IF($A192="","",INDEX(Assessment!$K:$K,$A192))</f>
        <v/>
      </c>
      <c r="C192" s="124" t="str">
        <f>IF($A192="","",INDEX(Assessment!$B:$B,$A192))</f>
        <v/>
      </c>
      <c r="D192" s="124" t="str">
        <f>IF($A192="","",INDEX(Assessment!$D:$D,$A192))</f>
        <v/>
      </c>
      <c r="E192" s="124" t="str">
        <f>IF($A192="","",INDEX(Assessment!$E:$E,$A192))</f>
        <v/>
      </c>
      <c r="F192" s="124" t="str">
        <f>IF($A192="","",INDEX(Assessment!$G:$G,$A192))</f>
        <v/>
      </c>
      <c r="G192" s="124" t="str">
        <f>IF($A192="","",INDEX(Assessment!$H:$H,$A192))</f>
        <v/>
      </c>
      <c r="H192" s="120" t="str">
        <f>IF($A192="","",INDEX(Assessment!$I:$I,$A192))</f>
        <v/>
      </c>
      <c r="I192" s="118"/>
      <c r="J192" s="118"/>
      <c r="K192" s="118"/>
    </row>
    <row r="193" spans="1:11" ht="48" customHeight="1" x14ac:dyDescent="0.25">
      <c r="A193" s="116" t="str">
        <f>IFERROR(MATCH(189,Assessment!$N:$N,0),"")</f>
        <v/>
      </c>
      <c r="B193" s="117" t="str">
        <f>IF($A193="","",INDEX(Assessment!$K:$K,$A193))</f>
        <v/>
      </c>
      <c r="C193" s="117" t="str">
        <f>IF($A193="","",INDEX(Assessment!$B:$B,$A193))</f>
        <v/>
      </c>
      <c r="D193" s="117" t="str">
        <f>IF($A193="","",INDEX(Assessment!$D:$D,$A193))</f>
        <v/>
      </c>
      <c r="E193" s="117" t="str">
        <f>IF($A193="","",INDEX(Assessment!$E:$E,$A193))</f>
        <v/>
      </c>
      <c r="F193" s="117" t="str">
        <f>IF($A193="","",INDEX(Assessment!$G:$G,$A193))</f>
        <v/>
      </c>
      <c r="G193" s="117" t="str">
        <f>IF($A193="","",INDEX(Assessment!$H:$H,$A193))</f>
        <v/>
      </c>
      <c r="H193" s="38" t="str">
        <f>IF($A193="","",INDEX(Assessment!$I:$I,$A193))</f>
        <v/>
      </c>
      <c r="I193" s="118"/>
      <c r="J193" s="118"/>
      <c r="K193" s="118"/>
    </row>
    <row r="194" spans="1:11" ht="48" customHeight="1" x14ac:dyDescent="0.25">
      <c r="A194" s="116" t="str">
        <f>IFERROR(MATCH(190,Assessment!$N:$N,0),"")</f>
        <v/>
      </c>
      <c r="B194" s="124" t="str">
        <f>IF($A194="","",INDEX(Assessment!$K:$K,$A194))</f>
        <v/>
      </c>
      <c r="C194" s="124" t="str">
        <f>IF($A194="","",INDEX(Assessment!$B:$B,$A194))</f>
        <v/>
      </c>
      <c r="D194" s="124" t="str">
        <f>IF($A194="","",INDEX(Assessment!$D:$D,$A194))</f>
        <v/>
      </c>
      <c r="E194" s="124" t="str">
        <f>IF($A194="","",INDEX(Assessment!$E:$E,$A194))</f>
        <v/>
      </c>
      <c r="F194" s="124" t="str">
        <f>IF($A194="","",INDEX(Assessment!$G:$G,$A194))</f>
        <v/>
      </c>
      <c r="G194" s="124" t="str">
        <f>IF($A194="","",INDEX(Assessment!$H:$H,$A194))</f>
        <v/>
      </c>
      <c r="H194" s="120" t="str">
        <f>IF($A194="","",INDEX(Assessment!$I:$I,$A194))</f>
        <v/>
      </c>
      <c r="I194" s="118"/>
      <c r="J194" s="118"/>
      <c r="K194" s="118"/>
    </row>
    <row r="195" spans="1:11" ht="48" customHeight="1" x14ac:dyDescent="0.25">
      <c r="A195" s="116" t="str">
        <f>IFERROR(MATCH(191,Assessment!$N:$N,0),"")</f>
        <v/>
      </c>
      <c r="B195" s="117" t="str">
        <f>IF($A195="","",INDEX(Assessment!$K:$K,$A195))</f>
        <v/>
      </c>
      <c r="C195" s="117" t="str">
        <f>IF($A195="","",INDEX(Assessment!$B:$B,$A195))</f>
        <v/>
      </c>
      <c r="D195" s="117" t="str">
        <f>IF($A195="","",INDEX(Assessment!$D:$D,$A195))</f>
        <v/>
      </c>
      <c r="E195" s="117" t="str">
        <f>IF($A195="","",INDEX(Assessment!$E:$E,$A195))</f>
        <v/>
      </c>
      <c r="F195" s="117" t="str">
        <f>IF($A195="","",INDEX(Assessment!$G:$G,$A195))</f>
        <v/>
      </c>
      <c r="G195" s="117" t="str">
        <f>IF($A195="","",INDEX(Assessment!$H:$H,$A195))</f>
        <v/>
      </c>
      <c r="H195" s="38" t="str">
        <f>IF($A195="","",INDEX(Assessment!$I:$I,$A195))</f>
        <v/>
      </c>
      <c r="I195" s="118"/>
      <c r="J195" s="118"/>
      <c r="K195" s="118"/>
    </row>
    <row r="196" spans="1:11" ht="48" customHeight="1" x14ac:dyDescent="0.25">
      <c r="A196" s="116" t="str">
        <f>IFERROR(MATCH(192,Assessment!$N:$N,0),"")</f>
        <v/>
      </c>
      <c r="B196" s="124" t="str">
        <f>IF($A196="","",INDEX(Assessment!$K:$K,$A196))</f>
        <v/>
      </c>
      <c r="C196" s="124" t="str">
        <f>IF($A196="","",INDEX(Assessment!$B:$B,$A196))</f>
        <v/>
      </c>
      <c r="D196" s="124" t="str">
        <f>IF($A196="","",INDEX(Assessment!$D:$D,$A196))</f>
        <v/>
      </c>
      <c r="E196" s="124" t="str">
        <f>IF($A196="","",INDEX(Assessment!$E:$E,$A196))</f>
        <v/>
      </c>
      <c r="F196" s="124" t="str">
        <f>IF($A196="","",INDEX(Assessment!$G:$G,$A196))</f>
        <v/>
      </c>
      <c r="G196" s="124" t="str">
        <f>IF($A196="","",INDEX(Assessment!$H:$H,$A196))</f>
        <v/>
      </c>
      <c r="H196" s="120" t="str">
        <f>IF($A196="","",INDEX(Assessment!$I:$I,$A196))</f>
        <v/>
      </c>
      <c r="I196" s="118"/>
      <c r="J196" s="118"/>
      <c r="K196" s="118"/>
    </row>
    <row r="197" spans="1:11" ht="48" customHeight="1" x14ac:dyDescent="0.25">
      <c r="A197" s="116" t="str">
        <f>IFERROR(MATCH(193,Assessment!$N:$N,0),"")</f>
        <v/>
      </c>
      <c r="B197" s="117" t="str">
        <f>IF($A197="","",INDEX(Assessment!$K:$K,$A197))</f>
        <v/>
      </c>
      <c r="C197" s="117" t="str">
        <f>IF($A197="","",INDEX(Assessment!$B:$B,$A197))</f>
        <v/>
      </c>
      <c r="D197" s="117" t="str">
        <f>IF($A197="","",INDEX(Assessment!$D:$D,$A197))</f>
        <v/>
      </c>
      <c r="E197" s="117" t="str">
        <f>IF($A197="","",INDEX(Assessment!$E:$E,$A197))</f>
        <v/>
      </c>
      <c r="F197" s="117" t="str">
        <f>IF($A197="","",INDEX(Assessment!$G:$G,$A197))</f>
        <v/>
      </c>
      <c r="G197" s="117" t="str">
        <f>IF($A197="","",INDEX(Assessment!$H:$H,$A197))</f>
        <v/>
      </c>
      <c r="H197" s="38" t="str">
        <f>IF($A197="","",INDEX(Assessment!$I:$I,$A197))</f>
        <v/>
      </c>
      <c r="I197" s="118"/>
      <c r="J197" s="118"/>
      <c r="K197" s="118"/>
    </row>
    <row r="198" spans="1:11" ht="48" customHeight="1" x14ac:dyDescent="0.25">
      <c r="A198" s="116" t="str">
        <f>IFERROR(MATCH(194,Assessment!$N:$N,0),"")</f>
        <v/>
      </c>
      <c r="B198" s="124" t="str">
        <f>IF($A198="","",INDEX(Assessment!$K:$K,$A198))</f>
        <v/>
      </c>
      <c r="C198" s="124" t="str">
        <f>IF($A198="","",INDEX(Assessment!$B:$B,$A198))</f>
        <v/>
      </c>
      <c r="D198" s="124" t="str">
        <f>IF($A198="","",INDEX(Assessment!$D:$D,$A198))</f>
        <v/>
      </c>
      <c r="E198" s="124" t="str">
        <f>IF($A198="","",INDEX(Assessment!$E:$E,$A198))</f>
        <v/>
      </c>
      <c r="F198" s="124" t="str">
        <f>IF($A198="","",INDEX(Assessment!$G:$G,$A198))</f>
        <v/>
      </c>
      <c r="G198" s="124" t="str">
        <f>IF($A198="","",INDEX(Assessment!$H:$H,$A198))</f>
        <v/>
      </c>
      <c r="H198" s="120" t="str">
        <f>IF($A198="","",INDEX(Assessment!$I:$I,$A198))</f>
        <v/>
      </c>
      <c r="I198" s="118"/>
      <c r="J198" s="118"/>
      <c r="K198" s="118"/>
    </row>
    <row r="199" spans="1:11" ht="48" customHeight="1" x14ac:dyDescent="0.25">
      <c r="A199" s="116" t="str">
        <f>IFERROR(MATCH(195,Assessment!$N:$N,0),"")</f>
        <v/>
      </c>
      <c r="B199" s="117" t="str">
        <f>IF($A199="","",INDEX(Assessment!$K:$K,$A199))</f>
        <v/>
      </c>
      <c r="C199" s="117" t="str">
        <f>IF($A199="","",INDEX(Assessment!$B:$B,$A199))</f>
        <v/>
      </c>
      <c r="D199" s="117" t="str">
        <f>IF($A199="","",INDEX(Assessment!$D:$D,$A199))</f>
        <v/>
      </c>
      <c r="E199" s="117" t="str">
        <f>IF($A199="","",INDEX(Assessment!$E:$E,$A199))</f>
        <v/>
      </c>
      <c r="F199" s="117" t="str">
        <f>IF($A199="","",INDEX(Assessment!$G:$G,$A199))</f>
        <v/>
      </c>
      <c r="G199" s="117" t="str">
        <f>IF($A199="","",INDEX(Assessment!$H:$H,$A199))</f>
        <v/>
      </c>
      <c r="H199" s="38" t="str">
        <f>IF($A199="","",INDEX(Assessment!$I:$I,$A199))</f>
        <v/>
      </c>
      <c r="I199" s="118"/>
      <c r="J199" s="118"/>
      <c r="K199" s="118"/>
    </row>
    <row r="200" spans="1:11" ht="48" customHeight="1" x14ac:dyDescent="0.25">
      <c r="A200" s="116" t="str">
        <f>IFERROR(MATCH(196,Assessment!$N:$N,0),"")</f>
        <v/>
      </c>
      <c r="B200" s="124" t="str">
        <f>IF($A200="","",INDEX(Assessment!$K:$K,$A200))</f>
        <v/>
      </c>
      <c r="C200" s="124" t="str">
        <f>IF($A200="","",INDEX(Assessment!$B:$B,$A200))</f>
        <v/>
      </c>
      <c r="D200" s="124" t="str">
        <f>IF($A200="","",INDEX(Assessment!$D:$D,$A200))</f>
        <v/>
      </c>
      <c r="E200" s="124" t="str">
        <f>IF($A200="","",INDEX(Assessment!$E:$E,$A200))</f>
        <v/>
      </c>
      <c r="F200" s="124" t="str">
        <f>IF($A200="","",INDEX(Assessment!$G:$G,$A200))</f>
        <v/>
      </c>
      <c r="G200" s="124" t="str">
        <f>IF($A200="","",INDEX(Assessment!$H:$H,$A200))</f>
        <v/>
      </c>
      <c r="H200" s="120" t="str">
        <f>IF($A200="","",INDEX(Assessment!$I:$I,$A200))</f>
        <v/>
      </c>
      <c r="I200" s="118"/>
      <c r="J200" s="118"/>
      <c r="K200" s="118"/>
    </row>
    <row r="201" spans="1:11" ht="48" customHeight="1" x14ac:dyDescent="0.25">
      <c r="A201" s="116" t="str">
        <f>IFERROR(MATCH(197,Assessment!$N:$N,0),"")</f>
        <v/>
      </c>
      <c r="B201" s="117" t="str">
        <f>IF($A201="","",INDEX(Assessment!$K:$K,$A201))</f>
        <v/>
      </c>
      <c r="C201" s="117" t="str">
        <f>IF($A201="","",INDEX(Assessment!$B:$B,$A201))</f>
        <v/>
      </c>
      <c r="D201" s="117" t="str">
        <f>IF($A201="","",INDEX(Assessment!$D:$D,$A201))</f>
        <v/>
      </c>
      <c r="E201" s="117" t="str">
        <f>IF($A201="","",INDEX(Assessment!$E:$E,$A201))</f>
        <v/>
      </c>
      <c r="F201" s="117" t="str">
        <f>IF($A201="","",INDEX(Assessment!$G:$G,$A201))</f>
        <v/>
      </c>
      <c r="G201" s="117" t="str">
        <f>IF($A201="","",INDEX(Assessment!$H:$H,$A201))</f>
        <v/>
      </c>
      <c r="H201" s="38" t="str">
        <f>IF($A201="","",INDEX(Assessment!$I:$I,$A201))</f>
        <v/>
      </c>
      <c r="I201" s="118"/>
      <c r="J201" s="118"/>
      <c r="K201" s="118"/>
    </row>
    <row r="202" spans="1:11" ht="48" customHeight="1" x14ac:dyDescent="0.25">
      <c r="A202" s="116" t="str">
        <f>IFERROR(MATCH(198,Assessment!$N:$N,0),"")</f>
        <v/>
      </c>
      <c r="B202" s="124" t="str">
        <f>IF($A202="","",INDEX(Assessment!$K:$K,$A202))</f>
        <v/>
      </c>
      <c r="C202" s="124" t="str">
        <f>IF($A202="","",INDEX(Assessment!$B:$B,$A202))</f>
        <v/>
      </c>
      <c r="D202" s="124" t="str">
        <f>IF($A202="","",INDEX(Assessment!$D:$D,$A202))</f>
        <v/>
      </c>
      <c r="E202" s="124" t="str">
        <f>IF($A202="","",INDEX(Assessment!$E:$E,$A202))</f>
        <v/>
      </c>
      <c r="F202" s="124" t="str">
        <f>IF($A202="","",INDEX(Assessment!$G:$G,$A202))</f>
        <v/>
      </c>
      <c r="G202" s="124" t="str">
        <f>IF($A202="","",INDEX(Assessment!$H:$H,$A202))</f>
        <v/>
      </c>
      <c r="H202" s="120" t="str">
        <f>IF($A202="","",INDEX(Assessment!$I:$I,$A202))</f>
        <v/>
      </c>
      <c r="I202" s="118"/>
      <c r="J202" s="118"/>
      <c r="K202" s="118"/>
    </row>
    <row r="203" spans="1:11" ht="48" customHeight="1" x14ac:dyDescent="0.25">
      <c r="A203" s="116" t="str">
        <f>IFERROR(MATCH(199,Assessment!$N:$N,0),"")</f>
        <v/>
      </c>
      <c r="B203" s="117" t="str">
        <f>IF($A203="","",INDEX(Assessment!$K:$K,$A203))</f>
        <v/>
      </c>
      <c r="C203" s="117" t="str">
        <f>IF($A203="","",INDEX(Assessment!$B:$B,$A203))</f>
        <v/>
      </c>
      <c r="D203" s="117" t="str">
        <f>IF($A203="","",INDEX(Assessment!$D:$D,$A203))</f>
        <v/>
      </c>
      <c r="E203" s="117" t="str">
        <f>IF($A203="","",INDEX(Assessment!$E:$E,$A203))</f>
        <v/>
      </c>
      <c r="F203" s="117" t="str">
        <f>IF($A203="","",INDEX(Assessment!$G:$G,$A203))</f>
        <v/>
      </c>
      <c r="G203" s="117" t="str">
        <f>IF($A203="","",INDEX(Assessment!$H:$H,$A203))</f>
        <v/>
      </c>
      <c r="H203" s="38" t="str">
        <f>IF($A203="","",INDEX(Assessment!$I:$I,$A203))</f>
        <v/>
      </c>
      <c r="I203" s="118"/>
      <c r="J203" s="118"/>
      <c r="K203" s="118"/>
    </row>
    <row r="204" spans="1:11" ht="48" customHeight="1" x14ac:dyDescent="0.25">
      <c r="A204" s="116" t="str">
        <f>IFERROR(MATCH(200,Assessment!$N:$N,0),"")</f>
        <v/>
      </c>
      <c r="B204" s="124" t="str">
        <f>IF($A204="","",INDEX(Assessment!$K:$K,$A204))</f>
        <v/>
      </c>
      <c r="C204" s="124" t="str">
        <f>IF($A204="","",INDEX(Assessment!$B:$B,$A204))</f>
        <v/>
      </c>
      <c r="D204" s="124" t="str">
        <f>IF($A204="","",INDEX(Assessment!$D:$D,$A204))</f>
        <v/>
      </c>
      <c r="E204" s="124" t="str">
        <f>IF($A204="","",INDEX(Assessment!$E:$E,$A204))</f>
        <v/>
      </c>
      <c r="F204" s="124" t="str">
        <f>IF($A204="","",INDEX(Assessment!$G:$G,$A204))</f>
        <v/>
      </c>
      <c r="G204" s="124" t="str">
        <f>IF($A204="","",INDEX(Assessment!$H:$H,$A204))</f>
        <v/>
      </c>
      <c r="H204" s="120" t="str">
        <f>IF($A204="","",INDEX(Assessment!$I:$I,$A204))</f>
        <v/>
      </c>
      <c r="I204" s="118"/>
      <c r="J204" s="118"/>
      <c r="K204" s="118"/>
    </row>
    <row r="205" spans="1:11" ht="48" customHeight="1" x14ac:dyDescent="0.25">
      <c r="A205" s="116" t="str">
        <f>IFERROR(MATCH(201,Assessment!$N:$N,0),"")</f>
        <v/>
      </c>
      <c r="B205" s="117" t="str">
        <f>IF($A205="","",INDEX(Assessment!$K:$K,$A205))</f>
        <v/>
      </c>
      <c r="C205" s="117" t="str">
        <f>IF($A205="","",INDEX(Assessment!$B:$B,$A205))</f>
        <v/>
      </c>
      <c r="D205" s="117" t="str">
        <f>IF($A205="","",INDEX(Assessment!$D:$D,$A205))</f>
        <v/>
      </c>
      <c r="E205" s="117" t="str">
        <f>IF($A205="","",INDEX(Assessment!$E:$E,$A205))</f>
        <v/>
      </c>
      <c r="F205" s="117" t="str">
        <f>IF($A205="","",INDEX(Assessment!$G:$G,$A205))</f>
        <v/>
      </c>
      <c r="G205" s="117" t="str">
        <f>IF($A205="","",INDEX(Assessment!$H:$H,$A205))</f>
        <v/>
      </c>
      <c r="H205" s="38" t="str">
        <f>IF($A205="","",INDEX(Assessment!$I:$I,$A205))</f>
        <v/>
      </c>
      <c r="I205" s="118"/>
      <c r="J205" s="118"/>
      <c r="K205" s="118"/>
    </row>
    <row r="206" spans="1:11" ht="48" customHeight="1" x14ac:dyDescent="0.25">
      <c r="A206" s="116" t="str">
        <f>IFERROR(MATCH(202,Assessment!$N:$N,0),"")</f>
        <v/>
      </c>
      <c r="B206" s="124" t="str">
        <f>IF($A206="","",INDEX(Assessment!$K:$K,$A206))</f>
        <v/>
      </c>
      <c r="C206" s="124" t="str">
        <f>IF($A206="","",INDEX(Assessment!$B:$B,$A206))</f>
        <v/>
      </c>
      <c r="D206" s="124" t="str">
        <f>IF($A206="","",INDEX(Assessment!$D:$D,$A206))</f>
        <v/>
      </c>
      <c r="E206" s="124" t="str">
        <f>IF($A206="","",INDEX(Assessment!$E:$E,$A206))</f>
        <v/>
      </c>
      <c r="F206" s="124" t="str">
        <f>IF($A206="","",INDEX(Assessment!$G:$G,$A206))</f>
        <v/>
      </c>
      <c r="G206" s="124" t="str">
        <f>IF($A206="","",INDEX(Assessment!$H:$H,$A206))</f>
        <v/>
      </c>
      <c r="H206" s="120" t="str">
        <f>IF($A206="","",INDEX(Assessment!$I:$I,$A206))</f>
        <v/>
      </c>
      <c r="I206" s="118"/>
      <c r="J206" s="118"/>
      <c r="K206" s="118"/>
    </row>
    <row r="207" spans="1:11" ht="48" customHeight="1" x14ac:dyDescent="0.25">
      <c r="A207" s="116" t="str">
        <f>IFERROR(MATCH(203,Assessment!$N:$N,0),"")</f>
        <v/>
      </c>
      <c r="B207" s="117" t="str">
        <f>IF($A207="","",INDEX(Assessment!$K:$K,$A207))</f>
        <v/>
      </c>
      <c r="C207" s="117" t="str">
        <f>IF($A207="","",INDEX(Assessment!$B:$B,$A207))</f>
        <v/>
      </c>
      <c r="D207" s="117" t="str">
        <f>IF($A207="","",INDEX(Assessment!$D:$D,$A207))</f>
        <v/>
      </c>
      <c r="E207" s="117" t="str">
        <f>IF($A207="","",INDEX(Assessment!$E:$E,$A207))</f>
        <v/>
      </c>
      <c r="F207" s="117" t="str">
        <f>IF($A207="","",INDEX(Assessment!$G:$G,$A207))</f>
        <v/>
      </c>
      <c r="G207" s="117" t="str">
        <f>IF($A207="","",INDEX(Assessment!$H:$H,$A207))</f>
        <v/>
      </c>
      <c r="H207" s="38" t="str">
        <f>IF($A207="","",INDEX(Assessment!$I:$I,$A207))</f>
        <v/>
      </c>
      <c r="I207" s="118"/>
      <c r="J207" s="118"/>
      <c r="K207" s="118"/>
    </row>
    <row r="208" spans="1:11" ht="48" customHeight="1" x14ac:dyDescent="0.25">
      <c r="A208" s="116" t="str">
        <f>IFERROR(MATCH(204,Assessment!$N:$N,0),"")</f>
        <v/>
      </c>
      <c r="B208" s="124" t="str">
        <f>IF($A208="","",INDEX(Assessment!$K:$K,$A208))</f>
        <v/>
      </c>
      <c r="C208" s="124" t="str">
        <f>IF($A208="","",INDEX(Assessment!$B:$B,$A208))</f>
        <v/>
      </c>
      <c r="D208" s="124" t="str">
        <f>IF($A208="","",INDEX(Assessment!$D:$D,$A208))</f>
        <v/>
      </c>
      <c r="E208" s="124" t="str">
        <f>IF($A208="","",INDEX(Assessment!$E:$E,$A208))</f>
        <v/>
      </c>
      <c r="F208" s="124" t="str">
        <f>IF($A208="","",INDEX(Assessment!$G:$G,$A208))</f>
        <v/>
      </c>
      <c r="G208" s="124" t="str">
        <f>IF($A208="","",INDEX(Assessment!$H:$H,$A208))</f>
        <v/>
      </c>
      <c r="H208" s="120" t="str">
        <f>IF($A208="","",INDEX(Assessment!$I:$I,$A208))</f>
        <v/>
      </c>
      <c r="I208" s="118"/>
      <c r="J208" s="118"/>
      <c r="K208" s="118"/>
    </row>
    <row r="209" spans="1:11" ht="48" customHeight="1" x14ac:dyDescent="0.25">
      <c r="A209" s="116" t="str">
        <f>IFERROR(MATCH(205,Assessment!$N:$N,0),"")</f>
        <v/>
      </c>
      <c r="B209" s="117" t="str">
        <f>IF($A209="","",INDEX(Assessment!$K:$K,$A209))</f>
        <v/>
      </c>
      <c r="C209" s="117" t="str">
        <f>IF($A209="","",INDEX(Assessment!$B:$B,$A209))</f>
        <v/>
      </c>
      <c r="D209" s="117" t="str">
        <f>IF($A209="","",INDEX(Assessment!$D:$D,$A209))</f>
        <v/>
      </c>
      <c r="E209" s="117" t="str">
        <f>IF($A209="","",INDEX(Assessment!$E:$E,$A209))</f>
        <v/>
      </c>
      <c r="F209" s="117" t="str">
        <f>IF($A209="","",INDEX(Assessment!$G:$G,$A209))</f>
        <v/>
      </c>
      <c r="G209" s="117" t="str">
        <f>IF($A209="","",INDEX(Assessment!$H:$H,$A209))</f>
        <v/>
      </c>
      <c r="H209" s="38" t="str">
        <f>IF($A209="","",INDEX(Assessment!$I:$I,$A209))</f>
        <v/>
      </c>
      <c r="I209" s="118"/>
      <c r="J209" s="118"/>
      <c r="K209" s="118"/>
    </row>
    <row r="210" spans="1:11" ht="48" customHeight="1" x14ac:dyDescent="0.25">
      <c r="A210" s="116" t="str">
        <f>IFERROR(MATCH(206,Assessment!$N:$N,0),"")</f>
        <v/>
      </c>
      <c r="B210" s="124" t="str">
        <f>IF($A210="","",INDEX(Assessment!$K:$K,$A210))</f>
        <v/>
      </c>
      <c r="C210" s="124" t="str">
        <f>IF($A210="","",INDEX(Assessment!$B:$B,$A210))</f>
        <v/>
      </c>
      <c r="D210" s="124" t="str">
        <f>IF($A210="","",INDEX(Assessment!$D:$D,$A210))</f>
        <v/>
      </c>
      <c r="E210" s="124" t="str">
        <f>IF($A210="","",INDEX(Assessment!$E:$E,$A210))</f>
        <v/>
      </c>
      <c r="F210" s="124" t="str">
        <f>IF($A210="","",INDEX(Assessment!$G:$G,$A210))</f>
        <v/>
      </c>
      <c r="G210" s="124" t="str">
        <f>IF($A210="","",INDEX(Assessment!$H:$H,$A210))</f>
        <v/>
      </c>
      <c r="H210" s="120" t="str">
        <f>IF($A210="","",INDEX(Assessment!$I:$I,$A210))</f>
        <v/>
      </c>
      <c r="I210" s="118"/>
      <c r="J210" s="118"/>
      <c r="K210" s="118"/>
    </row>
    <row r="211" spans="1:11" ht="48" customHeight="1" x14ac:dyDescent="0.25">
      <c r="A211" s="116" t="str">
        <f>IFERROR(MATCH(207,Assessment!$N:$N,0),"")</f>
        <v/>
      </c>
      <c r="B211" s="117" t="str">
        <f>IF($A211="","",INDEX(Assessment!$K:$K,$A211))</f>
        <v/>
      </c>
      <c r="C211" s="117" t="str">
        <f>IF($A211="","",INDEX(Assessment!$B:$B,$A211))</f>
        <v/>
      </c>
      <c r="D211" s="117" t="str">
        <f>IF($A211="","",INDEX(Assessment!$D:$D,$A211))</f>
        <v/>
      </c>
      <c r="E211" s="117" t="str">
        <f>IF($A211="","",INDEX(Assessment!$E:$E,$A211))</f>
        <v/>
      </c>
      <c r="F211" s="117" t="str">
        <f>IF($A211="","",INDEX(Assessment!$G:$G,$A211))</f>
        <v/>
      </c>
      <c r="G211" s="117" t="str">
        <f>IF($A211="","",INDEX(Assessment!$H:$H,$A211))</f>
        <v/>
      </c>
      <c r="H211" s="38" t="str">
        <f>IF($A211="","",INDEX(Assessment!$I:$I,$A211))</f>
        <v/>
      </c>
      <c r="I211" s="118"/>
      <c r="J211" s="118"/>
      <c r="K211" s="118"/>
    </row>
    <row r="212" spans="1:11" ht="48" customHeight="1" x14ac:dyDescent="0.25">
      <c r="A212" s="116" t="str">
        <f>IFERROR(MATCH(208,Assessment!$N:$N,0),"")</f>
        <v/>
      </c>
      <c r="B212" s="124" t="str">
        <f>IF($A212="","",INDEX(Assessment!$K:$K,$A212))</f>
        <v/>
      </c>
      <c r="C212" s="124" t="str">
        <f>IF($A212="","",INDEX(Assessment!$B:$B,$A212))</f>
        <v/>
      </c>
      <c r="D212" s="124" t="str">
        <f>IF($A212="","",INDEX(Assessment!$D:$D,$A212))</f>
        <v/>
      </c>
      <c r="E212" s="124" t="str">
        <f>IF($A212="","",INDEX(Assessment!$E:$E,$A212))</f>
        <v/>
      </c>
      <c r="F212" s="124" t="str">
        <f>IF($A212="","",INDEX(Assessment!$G:$G,$A212))</f>
        <v/>
      </c>
      <c r="G212" s="124" t="str">
        <f>IF($A212="","",INDEX(Assessment!$H:$H,$A212))</f>
        <v/>
      </c>
      <c r="H212" s="120" t="str">
        <f>IF($A212="","",INDEX(Assessment!$I:$I,$A212))</f>
        <v/>
      </c>
      <c r="I212" s="118"/>
      <c r="J212" s="118"/>
      <c r="K212" s="118"/>
    </row>
    <row r="213" spans="1:11" ht="48" customHeight="1" x14ac:dyDescent="0.25">
      <c r="A213" s="116" t="str">
        <f>IFERROR(MATCH(209,Assessment!$N:$N,0),"")</f>
        <v/>
      </c>
      <c r="B213" s="117" t="str">
        <f>IF($A213="","",INDEX(Assessment!$K:$K,$A213))</f>
        <v/>
      </c>
      <c r="C213" s="117" t="str">
        <f>IF($A213="","",INDEX(Assessment!$B:$B,$A213))</f>
        <v/>
      </c>
      <c r="D213" s="117" t="str">
        <f>IF($A213="","",INDEX(Assessment!$D:$D,$A213))</f>
        <v/>
      </c>
      <c r="E213" s="117" t="str">
        <f>IF($A213="","",INDEX(Assessment!$E:$E,$A213))</f>
        <v/>
      </c>
      <c r="F213" s="117" t="str">
        <f>IF($A213="","",INDEX(Assessment!$G:$G,$A213))</f>
        <v/>
      </c>
      <c r="G213" s="117" t="str">
        <f>IF($A213="","",INDEX(Assessment!$H:$H,$A213))</f>
        <v/>
      </c>
      <c r="H213" s="38" t="str">
        <f>IF($A213="","",INDEX(Assessment!$I:$I,$A213))</f>
        <v/>
      </c>
      <c r="I213" s="118"/>
      <c r="J213" s="118"/>
      <c r="K213" s="118"/>
    </row>
    <row r="214" spans="1:11" ht="48" customHeight="1" x14ac:dyDescent="0.25">
      <c r="A214" s="116" t="str">
        <f>IFERROR(MATCH(210,Assessment!$N:$N,0),"")</f>
        <v/>
      </c>
      <c r="B214" s="124" t="str">
        <f>IF($A214="","",INDEX(Assessment!$K:$K,$A214))</f>
        <v/>
      </c>
      <c r="C214" s="124" t="str">
        <f>IF($A214="","",INDEX(Assessment!$B:$B,$A214))</f>
        <v/>
      </c>
      <c r="D214" s="124" t="str">
        <f>IF($A214="","",INDEX(Assessment!$D:$D,$A214))</f>
        <v/>
      </c>
      <c r="E214" s="124" t="str">
        <f>IF($A214="","",INDEX(Assessment!$E:$E,$A214))</f>
        <v/>
      </c>
      <c r="F214" s="124" t="str">
        <f>IF($A214="","",INDEX(Assessment!$G:$G,$A214))</f>
        <v/>
      </c>
      <c r="G214" s="124" t="str">
        <f>IF($A214="","",INDEX(Assessment!$H:$H,$A214))</f>
        <v/>
      </c>
      <c r="H214" s="120" t="str">
        <f>IF($A214="","",INDEX(Assessment!$I:$I,$A214))</f>
        <v/>
      </c>
      <c r="I214" s="118"/>
      <c r="J214" s="118"/>
      <c r="K214" s="118"/>
    </row>
    <row r="215" spans="1:11" ht="48" customHeight="1" x14ac:dyDescent="0.25">
      <c r="A215" s="116" t="str">
        <f>IFERROR(MATCH(211,Assessment!$N:$N,0),"")</f>
        <v/>
      </c>
      <c r="B215" s="117" t="str">
        <f>IF($A215="","",INDEX(Assessment!$K:$K,$A215))</f>
        <v/>
      </c>
      <c r="C215" s="117" t="str">
        <f>IF($A215="","",INDEX(Assessment!$B:$B,$A215))</f>
        <v/>
      </c>
      <c r="D215" s="117" t="str">
        <f>IF($A215="","",INDEX(Assessment!$D:$D,$A215))</f>
        <v/>
      </c>
      <c r="E215" s="117" t="str">
        <f>IF($A215="","",INDEX(Assessment!$E:$E,$A215))</f>
        <v/>
      </c>
      <c r="F215" s="117" t="str">
        <f>IF($A215="","",INDEX(Assessment!$G:$G,$A215))</f>
        <v/>
      </c>
      <c r="G215" s="117" t="str">
        <f>IF($A215="","",INDEX(Assessment!$H:$H,$A215))</f>
        <v/>
      </c>
      <c r="H215" s="38" t="str">
        <f>IF($A215="","",INDEX(Assessment!$I:$I,$A215))</f>
        <v/>
      </c>
      <c r="I215" s="118"/>
      <c r="J215" s="118"/>
      <c r="K215" s="118"/>
    </row>
    <row r="216" spans="1:11" ht="48" customHeight="1" x14ac:dyDescent="0.25">
      <c r="A216" s="116" t="str">
        <f>IFERROR(MATCH(212,Assessment!$N:$N,0),"")</f>
        <v/>
      </c>
      <c r="B216" s="124" t="str">
        <f>IF($A216="","",INDEX(Assessment!$K:$K,$A216))</f>
        <v/>
      </c>
      <c r="C216" s="124" t="str">
        <f>IF($A216="","",INDEX(Assessment!$B:$B,$A216))</f>
        <v/>
      </c>
      <c r="D216" s="124" t="str">
        <f>IF($A216="","",INDEX(Assessment!$D:$D,$A216))</f>
        <v/>
      </c>
      <c r="E216" s="124" t="str">
        <f>IF($A216="","",INDEX(Assessment!$E:$E,$A216))</f>
        <v/>
      </c>
      <c r="F216" s="124" t="str">
        <f>IF($A216="","",INDEX(Assessment!$G:$G,$A216))</f>
        <v/>
      </c>
      <c r="G216" s="124" t="str">
        <f>IF($A216="","",INDEX(Assessment!$H:$H,$A216))</f>
        <v/>
      </c>
      <c r="H216" s="120" t="str">
        <f>IF($A216="","",INDEX(Assessment!$I:$I,$A216))</f>
        <v/>
      </c>
      <c r="I216" s="118"/>
      <c r="J216" s="118"/>
      <c r="K216" s="118"/>
    </row>
    <row r="217" spans="1:11" ht="48" customHeight="1" x14ac:dyDescent="0.25">
      <c r="A217" s="116" t="str">
        <f>IFERROR(MATCH(213,Assessment!$N:$N,0),"")</f>
        <v/>
      </c>
      <c r="B217" s="117" t="str">
        <f>IF($A217="","",INDEX(Assessment!$K:$K,$A217))</f>
        <v/>
      </c>
      <c r="C217" s="117" t="str">
        <f>IF($A217="","",INDEX(Assessment!$B:$B,$A217))</f>
        <v/>
      </c>
      <c r="D217" s="117" t="str">
        <f>IF($A217="","",INDEX(Assessment!$D:$D,$A217))</f>
        <v/>
      </c>
      <c r="E217" s="117" t="str">
        <f>IF($A217="","",INDEX(Assessment!$E:$E,$A217))</f>
        <v/>
      </c>
      <c r="F217" s="117" t="str">
        <f>IF($A217="","",INDEX(Assessment!$G:$G,$A217))</f>
        <v/>
      </c>
      <c r="G217" s="117" t="str">
        <f>IF($A217="","",INDEX(Assessment!$H:$H,$A217))</f>
        <v/>
      </c>
      <c r="H217" s="38" t="str">
        <f>IF($A217="","",INDEX(Assessment!$I:$I,$A217))</f>
        <v/>
      </c>
      <c r="I217" s="118"/>
      <c r="J217" s="118"/>
      <c r="K217" s="118"/>
    </row>
    <row r="218" spans="1:11" ht="48" customHeight="1" x14ac:dyDescent="0.25">
      <c r="A218" s="116" t="str">
        <f>IFERROR(MATCH(214,Assessment!$N:$N,0),"")</f>
        <v/>
      </c>
      <c r="B218" s="124" t="str">
        <f>IF($A218="","",INDEX(Assessment!$K:$K,$A218))</f>
        <v/>
      </c>
      <c r="C218" s="124" t="str">
        <f>IF($A218="","",INDEX(Assessment!$B:$B,$A218))</f>
        <v/>
      </c>
      <c r="D218" s="124" t="str">
        <f>IF($A218="","",INDEX(Assessment!$D:$D,$A218))</f>
        <v/>
      </c>
      <c r="E218" s="124" t="str">
        <f>IF($A218="","",INDEX(Assessment!$E:$E,$A218))</f>
        <v/>
      </c>
      <c r="F218" s="124" t="str">
        <f>IF($A218="","",INDEX(Assessment!$G:$G,$A218))</f>
        <v/>
      </c>
      <c r="G218" s="124" t="str">
        <f>IF($A218="","",INDEX(Assessment!$H:$H,$A218))</f>
        <v/>
      </c>
      <c r="H218" s="120" t="str">
        <f>IF($A218="","",INDEX(Assessment!$I:$I,$A218))</f>
        <v/>
      </c>
      <c r="I218" s="118"/>
      <c r="J218" s="118"/>
      <c r="K218" s="118"/>
    </row>
    <row r="219" spans="1:11" ht="48" customHeight="1" x14ac:dyDescent="0.25">
      <c r="A219" s="116" t="str">
        <f>IFERROR(MATCH(215,Assessment!$N:$N,0),"")</f>
        <v/>
      </c>
      <c r="B219" s="117" t="str">
        <f>IF($A219="","",INDEX(Assessment!$K:$K,$A219))</f>
        <v/>
      </c>
      <c r="C219" s="117" t="str">
        <f>IF($A219="","",INDEX(Assessment!$B:$B,$A219))</f>
        <v/>
      </c>
      <c r="D219" s="117" t="str">
        <f>IF($A219="","",INDEX(Assessment!$D:$D,$A219))</f>
        <v/>
      </c>
      <c r="E219" s="117" t="str">
        <f>IF($A219="","",INDEX(Assessment!$E:$E,$A219))</f>
        <v/>
      </c>
      <c r="F219" s="117" t="str">
        <f>IF($A219="","",INDEX(Assessment!$G:$G,$A219))</f>
        <v/>
      </c>
      <c r="G219" s="117" t="str">
        <f>IF($A219="","",INDEX(Assessment!$H:$H,$A219))</f>
        <v/>
      </c>
      <c r="H219" s="38" t="str">
        <f>IF($A219="","",INDEX(Assessment!$I:$I,$A219))</f>
        <v/>
      </c>
      <c r="I219" s="118"/>
      <c r="J219" s="118"/>
      <c r="K219" s="118"/>
    </row>
    <row r="220" spans="1:11" ht="48" customHeight="1" x14ac:dyDescent="0.25">
      <c r="A220" s="116" t="str">
        <f>IFERROR(MATCH(216,Assessment!$N:$N,0),"")</f>
        <v/>
      </c>
      <c r="B220" s="124" t="str">
        <f>IF($A220="","",INDEX(Assessment!$K:$K,$A220))</f>
        <v/>
      </c>
      <c r="C220" s="124" t="str">
        <f>IF($A220="","",INDEX(Assessment!$B:$B,$A220))</f>
        <v/>
      </c>
      <c r="D220" s="124" t="str">
        <f>IF($A220="","",INDEX(Assessment!$D:$D,$A220))</f>
        <v/>
      </c>
      <c r="E220" s="124" t="str">
        <f>IF($A220="","",INDEX(Assessment!$E:$E,$A220))</f>
        <v/>
      </c>
      <c r="F220" s="124" t="str">
        <f>IF($A220="","",INDEX(Assessment!$G:$G,$A220))</f>
        <v/>
      </c>
      <c r="G220" s="124" t="str">
        <f>IF($A220="","",INDEX(Assessment!$H:$H,$A220))</f>
        <v/>
      </c>
      <c r="H220" s="120" t="str">
        <f>IF($A220="","",INDEX(Assessment!$I:$I,$A220))</f>
        <v/>
      </c>
      <c r="I220" s="118"/>
      <c r="J220" s="118"/>
      <c r="K220" s="118"/>
    </row>
    <row r="221" spans="1:11" ht="48" customHeight="1" x14ac:dyDescent="0.25">
      <c r="A221" s="116" t="str">
        <f>IFERROR(MATCH(217,Assessment!$N:$N,0),"")</f>
        <v/>
      </c>
      <c r="B221" s="117" t="str">
        <f>IF($A221="","",INDEX(Assessment!$K:$K,$A221))</f>
        <v/>
      </c>
      <c r="C221" s="117" t="str">
        <f>IF($A221="","",INDEX(Assessment!$B:$B,$A221))</f>
        <v/>
      </c>
      <c r="D221" s="117" t="str">
        <f>IF($A221="","",INDEX(Assessment!$D:$D,$A221))</f>
        <v/>
      </c>
      <c r="E221" s="117" t="str">
        <f>IF($A221="","",INDEX(Assessment!$E:$E,$A221))</f>
        <v/>
      </c>
      <c r="F221" s="117" t="str">
        <f>IF($A221="","",INDEX(Assessment!$G:$G,$A221))</f>
        <v/>
      </c>
      <c r="G221" s="117" t="str">
        <f>IF($A221="","",INDEX(Assessment!$H:$H,$A221))</f>
        <v/>
      </c>
      <c r="H221" s="38" t="str">
        <f>IF($A221="","",INDEX(Assessment!$I:$I,$A221))</f>
        <v/>
      </c>
      <c r="I221" s="118"/>
      <c r="J221" s="118"/>
      <c r="K221" s="118"/>
    </row>
    <row r="222" spans="1:11" ht="48" customHeight="1" x14ac:dyDescent="0.25">
      <c r="A222" s="116" t="str">
        <f>IFERROR(MATCH(218,Assessment!$N:$N,0),"")</f>
        <v/>
      </c>
      <c r="B222" s="124" t="str">
        <f>IF($A222="","",INDEX(Assessment!$K:$K,$A222))</f>
        <v/>
      </c>
      <c r="C222" s="124" t="str">
        <f>IF($A222="","",INDEX(Assessment!$B:$B,$A222))</f>
        <v/>
      </c>
      <c r="D222" s="124" t="str">
        <f>IF($A222="","",INDEX(Assessment!$D:$D,$A222))</f>
        <v/>
      </c>
      <c r="E222" s="124" t="str">
        <f>IF($A222="","",INDEX(Assessment!$E:$E,$A222))</f>
        <v/>
      </c>
      <c r="F222" s="124" t="str">
        <f>IF($A222="","",INDEX(Assessment!$G:$G,$A222))</f>
        <v/>
      </c>
      <c r="G222" s="124" t="str">
        <f>IF($A222="","",INDEX(Assessment!$H:$H,$A222))</f>
        <v/>
      </c>
      <c r="H222" s="120" t="str">
        <f>IF($A222="","",INDEX(Assessment!$I:$I,$A222))</f>
        <v/>
      </c>
      <c r="I222" s="118"/>
      <c r="J222" s="118"/>
      <c r="K222" s="118"/>
    </row>
    <row r="223" spans="1:11" ht="48" customHeight="1" x14ac:dyDescent="0.25">
      <c r="A223" s="116" t="str">
        <f>IFERROR(MATCH(219,Assessment!$N:$N,0),"")</f>
        <v/>
      </c>
      <c r="B223" s="117" t="str">
        <f>IF($A223="","",INDEX(Assessment!$K:$K,$A223))</f>
        <v/>
      </c>
      <c r="C223" s="117" t="str">
        <f>IF($A223="","",INDEX(Assessment!$B:$B,$A223))</f>
        <v/>
      </c>
      <c r="D223" s="117" t="str">
        <f>IF($A223="","",INDEX(Assessment!$D:$D,$A223))</f>
        <v/>
      </c>
      <c r="E223" s="117" t="str">
        <f>IF($A223="","",INDEX(Assessment!$E:$E,$A223))</f>
        <v/>
      </c>
      <c r="F223" s="117" t="str">
        <f>IF($A223="","",INDEX(Assessment!$G:$G,$A223))</f>
        <v/>
      </c>
      <c r="G223" s="117" t="str">
        <f>IF($A223="","",INDEX(Assessment!$H:$H,$A223))</f>
        <v/>
      </c>
      <c r="H223" s="38" t="str">
        <f>IF($A223="","",INDEX(Assessment!$I:$I,$A223))</f>
        <v/>
      </c>
      <c r="I223" s="118"/>
      <c r="J223" s="118"/>
      <c r="K223" s="118"/>
    </row>
    <row r="224" spans="1:11" ht="48" customHeight="1" x14ac:dyDescent="0.25">
      <c r="A224" s="116" t="str">
        <f>IFERROR(MATCH(220,Assessment!$N:$N,0),"")</f>
        <v/>
      </c>
      <c r="B224" s="124" t="str">
        <f>IF($A224="","",INDEX(Assessment!$K:$K,$A224))</f>
        <v/>
      </c>
      <c r="C224" s="124" t="str">
        <f>IF($A224="","",INDEX(Assessment!$B:$B,$A224))</f>
        <v/>
      </c>
      <c r="D224" s="124" t="str">
        <f>IF($A224="","",INDEX(Assessment!$D:$D,$A224))</f>
        <v/>
      </c>
      <c r="E224" s="124" t="str">
        <f>IF($A224="","",INDEX(Assessment!$E:$E,$A224))</f>
        <v/>
      </c>
      <c r="F224" s="124" t="str">
        <f>IF($A224="","",INDEX(Assessment!$G:$G,$A224))</f>
        <v/>
      </c>
      <c r="G224" s="124" t="str">
        <f>IF($A224="","",INDEX(Assessment!$H:$H,$A224))</f>
        <v/>
      </c>
      <c r="H224" s="120" t="str">
        <f>IF($A224="","",INDEX(Assessment!$I:$I,$A224))</f>
        <v/>
      </c>
      <c r="I224" s="118"/>
      <c r="J224" s="118"/>
      <c r="K224" s="118"/>
    </row>
    <row r="225" spans="1:11" ht="48" customHeight="1" x14ac:dyDescent="0.25">
      <c r="A225" s="116" t="str">
        <f>IFERROR(MATCH(221,Assessment!$N:$N,0),"")</f>
        <v/>
      </c>
      <c r="B225" s="117" t="str">
        <f>IF($A225="","",INDEX(Assessment!$K:$K,$A225))</f>
        <v/>
      </c>
      <c r="C225" s="117" t="str">
        <f>IF($A225="","",INDEX(Assessment!$B:$B,$A225))</f>
        <v/>
      </c>
      <c r="D225" s="117" t="str">
        <f>IF($A225="","",INDEX(Assessment!$D:$D,$A225))</f>
        <v/>
      </c>
      <c r="E225" s="117" t="str">
        <f>IF($A225="","",INDEX(Assessment!$E:$E,$A225))</f>
        <v/>
      </c>
      <c r="F225" s="117" t="str">
        <f>IF($A225="","",INDEX(Assessment!$G:$G,$A225))</f>
        <v/>
      </c>
      <c r="G225" s="117" t="str">
        <f>IF($A225="","",INDEX(Assessment!$H:$H,$A225))</f>
        <v/>
      </c>
      <c r="H225" s="38" t="str">
        <f>IF($A225="","",INDEX(Assessment!$I:$I,$A225))</f>
        <v/>
      </c>
      <c r="I225" s="118"/>
      <c r="J225" s="118"/>
      <c r="K225" s="118"/>
    </row>
    <row r="226" spans="1:11" ht="48" customHeight="1" x14ac:dyDescent="0.25">
      <c r="A226" s="116" t="str">
        <f>IFERROR(MATCH(222,Assessment!$N:$N,0),"")</f>
        <v/>
      </c>
      <c r="B226" s="124" t="str">
        <f>IF($A226="","",INDEX(Assessment!$K:$K,$A226))</f>
        <v/>
      </c>
      <c r="C226" s="124" t="str">
        <f>IF($A226="","",INDEX(Assessment!$B:$B,$A226))</f>
        <v/>
      </c>
      <c r="D226" s="124" t="str">
        <f>IF($A226="","",INDEX(Assessment!$D:$D,$A226))</f>
        <v/>
      </c>
      <c r="E226" s="124" t="str">
        <f>IF($A226="","",INDEX(Assessment!$E:$E,$A226))</f>
        <v/>
      </c>
      <c r="F226" s="124" t="str">
        <f>IF($A226="","",INDEX(Assessment!$G:$G,$A226))</f>
        <v/>
      </c>
      <c r="G226" s="124" t="str">
        <f>IF($A226="","",INDEX(Assessment!$H:$H,$A226))</f>
        <v/>
      </c>
      <c r="H226" s="120" t="str">
        <f>IF($A226="","",INDEX(Assessment!$I:$I,$A226))</f>
        <v/>
      </c>
      <c r="I226" s="118"/>
      <c r="J226" s="118"/>
      <c r="K226" s="118"/>
    </row>
    <row r="227" spans="1:11" ht="48" customHeight="1" x14ac:dyDescent="0.25">
      <c r="A227" s="116" t="str">
        <f>IFERROR(MATCH(223,Assessment!$N:$N,0),"")</f>
        <v/>
      </c>
      <c r="B227" s="117" t="str">
        <f>IF($A227="","",INDEX(Assessment!$K:$K,$A227))</f>
        <v/>
      </c>
      <c r="C227" s="117" t="str">
        <f>IF($A227="","",INDEX(Assessment!$B:$B,$A227))</f>
        <v/>
      </c>
      <c r="D227" s="117" t="str">
        <f>IF($A227="","",INDEX(Assessment!$D:$D,$A227))</f>
        <v/>
      </c>
      <c r="E227" s="117" t="str">
        <f>IF($A227="","",INDEX(Assessment!$E:$E,$A227))</f>
        <v/>
      </c>
      <c r="F227" s="117" t="str">
        <f>IF($A227="","",INDEX(Assessment!$G:$G,$A227))</f>
        <v/>
      </c>
      <c r="G227" s="117" t="str">
        <f>IF($A227="","",INDEX(Assessment!$H:$H,$A227))</f>
        <v/>
      </c>
      <c r="H227" s="38" t="str">
        <f>IF($A227="","",INDEX(Assessment!$I:$I,$A227))</f>
        <v/>
      </c>
      <c r="I227" s="118"/>
      <c r="J227" s="118"/>
      <c r="K227" s="118"/>
    </row>
    <row r="228" spans="1:11" ht="48" customHeight="1" x14ac:dyDescent="0.25">
      <c r="A228" s="116" t="str">
        <f>IFERROR(MATCH(224,Assessment!$N:$N,0),"")</f>
        <v/>
      </c>
      <c r="B228" s="124" t="str">
        <f>IF($A228="","",INDEX(Assessment!$K:$K,$A228))</f>
        <v/>
      </c>
      <c r="C228" s="124" t="str">
        <f>IF($A228="","",INDEX(Assessment!$B:$B,$A228))</f>
        <v/>
      </c>
      <c r="D228" s="124" t="str">
        <f>IF($A228="","",INDEX(Assessment!$D:$D,$A228))</f>
        <v/>
      </c>
      <c r="E228" s="124" t="str">
        <f>IF($A228="","",INDEX(Assessment!$E:$E,$A228))</f>
        <v/>
      </c>
      <c r="F228" s="124" t="str">
        <f>IF($A228="","",INDEX(Assessment!$G:$G,$A228))</f>
        <v/>
      </c>
      <c r="G228" s="124" t="str">
        <f>IF($A228="","",INDEX(Assessment!$H:$H,$A228))</f>
        <v/>
      </c>
      <c r="H228" s="120" t="str">
        <f>IF($A228="","",INDEX(Assessment!$I:$I,$A228))</f>
        <v/>
      </c>
      <c r="I228" s="118"/>
      <c r="J228" s="118"/>
      <c r="K228" s="118"/>
    </row>
    <row r="229" spans="1:11" ht="48" customHeight="1" x14ac:dyDescent="0.25">
      <c r="A229" s="116" t="str">
        <f>IFERROR(MATCH(225,Assessment!$N:$N,0),"")</f>
        <v/>
      </c>
      <c r="B229" s="117" t="str">
        <f>IF($A229="","",INDEX(Assessment!$K:$K,$A229))</f>
        <v/>
      </c>
      <c r="C229" s="117" t="str">
        <f>IF($A229="","",INDEX(Assessment!$B:$B,$A229))</f>
        <v/>
      </c>
      <c r="D229" s="117" t="str">
        <f>IF($A229="","",INDEX(Assessment!$D:$D,$A229))</f>
        <v/>
      </c>
      <c r="E229" s="117" t="str">
        <f>IF($A229="","",INDEX(Assessment!$E:$E,$A229))</f>
        <v/>
      </c>
      <c r="F229" s="117" t="str">
        <f>IF($A229="","",INDEX(Assessment!$G:$G,$A229))</f>
        <v/>
      </c>
      <c r="G229" s="117" t="str">
        <f>IF($A229="","",INDEX(Assessment!$H:$H,$A229))</f>
        <v/>
      </c>
      <c r="H229" s="38" t="str">
        <f>IF($A229="","",INDEX(Assessment!$I:$I,$A229))</f>
        <v/>
      </c>
      <c r="I229" s="118"/>
      <c r="J229" s="118"/>
      <c r="K229" s="118"/>
    </row>
    <row r="230" spans="1:11" ht="48" customHeight="1" x14ac:dyDescent="0.25">
      <c r="A230" s="116" t="str">
        <f>IFERROR(MATCH(226,Assessment!$N:$N,0),"")</f>
        <v/>
      </c>
      <c r="B230" s="124" t="str">
        <f>IF($A230="","",INDEX(Assessment!$K:$K,$A230))</f>
        <v/>
      </c>
      <c r="C230" s="124" t="str">
        <f>IF($A230="","",INDEX(Assessment!$B:$B,$A230))</f>
        <v/>
      </c>
      <c r="D230" s="124" t="str">
        <f>IF($A230="","",INDEX(Assessment!$D:$D,$A230))</f>
        <v/>
      </c>
      <c r="E230" s="124" t="str">
        <f>IF($A230="","",INDEX(Assessment!$E:$E,$A230))</f>
        <v/>
      </c>
      <c r="F230" s="124" t="str">
        <f>IF($A230="","",INDEX(Assessment!$G:$G,$A230))</f>
        <v/>
      </c>
      <c r="G230" s="124" t="str">
        <f>IF($A230="","",INDEX(Assessment!$H:$H,$A230))</f>
        <v/>
      </c>
      <c r="H230" s="120" t="str">
        <f>IF($A230="","",INDEX(Assessment!$I:$I,$A230))</f>
        <v/>
      </c>
      <c r="I230" s="118"/>
      <c r="J230" s="118"/>
      <c r="K230" s="118"/>
    </row>
    <row r="231" spans="1:11" ht="48" customHeight="1" x14ac:dyDescent="0.25">
      <c r="A231" s="116" t="str">
        <f>IFERROR(MATCH(227,Assessment!$N:$N,0),"")</f>
        <v/>
      </c>
      <c r="B231" s="117" t="str">
        <f>IF($A231="","",INDEX(Assessment!$K:$K,$A231))</f>
        <v/>
      </c>
      <c r="C231" s="117" t="str">
        <f>IF($A231="","",INDEX(Assessment!$B:$B,$A231))</f>
        <v/>
      </c>
      <c r="D231" s="117" t="str">
        <f>IF($A231="","",INDEX(Assessment!$D:$D,$A231))</f>
        <v/>
      </c>
      <c r="E231" s="117" t="str">
        <f>IF($A231="","",INDEX(Assessment!$E:$E,$A231))</f>
        <v/>
      </c>
      <c r="F231" s="117" t="str">
        <f>IF($A231="","",INDEX(Assessment!$G:$G,$A231))</f>
        <v/>
      </c>
      <c r="G231" s="117" t="str">
        <f>IF($A231="","",INDEX(Assessment!$H:$H,$A231))</f>
        <v/>
      </c>
      <c r="H231" s="38" t="str">
        <f>IF($A231="","",INDEX(Assessment!$I:$I,$A231))</f>
        <v/>
      </c>
      <c r="I231" s="118"/>
      <c r="J231" s="118"/>
      <c r="K231" s="118"/>
    </row>
    <row r="232" spans="1:11" ht="48" customHeight="1" x14ac:dyDescent="0.25">
      <c r="A232" s="116" t="str">
        <f>IFERROR(MATCH(228,Assessment!$N:$N,0),"")</f>
        <v/>
      </c>
      <c r="B232" s="124" t="str">
        <f>IF($A232="","",INDEX(Assessment!$K:$K,$A232))</f>
        <v/>
      </c>
      <c r="C232" s="124" t="str">
        <f>IF($A232="","",INDEX(Assessment!$B:$B,$A232))</f>
        <v/>
      </c>
      <c r="D232" s="124" t="str">
        <f>IF($A232="","",INDEX(Assessment!$D:$D,$A232))</f>
        <v/>
      </c>
      <c r="E232" s="124" t="str">
        <f>IF($A232="","",INDEX(Assessment!$E:$E,$A232))</f>
        <v/>
      </c>
      <c r="F232" s="124" t="str">
        <f>IF($A232="","",INDEX(Assessment!$G:$G,$A232))</f>
        <v/>
      </c>
      <c r="G232" s="124" t="str">
        <f>IF($A232="","",INDEX(Assessment!$H:$H,$A232))</f>
        <v/>
      </c>
      <c r="H232" s="120" t="str">
        <f>IF($A232="","",INDEX(Assessment!$I:$I,$A232))</f>
        <v/>
      </c>
      <c r="I232" s="118"/>
      <c r="J232" s="118"/>
      <c r="K232" s="118"/>
    </row>
    <row r="233" spans="1:11" ht="48" customHeight="1" x14ac:dyDescent="0.25">
      <c r="A233" s="116" t="str">
        <f>IFERROR(MATCH(229,Assessment!$N:$N,0),"")</f>
        <v/>
      </c>
      <c r="B233" s="117" t="str">
        <f>IF($A233="","",INDEX(Assessment!$K:$K,$A233))</f>
        <v/>
      </c>
      <c r="C233" s="117" t="str">
        <f>IF($A233="","",INDEX(Assessment!$B:$B,$A233))</f>
        <v/>
      </c>
      <c r="D233" s="117" t="str">
        <f>IF($A233="","",INDEX(Assessment!$D:$D,$A233))</f>
        <v/>
      </c>
      <c r="E233" s="117" t="str">
        <f>IF($A233="","",INDEX(Assessment!$E:$E,$A233))</f>
        <v/>
      </c>
      <c r="F233" s="117" t="str">
        <f>IF($A233="","",INDEX(Assessment!$G:$G,$A233))</f>
        <v/>
      </c>
      <c r="G233" s="117" t="str">
        <f>IF($A233="","",INDEX(Assessment!$H:$H,$A233))</f>
        <v/>
      </c>
      <c r="H233" s="38" t="str">
        <f>IF($A233="","",INDEX(Assessment!$I:$I,$A233))</f>
        <v/>
      </c>
      <c r="I233" s="118"/>
      <c r="J233" s="118"/>
      <c r="K233" s="118"/>
    </row>
    <row r="234" spans="1:11" ht="48" customHeight="1" x14ac:dyDescent="0.25">
      <c r="A234" s="116" t="str">
        <f>IFERROR(MATCH(230,Assessment!$N:$N,0),"")</f>
        <v/>
      </c>
      <c r="B234" s="124" t="str">
        <f>IF($A234="","",INDEX(Assessment!$K:$K,$A234))</f>
        <v/>
      </c>
      <c r="C234" s="124" t="str">
        <f>IF($A234="","",INDEX(Assessment!$B:$B,$A234))</f>
        <v/>
      </c>
      <c r="D234" s="124" t="str">
        <f>IF($A234="","",INDEX(Assessment!$D:$D,$A234))</f>
        <v/>
      </c>
      <c r="E234" s="124" t="str">
        <f>IF($A234="","",INDEX(Assessment!$E:$E,$A234))</f>
        <v/>
      </c>
      <c r="F234" s="124" t="str">
        <f>IF($A234="","",INDEX(Assessment!$G:$G,$A234))</f>
        <v/>
      </c>
      <c r="G234" s="124" t="str">
        <f>IF($A234="","",INDEX(Assessment!$H:$H,$A234))</f>
        <v/>
      </c>
      <c r="H234" s="120" t="str">
        <f>IF($A234="","",INDEX(Assessment!$I:$I,$A234))</f>
        <v/>
      </c>
      <c r="I234" s="118"/>
      <c r="J234" s="118"/>
      <c r="K234" s="118"/>
    </row>
    <row r="235" spans="1:11" ht="48" customHeight="1" x14ac:dyDescent="0.25">
      <c r="A235" s="116" t="str">
        <f>IFERROR(MATCH(231,Assessment!$N:$N,0),"")</f>
        <v/>
      </c>
      <c r="B235" s="117" t="str">
        <f>IF($A235="","",INDEX(Assessment!$K:$K,$A235))</f>
        <v/>
      </c>
      <c r="C235" s="117" t="str">
        <f>IF($A235="","",INDEX(Assessment!$B:$B,$A235))</f>
        <v/>
      </c>
      <c r="D235" s="117" t="str">
        <f>IF($A235="","",INDEX(Assessment!$D:$D,$A235))</f>
        <v/>
      </c>
      <c r="E235" s="117" t="str">
        <f>IF($A235="","",INDEX(Assessment!$E:$E,$A235))</f>
        <v/>
      </c>
      <c r="F235" s="117" t="str">
        <f>IF($A235="","",INDEX(Assessment!$G:$G,$A235))</f>
        <v/>
      </c>
      <c r="G235" s="117" t="str">
        <f>IF($A235="","",INDEX(Assessment!$H:$H,$A235))</f>
        <v/>
      </c>
      <c r="H235" s="38" t="str">
        <f>IF($A235="","",INDEX(Assessment!$I:$I,$A235))</f>
        <v/>
      </c>
      <c r="I235" s="118"/>
      <c r="J235" s="118"/>
      <c r="K235" s="118"/>
    </row>
    <row r="236" spans="1:11" ht="48" customHeight="1" x14ac:dyDescent="0.25">
      <c r="A236" s="116" t="str">
        <f>IFERROR(MATCH(232,Assessment!$N:$N,0),"")</f>
        <v/>
      </c>
      <c r="B236" s="124" t="str">
        <f>IF($A236="","",INDEX(Assessment!$K:$K,$A236))</f>
        <v/>
      </c>
      <c r="C236" s="124" t="str">
        <f>IF($A236="","",INDEX(Assessment!$B:$B,$A236))</f>
        <v/>
      </c>
      <c r="D236" s="124" t="str">
        <f>IF($A236="","",INDEX(Assessment!$D:$D,$A236))</f>
        <v/>
      </c>
      <c r="E236" s="124" t="str">
        <f>IF($A236="","",INDEX(Assessment!$E:$E,$A236))</f>
        <v/>
      </c>
      <c r="F236" s="124" t="str">
        <f>IF($A236="","",INDEX(Assessment!$G:$G,$A236))</f>
        <v/>
      </c>
      <c r="G236" s="124" t="str">
        <f>IF($A236="","",INDEX(Assessment!$H:$H,$A236))</f>
        <v/>
      </c>
      <c r="H236" s="120" t="str">
        <f>IF($A236="","",INDEX(Assessment!$I:$I,$A236))</f>
        <v/>
      </c>
      <c r="I236" s="118"/>
      <c r="J236" s="118"/>
      <c r="K236" s="118"/>
    </row>
    <row r="237" spans="1:11" ht="48" customHeight="1" x14ac:dyDescent="0.25">
      <c r="A237" s="116" t="str">
        <f>IFERROR(MATCH(233,Assessment!$N:$N,0),"")</f>
        <v/>
      </c>
      <c r="B237" s="117" t="str">
        <f>IF($A237="","",INDEX(Assessment!$K:$K,$A237))</f>
        <v/>
      </c>
      <c r="C237" s="117" t="str">
        <f>IF($A237="","",INDEX(Assessment!$B:$B,$A237))</f>
        <v/>
      </c>
      <c r="D237" s="117" t="str">
        <f>IF($A237="","",INDEX(Assessment!$D:$D,$A237))</f>
        <v/>
      </c>
      <c r="E237" s="117" t="str">
        <f>IF($A237="","",INDEX(Assessment!$E:$E,$A237))</f>
        <v/>
      </c>
      <c r="F237" s="117" t="str">
        <f>IF($A237="","",INDEX(Assessment!$G:$G,$A237))</f>
        <v/>
      </c>
      <c r="G237" s="117" t="str">
        <f>IF($A237="","",INDEX(Assessment!$H:$H,$A237))</f>
        <v/>
      </c>
      <c r="H237" s="38" t="str">
        <f>IF($A237="","",INDEX(Assessment!$I:$I,$A237))</f>
        <v/>
      </c>
      <c r="I237" s="118"/>
      <c r="J237" s="118"/>
      <c r="K237" s="118"/>
    </row>
    <row r="238" spans="1:11" ht="48" customHeight="1" x14ac:dyDescent="0.25">
      <c r="A238" s="116" t="str">
        <f>IFERROR(MATCH(234,Assessment!$N:$N,0),"")</f>
        <v/>
      </c>
      <c r="B238" s="124" t="str">
        <f>IF($A238="","",INDEX(Assessment!$K:$K,$A238))</f>
        <v/>
      </c>
      <c r="C238" s="124" t="str">
        <f>IF($A238="","",INDEX(Assessment!$B:$B,$A238))</f>
        <v/>
      </c>
      <c r="D238" s="124" t="str">
        <f>IF($A238="","",INDEX(Assessment!$D:$D,$A238))</f>
        <v/>
      </c>
      <c r="E238" s="124" t="str">
        <f>IF($A238="","",INDEX(Assessment!$E:$E,$A238))</f>
        <v/>
      </c>
      <c r="F238" s="124" t="str">
        <f>IF($A238="","",INDEX(Assessment!$G:$G,$A238))</f>
        <v/>
      </c>
      <c r="G238" s="124" t="str">
        <f>IF($A238="","",INDEX(Assessment!$H:$H,$A238))</f>
        <v/>
      </c>
      <c r="H238" s="120" t="str">
        <f>IF($A238="","",INDEX(Assessment!$I:$I,$A238))</f>
        <v/>
      </c>
      <c r="I238" s="118"/>
      <c r="J238" s="118"/>
      <c r="K238" s="118"/>
    </row>
  </sheetData>
  <mergeCells count="2">
    <mergeCell ref="A1:K2"/>
    <mergeCell ref="A3:K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7"/>
  <sheetViews>
    <sheetView showGridLines="0" zoomScale="150" zoomScaleNormal="150" workbookViewId="0">
      <pane xSplit="2" ySplit="6" topLeftCell="C7" activePane="bottomRight" state="frozen"/>
      <selection pane="topRight" activeCell="C1" sqref="C1"/>
      <selection pane="bottomLeft" activeCell="A7" sqref="A7"/>
      <selection pane="bottomRight" activeCell="H7" sqref="H7"/>
    </sheetView>
  </sheetViews>
  <sheetFormatPr defaultColWidth="8.7109375" defaultRowHeight="15" x14ac:dyDescent="0.25"/>
  <cols>
    <col min="1" max="1" width="6" customWidth="1"/>
    <col min="2" max="2" width="30" customWidth="1"/>
    <col min="3" max="7" width="12" customWidth="1"/>
    <col min="8" max="9" width="7" customWidth="1"/>
    <col min="10" max="10" width="12" customWidth="1"/>
    <col min="11" max="11" width="13" customWidth="1"/>
  </cols>
  <sheetData>
    <row r="1" spans="1:12" ht="25.5" customHeight="1" x14ac:dyDescent="0.25">
      <c r="A1" s="144" t="s">
        <v>2686</v>
      </c>
      <c r="B1" s="144"/>
      <c r="C1" s="144"/>
      <c r="D1" s="144"/>
      <c r="E1" s="144"/>
      <c r="F1" s="144"/>
      <c r="G1" s="144"/>
      <c r="H1" s="144"/>
    </row>
    <row r="2" spans="1:12" ht="25.5" customHeight="1" x14ac:dyDescent="0.25">
      <c r="A2" s="144"/>
      <c r="B2" s="144"/>
      <c r="C2" s="144"/>
      <c r="D2" s="144"/>
      <c r="E2" s="144"/>
      <c r="F2" s="144"/>
      <c r="G2" s="144"/>
      <c r="H2" s="144"/>
    </row>
    <row r="4" spans="1:12" ht="15" customHeight="1" x14ac:dyDescent="0.25">
      <c r="A4" s="125" t="s">
        <v>2687</v>
      </c>
      <c r="B4" s="126">
        <f>Cover!B5</f>
        <v>0</v>
      </c>
      <c r="D4" s="125" t="s">
        <v>2688</v>
      </c>
      <c r="E4" s="126">
        <f>Cover!B6</f>
        <v>0</v>
      </c>
      <c r="G4" s="125" t="s">
        <v>2689</v>
      </c>
      <c r="H4" s="126">
        <f>Cover!B7</f>
        <v>0</v>
      </c>
    </row>
    <row r="6" spans="1:12" ht="33.75" customHeight="1" x14ac:dyDescent="0.25">
      <c r="A6" s="127" t="s">
        <v>2690</v>
      </c>
      <c r="B6" s="127" t="s">
        <v>36</v>
      </c>
      <c r="C6" s="127" t="s">
        <v>2691</v>
      </c>
      <c r="D6" s="127" t="s">
        <v>2692</v>
      </c>
      <c r="E6" s="127" t="s">
        <v>2693</v>
      </c>
      <c r="F6" s="127" t="s">
        <v>6</v>
      </c>
      <c r="G6" s="127" t="s">
        <v>10</v>
      </c>
      <c r="H6" s="127" t="s">
        <v>14</v>
      </c>
      <c r="I6" s="127" t="s">
        <v>18</v>
      </c>
      <c r="J6" s="127" t="s">
        <v>2694</v>
      </c>
      <c r="K6" s="127" t="s">
        <v>2695</v>
      </c>
    </row>
    <row r="7" spans="1:12" ht="19.5" customHeight="1" x14ac:dyDescent="0.25">
      <c r="A7" s="128">
        <v>1</v>
      </c>
      <c r="B7" s="129" t="s">
        <v>49</v>
      </c>
      <c r="C7" s="130">
        <f>COUNTIF(Assessment!$A$5:$A$730,$A7)</f>
        <v>13</v>
      </c>
      <c r="D7" s="130">
        <f>COUNTIFS(Assessment!$A$5:$A$730,$A7,Assessment!$H$5:$H$730,"&lt;&gt;")</f>
        <v>0</v>
      </c>
      <c r="E7" s="130">
        <f>COUNTIFS(Assessment!$A$5:$A$730,$A7,Assessment!$I$5:$I$730,"&lt;&gt;")</f>
        <v>13</v>
      </c>
      <c r="F7" s="130">
        <f>SUMPRODUCT((Assessment!$A$5:$A$730=$A7)*(Assessment!$J$5:$J$730="PC"))</f>
        <v>0</v>
      </c>
      <c r="G7" s="130">
        <f>SUMPRODUCT((Assessment!$A$5:$A$730=$A7)*(Assessment!$J$5:$J$730="AC"))</f>
        <v>0</v>
      </c>
      <c r="H7" s="130" cm="1">
        <f t="array" ref="H7">SUMPRODUCT((Assessment!$A$5:$A$730=$A7)*(Assessment!$J$5:$J$730="FB"))</f>
        <v>0</v>
      </c>
      <c r="I7" s="130">
        <f>SUMPRODUCT((Assessment!$A$5:$A$730=$A7)*(Assessment!$J$5:$J$730="NA"))</f>
        <v>0</v>
      </c>
      <c r="J7" s="130">
        <f t="shared" ref="J7:J22" si="0">C7-F7-G7-H7-I7</f>
        <v>13</v>
      </c>
      <c r="K7" s="131" t="str">
        <f t="shared" ref="K7:K23" si="1">IF(OR($C7=0,$D7&lt;$C7,$J7&gt;0),"—",IFERROR(($F7+$G7)/($F7+$G7+$H7),"—"))</f>
        <v>—</v>
      </c>
      <c r="L7" s="132"/>
    </row>
    <row r="8" spans="1:12" ht="19.5" customHeight="1" x14ac:dyDescent="0.25">
      <c r="A8" s="133">
        <v>2</v>
      </c>
      <c r="B8" s="134" t="s">
        <v>124</v>
      </c>
      <c r="C8" s="135">
        <f>COUNTIF(Assessment!$A$5:$A$730,$A8)</f>
        <v>15</v>
      </c>
      <c r="D8" s="135">
        <f>COUNTIFS(Assessment!$A$5:$A$730,$A8,Assessment!$H$5:$H$730,"&lt;&gt;")</f>
        <v>0</v>
      </c>
      <c r="E8" s="135">
        <f>COUNTIFS(Assessment!$A$5:$A$730,$A8,Assessment!$I$5:$I$730,"&lt;&gt;")</f>
        <v>15</v>
      </c>
      <c r="F8" s="135">
        <f>SUMPRODUCT((Assessment!$A$5:$A$730=$A8)*(Assessment!$J$5:$J$730="PC"))</f>
        <v>0</v>
      </c>
      <c r="G8" s="135">
        <f>SUMPRODUCT((Assessment!$A$5:$A$730=$A8)*(Assessment!$J$5:$J$730="AC"))</f>
        <v>0</v>
      </c>
      <c r="H8" s="135" cm="1">
        <f t="array" ref="H8">SUMPRODUCT((Assessment!$A$5:$A$730=$A8)*(Assessment!$J$5:$J$730="FB"))</f>
        <v>0</v>
      </c>
      <c r="I8" s="135">
        <f>SUMPRODUCT((Assessment!$A$5:$A$730=$A8)*(Assessment!$J$5:$J$730="NA"))</f>
        <v>0</v>
      </c>
      <c r="J8" s="135">
        <f t="shared" si="0"/>
        <v>15</v>
      </c>
      <c r="K8" s="136" t="str">
        <f t="shared" si="1"/>
        <v>—</v>
      </c>
      <c r="L8" s="132"/>
    </row>
    <row r="9" spans="1:12" ht="19.5" customHeight="1" x14ac:dyDescent="0.25">
      <c r="A9" s="128">
        <v>3</v>
      </c>
      <c r="B9" s="129" t="s">
        <v>209</v>
      </c>
      <c r="C9" s="130">
        <f>COUNTIF(Assessment!$A$5:$A$730,$A9)</f>
        <v>18</v>
      </c>
      <c r="D9" s="130">
        <f>COUNTIFS(Assessment!$A$5:$A$730,$A9,Assessment!$H$5:$H$730,"&lt;&gt;")</f>
        <v>0</v>
      </c>
      <c r="E9" s="130">
        <f>COUNTIFS(Assessment!$A$5:$A$730,$A9,Assessment!$I$5:$I$730,"&lt;&gt;")</f>
        <v>18</v>
      </c>
      <c r="F9" s="130">
        <f>SUMPRODUCT((Assessment!$A$5:$A$730=$A9)*(Assessment!$J$5:$J$730="PC"))</f>
        <v>0</v>
      </c>
      <c r="G9" s="130">
        <f>SUMPRODUCT((Assessment!$A$5:$A$730=$A9)*(Assessment!$J$5:$J$730="AC"))</f>
        <v>0</v>
      </c>
      <c r="H9" s="130" cm="1">
        <f t="array" ref="H9">SUMPRODUCT((Assessment!$A$5:$A$730=$A9)*(Assessment!$J$5:$J$730="FB"))</f>
        <v>0</v>
      </c>
      <c r="I9" s="130">
        <f>SUMPRODUCT((Assessment!$A$5:$A$730=$A9)*(Assessment!$J$5:$J$730="NA"))</f>
        <v>0</v>
      </c>
      <c r="J9" s="130">
        <f t="shared" si="0"/>
        <v>18</v>
      </c>
      <c r="K9" s="131" t="str">
        <f t="shared" si="1"/>
        <v>—</v>
      </c>
      <c r="L9" s="132"/>
    </row>
    <row r="10" spans="1:12" ht="19.5" customHeight="1" x14ac:dyDescent="0.25">
      <c r="A10" s="133">
        <v>4</v>
      </c>
      <c r="B10" s="134" t="s">
        <v>310</v>
      </c>
      <c r="C10" s="135">
        <f>COUNTIF(Assessment!$A$5:$A$730,$A10)</f>
        <v>20</v>
      </c>
      <c r="D10" s="135">
        <f>COUNTIFS(Assessment!$A$5:$A$730,$A10,Assessment!$H$5:$H$730,"&lt;&gt;")</f>
        <v>0</v>
      </c>
      <c r="E10" s="135">
        <f>COUNTIFS(Assessment!$A$5:$A$730,$A10,Assessment!$I$5:$I$730,"&lt;&gt;")</f>
        <v>20</v>
      </c>
      <c r="F10" s="135">
        <f>SUMPRODUCT((Assessment!$A$5:$A$730=$A10)*(Assessment!$J$5:$J$730="PC"))</f>
        <v>0</v>
      </c>
      <c r="G10" s="135">
        <f>SUMPRODUCT((Assessment!$A$5:$A$730=$A10)*(Assessment!$J$5:$J$730="AC"))</f>
        <v>0</v>
      </c>
      <c r="H10" s="135" cm="1">
        <f t="array" ref="H10">SUMPRODUCT((Assessment!$A$5:$A$730=$A10)*(Assessment!$J$5:$J$730="FB"))</f>
        <v>0</v>
      </c>
      <c r="I10" s="135">
        <f>SUMPRODUCT((Assessment!$A$5:$A$730=$A10)*(Assessment!$J$5:$J$730="NA"))</f>
        <v>0</v>
      </c>
      <c r="J10" s="135">
        <f t="shared" si="0"/>
        <v>20</v>
      </c>
      <c r="K10" s="136" t="str">
        <f t="shared" si="1"/>
        <v>—</v>
      </c>
      <c r="L10" s="132"/>
    </row>
    <row r="11" spans="1:12" ht="19.5" customHeight="1" x14ac:dyDescent="0.25">
      <c r="A11" s="128">
        <v>5</v>
      </c>
      <c r="B11" s="129" t="s">
        <v>419</v>
      </c>
      <c r="C11" s="130">
        <f>COUNTIF(Assessment!$A$5:$A$730,$A11)</f>
        <v>22</v>
      </c>
      <c r="D11" s="130">
        <f>COUNTIFS(Assessment!$A$5:$A$730,$A11,Assessment!$H$5:$H$730,"&lt;&gt;")</f>
        <v>0</v>
      </c>
      <c r="E11" s="130">
        <f>COUNTIFS(Assessment!$A$5:$A$730,$A11,Assessment!$I$5:$I$730,"&lt;&gt;")</f>
        <v>22</v>
      </c>
      <c r="F11" s="130">
        <f>SUMPRODUCT((Assessment!$A$5:$A$730=$A11)*(Assessment!$J$5:$J$730="PC"))</f>
        <v>0</v>
      </c>
      <c r="G11" s="130">
        <f>SUMPRODUCT((Assessment!$A$5:$A$730=$A11)*(Assessment!$J$5:$J$730="AC"))</f>
        <v>0</v>
      </c>
      <c r="H11" s="130" cm="1">
        <f t="array" ref="H11">SUMPRODUCT((Assessment!$A$5:$A$730=$A11)*(Assessment!$J$5:$J$730="FB"))</f>
        <v>0</v>
      </c>
      <c r="I11" s="130">
        <f>SUMPRODUCT((Assessment!$A$5:$A$730=$A11)*(Assessment!$J$5:$J$730="NA"))</f>
        <v>0</v>
      </c>
      <c r="J11" s="130">
        <f t="shared" si="0"/>
        <v>22</v>
      </c>
      <c r="K11" s="131" t="str">
        <f t="shared" si="1"/>
        <v>—</v>
      </c>
      <c r="L11" s="132"/>
    </row>
    <row r="12" spans="1:12" ht="19.5" customHeight="1" x14ac:dyDescent="0.25">
      <c r="A12" s="133">
        <v>6</v>
      </c>
      <c r="B12" s="134" t="s">
        <v>542</v>
      </c>
      <c r="C12" s="135">
        <f>COUNTIF(Assessment!$A$5:$A$730,$A12)</f>
        <v>428</v>
      </c>
      <c r="D12" s="135">
        <f>COUNTIFS(Assessment!$A$5:$A$730,$A12,Assessment!$H$5:$H$730,"&lt;&gt;")</f>
        <v>0</v>
      </c>
      <c r="E12" s="135">
        <f>COUNTIFS(Assessment!$A$5:$A$730,$A12,Assessment!$I$5:$I$730,"&lt;&gt;")</f>
        <v>219</v>
      </c>
      <c r="F12" s="135">
        <f>SUMPRODUCT((Assessment!$A$5:$A$730=$A12)*(Assessment!$J$5:$J$730="PC"))</f>
        <v>0</v>
      </c>
      <c r="G12" s="135">
        <f>SUMPRODUCT((Assessment!$A$5:$A$730=$A12)*(Assessment!$J$5:$J$730="AC"))</f>
        <v>0</v>
      </c>
      <c r="H12" s="135" cm="1">
        <f t="array" ref="H12">SUMPRODUCT((Assessment!$A$5:$A$730=$A12)*(Assessment!$J$5:$J$730="FB"))</f>
        <v>0</v>
      </c>
      <c r="I12" s="135">
        <f>SUMPRODUCT((Assessment!$A$5:$A$730=$A12)*(Assessment!$J$5:$J$730="NA"))</f>
        <v>0</v>
      </c>
      <c r="J12" s="135">
        <f t="shared" si="0"/>
        <v>428</v>
      </c>
      <c r="K12" s="136" t="str">
        <f t="shared" si="1"/>
        <v>—</v>
      </c>
      <c r="L12" s="132"/>
    </row>
    <row r="13" spans="1:12" ht="19.5" customHeight="1" x14ac:dyDescent="0.25">
      <c r="A13" s="128">
        <v>7</v>
      </c>
      <c r="B13" s="129" t="s">
        <v>2217</v>
      </c>
      <c r="C13" s="130">
        <f>COUNTIF(Assessment!$A$5:$A$730,$A13)</f>
        <v>57</v>
      </c>
      <c r="D13" s="130">
        <f>COUNTIFS(Assessment!$A$5:$A$730,$A13,Assessment!$H$5:$H$730,"&lt;&gt;")</f>
        <v>0</v>
      </c>
      <c r="E13" s="130">
        <f>COUNTIFS(Assessment!$A$5:$A$730,$A13,Assessment!$I$5:$I$730,"&lt;&gt;")</f>
        <v>3</v>
      </c>
      <c r="F13" s="130">
        <f>SUMPRODUCT((Assessment!$A$5:$A$730=$A13)*(Assessment!$J$5:$J$730="PC"))</f>
        <v>0</v>
      </c>
      <c r="G13" s="130">
        <f>SUMPRODUCT((Assessment!$A$5:$A$730=$A13)*(Assessment!$J$5:$J$730="AC"))</f>
        <v>0</v>
      </c>
      <c r="H13" s="130" cm="1">
        <f t="array" ref="H13">SUMPRODUCT((Assessment!$A$5:$A$730=$A13)*(Assessment!$J$5:$J$730="FB"))</f>
        <v>0</v>
      </c>
      <c r="I13" s="130">
        <f>SUMPRODUCT((Assessment!$A$5:$A$730=$A13)*(Assessment!$J$5:$J$730="NA"))</f>
        <v>0</v>
      </c>
      <c r="J13" s="130">
        <f t="shared" si="0"/>
        <v>57</v>
      </c>
      <c r="K13" s="131" t="str">
        <f t="shared" si="1"/>
        <v>—</v>
      </c>
      <c r="L13" s="132"/>
    </row>
    <row r="14" spans="1:12" ht="19.5" customHeight="1" x14ac:dyDescent="0.25">
      <c r="A14" s="133">
        <v>8</v>
      </c>
      <c r="B14" s="134" t="s">
        <v>148</v>
      </c>
      <c r="C14" s="135">
        <f>COUNTIF(Assessment!$A$5:$A$730,$A14)</f>
        <v>8</v>
      </c>
      <c r="D14" s="135">
        <f>COUNTIFS(Assessment!$A$5:$A$730,$A14,Assessment!$H$5:$H$730,"&lt;&gt;")</f>
        <v>0</v>
      </c>
      <c r="E14" s="135">
        <f>COUNTIFS(Assessment!$A$5:$A$730,$A14,Assessment!$I$5:$I$730,"&lt;&gt;")</f>
        <v>8</v>
      </c>
      <c r="F14" s="135">
        <f>SUMPRODUCT((Assessment!$A$5:$A$730=$A14)*(Assessment!$J$5:$J$730="PC"))</f>
        <v>0</v>
      </c>
      <c r="G14" s="135">
        <f>SUMPRODUCT((Assessment!$A$5:$A$730=$A14)*(Assessment!$J$5:$J$730="AC"))</f>
        <v>0</v>
      </c>
      <c r="H14" s="135" cm="1">
        <f t="array" ref="H14">SUMPRODUCT((Assessment!$A$5:$A$730=$A14)*(Assessment!$J$5:$J$730="FB"))</f>
        <v>0</v>
      </c>
      <c r="I14" s="135">
        <f>SUMPRODUCT((Assessment!$A$5:$A$730=$A14)*(Assessment!$J$5:$J$730="NA"))</f>
        <v>0</v>
      </c>
      <c r="J14" s="135">
        <f t="shared" si="0"/>
        <v>8</v>
      </c>
      <c r="K14" s="136" t="str">
        <f t="shared" si="1"/>
        <v>—</v>
      </c>
      <c r="L14" s="132"/>
    </row>
    <row r="15" spans="1:12" ht="19.5" customHeight="1" x14ac:dyDescent="0.25">
      <c r="A15" s="128">
        <v>9</v>
      </c>
      <c r="B15" s="129" t="s">
        <v>2445</v>
      </c>
      <c r="C15" s="130">
        <f>COUNTIF(Assessment!$A$5:$A$730,$A15)</f>
        <v>6</v>
      </c>
      <c r="D15" s="130">
        <f>COUNTIFS(Assessment!$A$5:$A$730,$A15,Assessment!$H$5:$H$730,"&lt;&gt;")</f>
        <v>0</v>
      </c>
      <c r="E15" s="130">
        <f>COUNTIFS(Assessment!$A$5:$A$730,$A15,Assessment!$I$5:$I$730,"&lt;&gt;")</f>
        <v>6</v>
      </c>
      <c r="F15" s="130">
        <f>SUMPRODUCT((Assessment!$A$5:$A$730=$A15)*(Assessment!$J$5:$J$730="PC"))</f>
        <v>0</v>
      </c>
      <c r="G15" s="130">
        <f>SUMPRODUCT((Assessment!$A$5:$A$730=$A15)*(Assessment!$J$5:$J$730="AC"))</f>
        <v>0</v>
      </c>
      <c r="H15" s="130" cm="1">
        <f t="array" ref="H15">SUMPRODUCT((Assessment!$A$5:$A$730=$A15)*(Assessment!$J$5:$J$730="FB"))</f>
        <v>0</v>
      </c>
      <c r="I15" s="130">
        <f>SUMPRODUCT((Assessment!$A$5:$A$730=$A15)*(Assessment!$J$5:$J$730="NA"))</f>
        <v>0</v>
      </c>
      <c r="J15" s="130">
        <f t="shared" si="0"/>
        <v>6</v>
      </c>
      <c r="K15" s="131" t="str">
        <f t="shared" si="1"/>
        <v>—</v>
      </c>
      <c r="L15" s="132"/>
    </row>
    <row r="16" spans="1:12" ht="19.5" customHeight="1" x14ac:dyDescent="0.25">
      <c r="A16" s="133">
        <v>10</v>
      </c>
      <c r="B16" s="134" t="s">
        <v>171</v>
      </c>
      <c r="C16" s="135">
        <f>COUNTIF(Assessment!$A$5:$A$730,$A16)</f>
        <v>6</v>
      </c>
      <c r="D16" s="135">
        <f>COUNTIFS(Assessment!$A$5:$A$730,$A16,Assessment!$H$5:$H$730,"&lt;&gt;")</f>
        <v>0</v>
      </c>
      <c r="E16" s="135">
        <f>COUNTIFS(Assessment!$A$5:$A$730,$A16,Assessment!$I$5:$I$730,"&lt;&gt;")</f>
        <v>6</v>
      </c>
      <c r="F16" s="135">
        <f>SUMPRODUCT((Assessment!$A$5:$A$730=$A16)*(Assessment!$J$5:$J$730="PC"))</f>
        <v>0</v>
      </c>
      <c r="G16" s="135">
        <f>SUMPRODUCT((Assessment!$A$5:$A$730=$A16)*(Assessment!$J$5:$J$730="AC"))</f>
        <v>0</v>
      </c>
      <c r="H16" s="135" cm="1">
        <f t="array" ref="H16">SUMPRODUCT((Assessment!$A$5:$A$730=$A16)*(Assessment!$J$5:$J$730="FB"))</f>
        <v>0</v>
      </c>
      <c r="I16" s="135">
        <f>SUMPRODUCT((Assessment!$A$5:$A$730=$A16)*(Assessment!$J$5:$J$730="NA"))</f>
        <v>0</v>
      </c>
      <c r="J16" s="135">
        <f t="shared" si="0"/>
        <v>6</v>
      </c>
      <c r="K16" s="136" t="str">
        <f t="shared" si="1"/>
        <v>—</v>
      </c>
      <c r="L16" s="132"/>
    </row>
    <row r="17" spans="1:12" ht="19.5" customHeight="1" x14ac:dyDescent="0.25">
      <c r="A17" s="128">
        <v>11</v>
      </c>
      <c r="B17" s="129" t="s">
        <v>188</v>
      </c>
      <c r="C17" s="130">
        <f>COUNTIF(Assessment!$A$5:$A$730,$A17)</f>
        <v>7</v>
      </c>
      <c r="D17" s="130">
        <f>COUNTIFS(Assessment!$A$5:$A$730,$A17,Assessment!$H$5:$H$730,"&lt;&gt;")</f>
        <v>0</v>
      </c>
      <c r="E17" s="130">
        <f>COUNTIFS(Assessment!$A$5:$A$730,$A17,Assessment!$I$5:$I$730,"&lt;&gt;")</f>
        <v>7</v>
      </c>
      <c r="F17" s="130">
        <f>SUMPRODUCT((Assessment!$A$5:$A$730=$A17)*(Assessment!$J$5:$J$730="PC"))</f>
        <v>0</v>
      </c>
      <c r="G17" s="130">
        <f>SUMPRODUCT((Assessment!$A$5:$A$730=$A17)*(Assessment!$J$5:$J$730="AC"))</f>
        <v>0</v>
      </c>
      <c r="H17" s="130" cm="1">
        <f t="array" ref="H17">SUMPRODUCT((Assessment!$A$5:$A$730=$A17)*(Assessment!$J$5:$J$730="FB"))</f>
        <v>0</v>
      </c>
      <c r="I17" s="130">
        <f>SUMPRODUCT((Assessment!$A$5:$A$730=$A17)*(Assessment!$J$5:$J$730="NA"))</f>
        <v>0</v>
      </c>
      <c r="J17" s="130">
        <f t="shared" si="0"/>
        <v>7</v>
      </c>
      <c r="K17" s="131" t="str">
        <f t="shared" si="1"/>
        <v>—</v>
      </c>
      <c r="L17" s="132"/>
    </row>
    <row r="18" spans="1:12" ht="19.5" customHeight="1" x14ac:dyDescent="0.25">
      <c r="A18" s="133">
        <v>12</v>
      </c>
      <c r="B18" s="134" t="s">
        <v>470</v>
      </c>
      <c r="C18" s="135">
        <f>COUNTIF(Assessment!$A$5:$A$730,$A18)</f>
        <v>7</v>
      </c>
      <c r="D18" s="135">
        <f>COUNTIFS(Assessment!$A$5:$A$730,$A18,Assessment!$H$5:$H$730,"&lt;&gt;")</f>
        <v>0</v>
      </c>
      <c r="E18" s="135">
        <f>COUNTIFS(Assessment!$A$5:$A$730,$A18,Assessment!$I$5:$I$730,"&lt;&gt;")</f>
        <v>7</v>
      </c>
      <c r="F18" s="135">
        <f>SUMPRODUCT((Assessment!$A$5:$A$730=$A18)*(Assessment!$J$5:$J$730="PC"))</f>
        <v>0</v>
      </c>
      <c r="G18" s="135">
        <f>SUMPRODUCT((Assessment!$A$5:$A$730=$A18)*(Assessment!$J$5:$J$730="AC"))</f>
        <v>0</v>
      </c>
      <c r="H18" s="135" cm="1">
        <f t="array" ref="H18">SUMPRODUCT((Assessment!$A$5:$A$730=$A18)*(Assessment!$J$5:$J$730="FB"))</f>
        <v>0</v>
      </c>
      <c r="I18" s="135">
        <f>SUMPRODUCT((Assessment!$A$5:$A$730=$A18)*(Assessment!$J$5:$J$730="NA"))</f>
        <v>0</v>
      </c>
      <c r="J18" s="135">
        <f t="shared" si="0"/>
        <v>7</v>
      </c>
      <c r="K18" s="136" t="str">
        <f t="shared" si="1"/>
        <v>—</v>
      </c>
      <c r="L18" s="132"/>
    </row>
    <row r="19" spans="1:12" ht="19.5" customHeight="1" x14ac:dyDescent="0.25">
      <c r="A19" s="128">
        <v>13</v>
      </c>
      <c r="B19" s="129" t="s">
        <v>2540</v>
      </c>
      <c r="C19" s="130">
        <f>COUNTIF(Assessment!$A$5:$A$730,$A19)</f>
        <v>9</v>
      </c>
      <c r="D19" s="130">
        <f>COUNTIFS(Assessment!$A$5:$A$730,$A19,Assessment!$H$5:$H$730,"&lt;&gt;")</f>
        <v>0</v>
      </c>
      <c r="E19" s="130">
        <f>COUNTIFS(Assessment!$A$5:$A$730,$A19,Assessment!$I$5:$I$730,"&lt;&gt;")</f>
        <v>9</v>
      </c>
      <c r="F19" s="130">
        <f>SUMPRODUCT((Assessment!$A$5:$A$730=$A19)*(Assessment!$J$5:$J$730="PC"))</f>
        <v>0</v>
      </c>
      <c r="G19" s="130">
        <f>SUMPRODUCT((Assessment!$A$5:$A$730=$A19)*(Assessment!$J$5:$J$730="AC"))</f>
        <v>0</v>
      </c>
      <c r="H19" s="130" cm="1">
        <f t="array" ref="H19">SUMPRODUCT((Assessment!$A$5:$A$730=$A19)*(Assessment!$J$5:$J$730="FB"))</f>
        <v>0</v>
      </c>
      <c r="I19" s="130">
        <f>SUMPRODUCT((Assessment!$A$5:$A$730=$A19)*(Assessment!$J$5:$J$730="NA"))</f>
        <v>0</v>
      </c>
      <c r="J19" s="130">
        <f t="shared" si="0"/>
        <v>9</v>
      </c>
      <c r="K19" s="131" t="str">
        <f t="shared" si="1"/>
        <v>—</v>
      </c>
      <c r="L19" s="132"/>
    </row>
    <row r="20" spans="1:12" ht="19.5" customHeight="1" x14ac:dyDescent="0.25">
      <c r="A20" s="133">
        <v>14</v>
      </c>
      <c r="B20" s="134" t="s">
        <v>504</v>
      </c>
      <c r="C20" s="135">
        <f>COUNTIF(Assessment!$A$5:$A$730,$A20)</f>
        <v>8</v>
      </c>
      <c r="D20" s="135">
        <f>COUNTIFS(Assessment!$A$5:$A$730,$A20,Assessment!$H$5:$H$730,"&lt;&gt;")</f>
        <v>0</v>
      </c>
      <c r="E20" s="135">
        <f>COUNTIFS(Assessment!$A$5:$A$730,$A20,Assessment!$I$5:$I$730,"&lt;&gt;")</f>
        <v>8</v>
      </c>
      <c r="F20" s="135">
        <f>SUMPRODUCT((Assessment!$A$5:$A$730=$A20)*(Assessment!$J$5:$J$730="PC"))</f>
        <v>0</v>
      </c>
      <c r="G20" s="135">
        <f>SUMPRODUCT((Assessment!$A$5:$A$730=$A20)*(Assessment!$J$5:$J$730="AC"))</f>
        <v>0</v>
      </c>
      <c r="H20" s="135" cm="1">
        <f t="array" ref="H20">SUMPRODUCT((Assessment!$A$5:$A$730=$A20)*(Assessment!$J$5:$J$730="FB"))</f>
        <v>0</v>
      </c>
      <c r="I20" s="135">
        <f>SUMPRODUCT((Assessment!$A$5:$A$730=$A20)*(Assessment!$J$5:$J$730="NA"))</f>
        <v>0</v>
      </c>
      <c r="J20" s="135">
        <f t="shared" si="0"/>
        <v>8</v>
      </c>
      <c r="K20" s="136" t="str">
        <f t="shared" si="1"/>
        <v>—</v>
      </c>
      <c r="L20" s="132"/>
    </row>
    <row r="21" spans="1:12" ht="19.5" customHeight="1" x14ac:dyDescent="0.25">
      <c r="A21" s="128">
        <v>15</v>
      </c>
      <c r="B21" s="129" t="s">
        <v>2601</v>
      </c>
      <c r="C21" s="130">
        <f>COUNTIF(Assessment!$A$5:$A$730,$A21)</f>
        <v>8</v>
      </c>
      <c r="D21" s="130">
        <f>COUNTIFS(Assessment!$A$5:$A$730,$A21,Assessment!$H$5:$H$730,"&lt;&gt;")</f>
        <v>0</v>
      </c>
      <c r="E21" s="130">
        <f>COUNTIFS(Assessment!$A$5:$A$730,$A21,Assessment!$I$5:$I$730,"&lt;&gt;")</f>
        <v>8</v>
      </c>
      <c r="F21" s="130">
        <f>SUMPRODUCT((Assessment!$A$5:$A$730=$A21)*(Assessment!$J$5:$J$730="PC"))</f>
        <v>0</v>
      </c>
      <c r="G21" s="130">
        <f>SUMPRODUCT((Assessment!$A$5:$A$730=$A21)*(Assessment!$J$5:$J$730="AC"))</f>
        <v>0</v>
      </c>
      <c r="H21" s="130" cm="1">
        <f t="array" ref="H21">SUMPRODUCT((Assessment!$A$5:$A$730=$A21)*(Assessment!$J$5:$J$730="FB"))</f>
        <v>0</v>
      </c>
      <c r="I21" s="130">
        <f>SUMPRODUCT((Assessment!$A$5:$A$730=$A21)*(Assessment!$J$5:$J$730="NA"))</f>
        <v>0</v>
      </c>
      <c r="J21" s="130">
        <f t="shared" si="0"/>
        <v>8</v>
      </c>
      <c r="K21" s="131" t="str">
        <f t="shared" si="1"/>
        <v>—</v>
      </c>
      <c r="L21" s="132"/>
    </row>
    <row r="22" spans="1:12" ht="19.5" customHeight="1" x14ac:dyDescent="0.25">
      <c r="A22" s="133">
        <v>16</v>
      </c>
      <c r="B22" s="134" t="s">
        <v>2632</v>
      </c>
      <c r="C22" s="135">
        <f>COUNTIF(Assessment!$A$5:$A$730,$A22)</f>
        <v>9</v>
      </c>
      <c r="D22" s="135">
        <f>COUNTIFS(Assessment!$A$5:$A$730,$A22,Assessment!$H$5:$H$730,"&lt;&gt;")</f>
        <v>0</v>
      </c>
      <c r="E22" s="135">
        <f>COUNTIFS(Assessment!$A$5:$A$730,$A22,Assessment!$I$5:$I$730,"&lt;&gt;")</f>
        <v>9</v>
      </c>
      <c r="F22" s="135">
        <f>SUMPRODUCT((Assessment!$A$5:$A$730=$A22)*(Assessment!$J$5:$J$730="PC"))</f>
        <v>0</v>
      </c>
      <c r="G22" s="135">
        <f>SUMPRODUCT((Assessment!$A$5:$A$730=$A22)*(Assessment!$J$5:$J$730="AC"))</f>
        <v>0</v>
      </c>
      <c r="H22" s="135" cm="1">
        <f t="array" ref="H22">SUMPRODUCT((Assessment!$A$5:$A$730=$A22)*(Assessment!$J$5:$J$730="FB"))</f>
        <v>0</v>
      </c>
      <c r="I22" s="135">
        <f>SUMPRODUCT((Assessment!$A$5:$A$730=$A22)*(Assessment!$J$5:$J$730="NA"))</f>
        <v>0</v>
      </c>
      <c r="J22" s="135">
        <f t="shared" si="0"/>
        <v>9</v>
      </c>
      <c r="K22" s="136" t="str">
        <f t="shared" si="1"/>
        <v>—</v>
      </c>
      <c r="L22" s="132"/>
    </row>
    <row r="23" spans="1:12" ht="25.5" customHeight="1" x14ac:dyDescent="0.25">
      <c r="A23" s="137"/>
      <c r="B23" s="138" t="s">
        <v>2696</v>
      </c>
      <c r="C23" s="137">
        <f t="shared" ref="C23:J23" si="2">SUM(C7:C22)</f>
        <v>641</v>
      </c>
      <c r="D23" s="137">
        <f t="shared" si="2"/>
        <v>0</v>
      </c>
      <c r="E23" s="137">
        <f t="shared" si="2"/>
        <v>378</v>
      </c>
      <c r="F23" s="137">
        <f t="shared" si="2"/>
        <v>0</v>
      </c>
      <c r="G23" s="137">
        <f t="shared" si="2"/>
        <v>0</v>
      </c>
      <c r="H23" s="137">
        <f t="shared" si="2"/>
        <v>0</v>
      </c>
      <c r="I23" s="137">
        <f t="shared" si="2"/>
        <v>0</v>
      </c>
      <c r="J23" s="137">
        <f t="shared" si="2"/>
        <v>641</v>
      </c>
      <c r="K23" s="139" t="str">
        <f t="shared" si="1"/>
        <v>—</v>
      </c>
      <c r="L23" s="132"/>
    </row>
    <row r="24" spans="1:12" ht="15" customHeight="1" x14ac:dyDescent="0.25">
      <c r="A24" s="132"/>
      <c r="B24" s="132"/>
      <c r="C24" s="132"/>
      <c r="D24" s="132"/>
      <c r="E24" s="132"/>
      <c r="F24" s="132"/>
      <c r="G24" s="132"/>
      <c r="H24" s="132"/>
      <c r="I24" s="132"/>
      <c r="J24" s="132"/>
      <c r="K24" s="132"/>
      <c r="L24" s="132"/>
    </row>
    <row r="25" spans="1:12" ht="31.5" customHeight="1" x14ac:dyDescent="0.25">
      <c r="A25" s="143" t="s">
        <v>2697</v>
      </c>
      <c r="B25" s="143"/>
      <c r="C25" s="143"/>
      <c r="D25" s="143"/>
      <c r="E25" s="143"/>
      <c r="F25" s="143"/>
      <c r="G25" s="143"/>
      <c r="H25" s="143"/>
      <c r="I25" s="143"/>
      <c r="J25" s="143"/>
      <c r="K25" s="143"/>
      <c r="L25" s="132"/>
    </row>
    <row r="26" spans="1:12" ht="15" customHeight="1" x14ac:dyDescent="0.25">
      <c r="A26" s="132"/>
      <c r="B26" s="132"/>
      <c r="C26" s="132"/>
      <c r="D26" s="132"/>
      <c r="E26" s="132"/>
      <c r="F26" s="132"/>
      <c r="G26" s="132"/>
      <c r="H26" s="132"/>
      <c r="I26" s="132"/>
      <c r="J26" s="132"/>
      <c r="K26" s="132"/>
      <c r="L26" s="132"/>
    </row>
    <row r="27" spans="1:12" ht="31.5" customHeight="1" x14ac:dyDescent="0.25">
      <c r="A27" s="143" t="s">
        <v>2817</v>
      </c>
      <c r="B27" s="143"/>
      <c r="C27" s="143"/>
      <c r="D27" s="143"/>
      <c r="E27" s="143"/>
      <c r="F27" s="143"/>
      <c r="G27" s="143"/>
      <c r="H27" s="143"/>
      <c r="I27" s="143"/>
      <c r="J27" s="143"/>
      <c r="K27" s="143"/>
      <c r="L27" s="132"/>
    </row>
    <row r="28" spans="1:12" ht="15" customHeight="1" x14ac:dyDescent="0.25">
      <c r="A28" s="132"/>
      <c r="B28" s="132"/>
      <c r="C28" s="132"/>
      <c r="D28" s="132"/>
      <c r="E28" s="132"/>
      <c r="F28" s="132"/>
      <c r="G28" s="132"/>
      <c r="H28" s="132"/>
      <c r="I28" s="132"/>
      <c r="J28" s="132"/>
      <c r="K28" s="132"/>
      <c r="L28" s="132"/>
    </row>
    <row r="29" spans="1:12" ht="31.5" customHeight="1" x14ac:dyDescent="0.25">
      <c r="A29" s="143" t="s">
        <v>2698</v>
      </c>
      <c r="B29" s="143"/>
      <c r="C29" s="143"/>
      <c r="D29" s="143"/>
      <c r="E29" s="143"/>
      <c r="F29" s="143"/>
      <c r="G29" s="143"/>
      <c r="H29" s="143"/>
      <c r="I29" s="143"/>
      <c r="J29" s="143"/>
      <c r="K29" s="143"/>
      <c r="L29" s="132"/>
    </row>
    <row r="30" spans="1:12" ht="15" customHeight="1" x14ac:dyDescent="0.25">
      <c r="A30" s="132"/>
      <c r="B30" s="132"/>
      <c r="C30" s="132"/>
      <c r="D30" s="132"/>
      <c r="E30" s="132"/>
      <c r="F30" s="132"/>
      <c r="G30" s="132"/>
      <c r="H30" s="132"/>
      <c r="I30" s="132"/>
      <c r="J30" s="132"/>
      <c r="K30" s="132"/>
      <c r="L30" s="132"/>
    </row>
    <row r="31" spans="1:12" ht="31.5" customHeight="1" x14ac:dyDescent="0.25">
      <c r="A31" s="143" t="s">
        <v>2818</v>
      </c>
      <c r="B31" s="143"/>
      <c r="C31" s="143"/>
      <c r="D31" s="143"/>
      <c r="E31" s="143"/>
      <c r="F31" s="143"/>
      <c r="G31" s="143"/>
      <c r="H31" s="143"/>
      <c r="I31" s="143"/>
      <c r="J31" s="143"/>
      <c r="K31" s="143"/>
      <c r="L31" s="132"/>
    </row>
    <row r="32" spans="1:12" ht="15" customHeight="1" x14ac:dyDescent="0.25">
      <c r="A32" s="132"/>
      <c r="B32" s="132"/>
      <c r="C32" s="132"/>
      <c r="D32" s="132"/>
      <c r="E32" s="132"/>
      <c r="F32" s="132"/>
      <c r="G32" s="132"/>
      <c r="H32" s="132"/>
      <c r="I32" s="132"/>
      <c r="J32" s="132"/>
      <c r="K32" s="132"/>
      <c r="L32" s="132"/>
    </row>
    <row r="33" spans="1:12" ht="31.5" customHeight="1" x14ac:dyDescent="0.25">
      <c r="A33" s="143" t="s">
        <v>2699</v>
      </c>
      <c r="B33" s="143"/>
      <c r="C33" s="143"/>
      <c r="D33" s="143"/>
      <c r="E33" s="143"/>
      <c r="F33" s="143"/>
      <c r="G33" s="143"/>
      <c r="H33" s="143"/>
      <c r="I33" s="143"/>
      <c r="J33" s="143"/>
      <c r="K33" s="143"/>
      <c r="L33" s="132"/>
    </row>
    <row r="34" spans="1:12" ht="15" customHeight="1" x14ac:dyDescent="0.25">
      <c r="A34" s="132"/>
      <c r="B34" s="132"/>
      <c r="C34" s="132"/>
      <c r="D34" s="132"/>
      <c r="E34" s="132"/>
      <c r="F34" s="132"/>
      <c r="G34" s="132"/>
      <c r="H34" s="132"/>
      <c r="I34" s="132"/>
      <c r="J34" s="132"/>
      <c r="K34" s="132"/>
      <c r="L34" s="132"/>
    </row>
    <row r="35" spans="1:12" ht="15" customHeight="1" x14ac:dyDescent="0.25">
      <c r="A35" s="132"/>
      <c r="B35" s="132"/>
      <c r="C35" s="132"/>
      <c r="D35" s="132"/>
      <c r="E35" s="132"/>
      <c r="F35" s="132"/>
      <c r="G35" s="132"/>
      <c r="H35" s="132"/>
      <c r="I35" s="132"/>
      <c r="J35" s="132"/>
      <c r="K35" s="132"/>
      <c r="L35" s="132"/>
    </row>
    <row r="36" spans="1:12" ht="15" customHeight="1" x14ac:dyDescent="0.25">
      <c r="A36" s="132"/>
      <c r="B36" s="132"/>
      <c r="C36" s="132"/>
      <c r="D36" s="132"/>
      <c r="E36" s="132"/>
      <c r="F36" s="132"/>
      <c r="G36" s="132"/>
      <c r="H36" s="132"/>
      <c r="I36" s="132"/>
      <c r="J36" s="132"/>
      <c r="K36" s="132"/>
      <c r="L36" s="132"/>
    </row>
    <row r="37" spans="1:12" ht="15" customHeight="1" x14ac:dyDescent="0.25">
      <c r="A37" s="132"/>
      <c r="B37" s="132"/>
      <c r="C37" s="132"/>
      <c r="D37" s="132"/>
      <c r="E37" s="132"/>
      <c r="F37" s="132"/>
      <c r="G37" s="132"/>
      <c r="H37" s="132"/>
      <c r="I37" s="132"/>
      <c r="J37" s="132"/>
      <c r="K37" s="132"/>
      <c r="L37" s="132"/>
    </row>
  </sheetData>
  <mergeCells count="6">
    <mergeCell ref="A33:K33"/>
    <mergeCell ref="A1:H2"/>
    <mergeCell ref="A25:K25"/>
    <mergeCell ref="A27:K27"/>
    <mergeCell ref="A29:K29"/>
    <mergeCell ref="A31:K3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42"/>
  <sheetViews>
    <sheetView zoomScaleNormal="100" workbookViewId="0">
      <pane ySplit="1" topLeftCell="A2" activePane="bottomLeft" state="frozen"/>
      <selection pane="bottomLeft" activeCell="F1" sqref="F1"/>
    </sheetView>
  </sheetViews>
  <sheetFormatPr defaultColWidth="8.7109375" defaultRowHeight="15" x14ac:dyDescent="0.25"/>
  <cols>
    <col min="1" max="1" width="15" customWidth="1"/>
    <col min="2" max="2" width="14" customWidth="1"/>
    <col min="3" max="6" width="10" customWidth="1"/>
    <col min="7" max="8" width="12" customWidth="1"/>
    <col min="9" max="9" width="26" customWidth="1"/>
    <col min="10" max="11" width="40" customWidth="1"/>
  </cols>
  <sheetData>
    <row r="1" spans="1:11" ht="23.25" customHeight="1" x14ac:dyDescent="0.25">
      <c r="A1" s="140" t="s">
        <v>2700</v>
      </c>
      <c r="B1" s="140" t="s">
        <v>2701</v>
      </c>
      <c r="C1" s="140" t="s">
        <v>2702</v>
      </c>
      <c r="D1" s="140" t="s">
        <v>2703</v>
      </c>
      <c r="E1" s="140" t="s">
        <v>2704</v>
      </c>
      <c r="F1" s="140" t="s">
        <v>2705</v>
      </c>
      <c r="G1" s="140" t="s">
        <v>2706</v>
      </c>
      <c r="H1" s="140" t="s">
        <v>2707</v>
      </c>
      <c r="I1" s="140" t="s">
        <v>36</v>
      </c>
      <c r="J1" s="140" t="s">
        <v>38</v>
      </c>
      <c r="K1" s="140" t="s">
        <v>39</v>
      </c>
    </row>
    <row r="2" spans="1:11" ht="15" customHeight="1" x14ac:dyDescent="0.25">
      <c r="A2" s="141" t="s">
        <v>57</v>
      </c>
      <c r="B2" s="141">
        <v>5</v>
      </c>
      <c r="C2" s="141">
        <v>1</v>
      </c>
      <c r="D2" s="141">
        <v>1</v>
      </c>
      <c r="E2" s="141" t="s">
        <v>50</v>
      </c>
      <c r="F2" s="141" t="s">
        <v>50</v>
      </c>
      <c r="G2" s="141" t="s">
        <v>56</v>
      </c>
      <c r="H2" s="141" t="s">
        <v>56</v>
      </c>
      <c r="I2" s="142" t="s">
        <v>49</v>
      </c>
      <c r="J2" s="142" t="s">
        <v>51</v>
      </c>
      <c r="K2" s="142" t="s">
        <v>52</v>
      </c>
    </row>
    <row r="3" spans="1:11" ht="15" customHeight="1" x14ac:dyDescent="0.25">
      <c r="A3" s="141" t="s">
        <v>62</v>
      </c>
      <c r="B3" s="141">
        <v>6</v>
      </c>
      <c r="C3" s="141">
        <v>1</v>
      </c>
      <c r="D3" s="141">
        <v>1</v>
      </c>
      <c r="E3" s="141" t="s">
        <v>50</v>
      </c>
      <c r="F3" s="141" t="s">
        <v>50</v>
      </c>
      <c r="G3" s="141" t="s">
        <v>61</v>
      </c>
      <c r="H3" s="141" t="s">
        <v>61</v>
      </c>
      <c r="I3" s="142" t="s">
        <v>49</v>
      </c>
      <c r="J3" s="142" t="s">
        <v>51</v>
      </c>
      <c r="K3" s="142" t="s">
        <v>58</v>
      </c>
    </row>
    <row r="4" spans="1:11" ht="15" customHeight="1" x14ac:dyDescent="0.25">
      <c r="A4" s="141" t="s">
        <v>67</v>
      </c>
      <c r="B4" s="141">
        <v>7</v>
      </c>
      <c r="C4" s="141">
        <v>1</v>
      </c>
      <c r="D4" s="141">
        <v>1</v>
      </c>
      <c r="E4" s="141" t="s">
        <v>50</v>
      </c>
      <c r="F4" s="141" t="s">
        <v>50</v>
      </c>
      <c r="G4" s="141" t="s">
        <v>66</v>
      </c>
      <c r="H4" s="141" t="s">
        <v>66</v>
      </c>
      <c r="I4" s="142" t="s">
        <v>49</v>
      </c>
      <c r="J4" s="142" t="s">
        <v>51</v>
      </c>
      <c r="K4" s="142" t="s">
        <v>63</v>
      </c>
    </row>
    <row r="5" spans="1:11" ht="15" customHeight="1" x14ac:dyDescent="0.25">
      <c r="A5" s="141" t="s">
        <v>73</v>
      </c>
      <c r="B5" s="141">
        <v>8</v>
      </c>
      <c r="C5" s="141">
        <v>1</v>
      </c>
      <c r="D5" s="141">
        <v>1</v>
      </c>
      <c r="E5" s="141" t="s">
        <v>50</v>
      </c>
      <c r="F5" s="141" t="s">
        <v>50</v>
      </c>
      <c r="G5" s="141" t="s">
        <v>72</v>
      </c>
      <c r="H5" s="141" t="s">
        <v>72</v>
      </c>
      <c r="I5" s="142" t="s">
        <v>49</v>
      </c>
      <c r="J5" s="142" t="s">
        <v>51</v>
      </c>
      <c r="K5" s="142" t="s">
        <v>68</v>
      </c>
    </row>
    <row r="6" spans="1:11" ht="15" customHeight="1" x14ac:dyDescent="0.25">
      <c r="A6" s="141" t="s">
        <v>80</v>
      </c>
      <c r="B6" s="141">
        <v>9</v>
      </c>
      <c r="C6" s="141">
        <v>1</v>
      </c>
      <c r="D6" s="141">
        <v>1</v>
      </c>
      <c r="E6" s="141" t="s">
        <v>74</v>
      </c>
      <c r="F6" s="141" t="s">
        <v>74</v>
      </c>
      <c r="G6" s="141" t="s">
        <v>79</v>
      </c>
      <c r="H6" s="141" t="s">
        <v>79</v>
      </c>
      <c r="I6" s="142" t="s">
        <v>49</v>
      </c>
      <c r="J6" s="142" t="s">
        <v>75</v>
      </c>
      <c r="K6" s="142" t="s">
        <v>76</v>
      </c>
    </row>
    <row r="7" spans="1:11" ht="15" customHeight="1" x14ac:dyDescent="0.25">
      <c r="A7" s="141" t="s">
        <v>85</v>
      </c>
      <c r="B7" s="141">
        <v>10</v>
      </c>
      <c r="C7" s="141">
        <v>1</v>
      </c>
      <c r="D7" s="141">
        <v>1</v>
      </c>
      <c r="E7" s="141" t="s">
        <v>74</v>
      </c>
      <c r="F7" s="141" t="s">
        <v>74</v>
      </c>
      <c r="G7" s="141" t="s">
        <v>84</v>
      </c>
      <c r="H7" s="141" t="s">
        <v>84</v>
      </c>
      <c r="I7" s="142" t="s">
        <v>49</v>
      </c>
      <c r="J7" s="142" t="s">
        <v>75</v>
      </c>
      <c r="K7" s="142" t="s">
        <v>81</v>
      </c>
    </row>
    <row r="8" spans="1:11" ht="15" customHeight="1" x14ac:dyDescent="0.25">
      <c r="A8" s="141" t="s">
        <v>90</v>
      </c>
      <c r="B8" s="141">
        <v>11</v>
      </c>
      <c r="C8" s="141">
        <v>1</v>
      </c>
      <c r="D8" s="141">
        <v>1</v>
      </c>
      <c r="E8" s="141" t="s">
        <v>74</v>
      </c>
      <c r="F8" s="141" t="s">
        <v>74</v>
      </c>
      <c r="G8" s="141" t="s">
        <v>89</v>
      </c>
      <c r="H8" s="141" t="s">
        <v>89</v>
      </c>
      <c r="I8" s="142" t="s">
        <v>49</v>
      </c>
      <c r="J8" s="142" t="s">
        <v>75</v>
      </c>
      <c r="K8" s="142" t="s">
        <v>86</v>
      </c>
    </row>
    <row r="9" spans="1:11" ht="15" customHeight="1" x14ac:dyDescent="0.25">
      <c r="A9" s="141" t="s">
        <v>96</v>
      </c>
      <c r="B9" s="141">
        <v>12</v>
      </c>
      <c r="C9" s="141">
        <v>1</v>
      </c>
      <c r="D9" s="141">
        <v>1</v>
      </c>
      <c r="E9" s="141" t="s">
        <v>74</v>
      </c>
      <c r="F9" s="141" t="s">
        <v>74</v>
      </c>
      <c r="G9" s="141" t="s">
        <v>95</v>
      </c>
      <c r="H9" s="141" t="s">
        <v>95</v>
      </c>
      <c r="I9" s="142" t="s">
        <v>49</v>
      </c>
      <c r="J9" s="142" t="s">
        <v>75</v>
      </c>
      <c r="K9" s="142" t="s">
        <v>91</v>
      </c>
    </row>
    <row r="10" spans="1:11" ht="15" customHeight="1" x14ac:dyDescent="0.25">
      <c r="A10" s="141" t="s">
        <v>103</v>
      </c>
      <c r="B10" s="141">
        <v>13</v>
      </c>
      <c r="C10" s="141">
        <v>1</v>
      </c>
      <c r="D10" s="141">
        <v>1</v>
      </c>
      <c r="E10" s="141" t="s">
        <v>97</v>
      </c>
      <c r="F10" s="141" t="s">
        <v>97</v>
      </c>
      <c r="G10" s="141" t="s">
        <v>102</v>
      </c>
      <c r="H10" s="141" t="s">
        <v>102</v>
      </c>
      <c r="I10" s="142" t="s">
        <v>49</v>
      </c>
      <c r="J10" s="142" t="s">
        <v>98</v>
      </c>
      <c r="K10" s="142" t="s">
        <v>99</v>
      </c>
    </row>
    <row r="11" spans="1:11" ht="15" customHeight="1" x14ac:dyDescent="0.25">
      <c r="A11" s="141" t="s">
        <v>108</v>
      </c>
      <c r="B11" s="141">
        <v>14</v>
      </c>
      <c r="C11" s="141">
        <v>1</v>
      </c>
      <c r="D11" s="141">
        <v>1</v>
      </c>
      <c r="E11" s="141" t="s">
        <v>97</v>
      </c>
      <c r="F11" s="141" t="s">
        <v>97</v>
      </c>
      <c r="G11" s="141" t="s">
        <v>107</v>
      </c>
      <c r="H11" s="141" t="s">
        <v>107</v>
      </c>
      <c r="I11" s="142" t="s">
        <v>49</v>
      </c>
      <c r="J11" s="142" t="s">
        <v>98</v>
      </c>
      <c r="K11" s="142" t="s">
        <v>104</v>
      </c>
    </row>
    <row r="12" spans="1:11" ht="15" customHeight="1" x14ac:dyDescent="0.25">
      <c r="A12" s="141" t="s">
        <v>113</v>
      </c>
      <c r="B12" s="141">
        <v>15</v>
      </c>
      <c r="C12" s="141">
        <v>1</v>
      </c>
      <c r="D12" s="141">
        <v>1</v>
      </c>
      <c r="E12" s="141" t="s">
        <v>97</v>
      </c>
      <c r="F12" s="141" t="s">
        <v>97</v>
      </c>
      <c r="G12" s="141" t="s">
        <v>112</v>
      </c>
      <c r="H12" s="141" t="s">
        <v>112</v>
      </c>
      <c r="I12" s="142" t="s">
        <v>49</v>
      </c>
      <c r="J12" s="142" t="s">
        <v>98</v>
      </c>
      <c r="K12" s="142" t="s">
        <v>109</v>
      </c>
    </row>
    <row r="13" spans="1:11" ht="15" customHeight="1" x14ac:dyDescent="0.25">
      <c r="A13" s="141" t="s">
        <v>118</v>
      </c>
      <c r="B13" s="141">
        <v>16</v>
      </c>
      <c r="C13" s="141">
        <v>1</v>
      </c>
      <c r="D13" s="141">
        <v>1</v>
      </c>
      <c r="E13" s="141" t="s">
        <v>97</v>
      </c>
      <c r="F13" s="141" t="s">
        <v>97</v>
      </c>
      <c r="G13" s="141" t="s">
        <v>117</v>
      </c>
      <c r="H13" s="141" t="s">
        <v>117</v>
      </c>
      <c r="I13" s="142" t="s">
        <v>49</v>
      </c>
      <c r="J13" s="142" t="s">
        <v>98</v>
      </c>
      <c r="K13" s="142" t="s">
        <v>114</v>
      </c>
    </row>
    <row r="14" spans="1:11" ht="15" customHeight="1" x14ac:dyDescent="0.25">
      <c r="A14" s="141" t="s">
        <v>123</v>
      </c>
      <c r="B14" s="141">
        <v>17</v>
      </c>
      <c r="C14" s="141">
        <v>1</v>
      </c>
      <c r="D14" s="141">
        <v>1</v>
      </c>
      <c r="E14" s="141" t="s">
        <v>97</v>
      </c>
      <c r="F14" s="141" t="s">
        <v>97</v>
      </c>
      <c r="G14" s="141" t="s">
        <v>122</v>
      </c>
      <c r="H14" s="141" t="s">
        <v>122</v>
      </c>
      <c r="I14" s="142" t="s">
        <v>49</v>
      </c>
      <c r="J14" s="142" t="s">
        <v>98</v>
      </c>
      <c r="K14" s="142" t="s">
        <v>119</v>
      </c>
    </row>
    <row r="15" spans="1:11" ht="15" customHeight="1" x14ac:dyDescent="0.25">
      <c r="A15" s="141" t="s">
        <v>131</v>
      </c>
      <c r="B15" s="141">
        <v>18</v>
      </c>
      <c r="C15" s="141">
        <v>2</v>
      </c>
      <c r="D15" s="141">
        <v>2</v>
      </c>
      <c r="E15" s="141" t="s">
        <v>125</v>
      </c>
      <c r="F15" s="141" t="s">
        <v>125</v>
      </c>
      <c r="G15" s="141" t="s">
        <v>130</v>
      </c>
      <c r="H15" s="141" t="s">
        <v>130</v>
      </c>
      <c r="I15" s="142" t="s">
        <v>124</v>
      </c>
      <c r="J15" s="142" t="s">
        <v>126</v>
      </c>
      <c r="K15" s="142" t="s">
        <v>127</v>
      </c>
    </row>
    <row r="16" spans="1:11" ht="15" customHeight="1" x14ac:dyDescent="0.25">
      <c r="A16" s="141" t="s">
        <v>136</v>
      </c>
      <c r="B16" s="141">
        <v>19</v>
      </c>
      <c r="C16" s="141">
        <v>2</v>
      </c>
      <c r="D16" s="141">
        <v>2</v>
      </c>
      <c r="E16" s="141" t="s">
        <v>125</v>
      </c>
      <c r="F16" s="141" t="s">
        <v>125</v>
      </c>
      <c r="G16" s="141" t="s">
        <v>135</v>
      </c>
      <c r="H16" s="141" t="s">
        <v>135</v>
      </c>
      <c r="I16" s="142" t="s">
        <v>124</v>
      </c>
      <c r="J16" s="142" t="s">
        <v>126</v>
      </c>
      <c r="K16" s="142" t="s">
        <v>132</v>
      </c>
    </row>
    <row r="17" spans="1:11" ht="15" customHeight="1" x14ac:dyDescent="0.25">
      <c r="A17" s="141" t="s">
        <v>141</v>
      </c>
      <c r="B17" s="141">
        <v>20</v>
      </c>
      <c r="C17" s="141">
        <v>2</v>
      </c>
      <c r="D17" s="141">
        <v>2</v>
      </c>
      <c r="E17" s="141" t="s">
        <v>125</v>
      </c>
      <c r="F17" s="141" t="s">
        <v>125</v>
      </c>
      <c r="G17" s="141" t="s">
        <v>140</v>
      </c>
      <c r="H17" s="141" t="s">
        <v>140</v>
      </c>
      <c r="I17" s="142" t="s">
        <v>124</v>
      </c>
      <c r="J17" s="142" t="s">
        <v>126</v>
      </c>
      <c r="K17" s="142" t="s">
        <v>137</v>
      </c>
    </row>
    <row r="18" spans="1:11" ht="15" customHeight="1" x14ac:dyDescent="0.25">
      <c r="A18" s="141" t="s">
        <v>146</v>
      </c>
      <c r="B18" s="141">
        <v>21</v>
      </c>
      <c r="C18" s="141">
        <v>2</v>
      </c>
      <c r="D18" s="141">
        <v>2</v>
      </c>
      <c r="E18" s="141" t="s">
        <v>125</v>
      </c>
      <c r="F18" s="141" t="s">
        <v>125</v>
      </c>
      <c r="G18" s="141" t="s">
        <v>145</v>
      </c>
      <c r="H18" s="141" t="s">
        <v>145</v>
      </c>
      <c r="I18" s="142" t="s">
        <v>124</v>
      </c>
      <c r="J18" s="142" t="s">
        <v>126</v>
      </c>
      <c r="K18" s="142" t="s">
        <v>142</v>
      </c>
    </row>
    <row r="19" spans="1:11" ht="15" customHeight="1" x14ac:dyDescent="0.25">
      <c r="A19" s="141" t="s">
        <v>153</v>
      </c>
      <c r="B19" s="141">
        <v>22</v>
      </c>
      <c r="C19" s="141">
        <v>2</v>
      </c>
      <c r="D19" s="141">
        <v>2</v>
      </c>
      <c r="E19" s="141" t="s">
        <v>147</v>
      </c>
      <c r="F19" s="141" t="s">
        <v>147</v>
      </c>
      <c r="G19" s="141" t="s">
        <v>152</v>
      </c>
      <c r="H19" s="141" t="s">
        <v>152</v>
      </c>
      <c r="I19" s="142" t="s">
        <v>124</v>
      </c>
      <c r="J19" s="142" t="s">
        <v>148</v>
      </c>
      <c r="K19" s="142" t="s">
        <v>149</v>
      </c>
    </row>
    <row r="20" spans="1:11" ht="15" customHeight="1" x14ac:dyDescent="0.25">
      <c r="A20" s="141" t="s">
        <v>158</v>
      </c>
      <c r="B20" s="141">
        <v>23</v>
      </c>
      <c r="C20" s="141">
        <v>2</v>
      </c>
      <c r="D20" s="141">
        <v>2</v>
      </c>
      <c r="E20" s="141" t="s">
        <v>147</v>
      </c>
      <c r="F20" s="141" t="s">
        <v>147</v>
      </c>
      <c r="G20" s="141" t="s">
        <v>157</v>
      </c>
      <c r="H20" s="141" t="s">
        <v>157</v>
      </c>
      <c r="I20" s="142" t="s">
        <v>124</v>
      </c>
      <c r="J20" s="142" t="s">
        <v>148</v>
      </c>
      <c r="K20" s="142" t="s">
        <v>154</v>
      </c>
    </row>
    <row r="21" spans="1:11" ht="15" customHeight="1" x14ac:dyDescent="0.25">
      <c r="A21" s="141" t="s">
        <v>163</v>
      </c>
      <c r="B21" s="141">
        <v>24</v>
      </c>
      <c r="C21" s="141">
        <v>2</v>
      </c>
      <c r="D21" s="141">
        <v>2</v>
      </c>
      <c r="E21" s="141" t="s">
        <v>147</v>
      </c>
      <c r="F21" s="141" t="s">
        <v>147</v>
      </c>
      <c r="G21" s="141" t="s">
        <v>162</v>
      </c>
      <c r="H21" s="141" t="s">
        <v>162</v>
      </c>
      <c r="I21" s="142" t="s">
        <v>124</v>
      </c>
      <c r="J21" s="142" t="s">
        <v>148</v>
      </c>
      <c r="K21" s="142" t="s">
        <v>159</v>
      </c>
    </row>
    <row r="22" spans="1:11" ht="15" customHeight="1" x14ac:dyDescent="0.25">
      <c r="A22" s="141" t="s">
        <v>169</v>
      </c>
      <c r="B22" s="141">
        <v>25</v>
      </c>
      <c r="C22" s="141">
        <v>2</v>
      </c>
      <c r="D22" s="141">
        <v>2</v>
      </c>
      <c r="E22" s="141" t="s">
        <v>147</v>
      </c>
      <c r="F22" s="141" t="s">
        <v>147</v>
      </c>
      <c r="G22" s="141" t="s">
        <v>168</v>
      </c>
      <c r="H22" s="141" t="s">
        <v>168</v>
      </c>
      <c r="I22" s="142" t="s">
        <v>124</v>
      </c>
      <c r="J22" s="142" t="s">
        <v>148</v>
      </c>
      <c r="K22" s="142" t="s">
        <v>164</v>
      </c>
    </row>
    <row r="23" spans="1:11" ht="15" customHeight="1" x14ac:dyDescent="0.25">
      <c r="A23" s="141" t="s">
        <v>176</v>
      </c>
      <c r="B23" s="141">
        <v>26</v>
      </c>
      <c r="C23" s="141">
        <v>2</v>
      </c>
      <c r="D23" s="141">
        <v>2</v>
      </c>
      <c r="E23" s="141" t="s">
        <v>170</v>
      </c>
      <c r="F23" s="141" t="s">
        <v>170</v>
      </c>
      <c r="G23" s="141" t="s">
        <v>175</v>
      </c>
      <c r="H23" s="141" t="s">
        <v>175</v>
      </c>
      <c r="I23" s="142" t="s">
        <v>124</v>
      </c>
      <c r="J23" s="142" t="s">
        <v>171</v>
      </c>
      <c r="K23" s="142" t="s">
        <v>172</v>
      </c>
    </row>
    <row r="24" spans="1:11" ht="15" customHeight="1" x14ac:dyDescent="0.25">
      <c r="A24" s="141" t="s">
        <v>181</v>
      </c>
      <c r="B24" s="141">
        <v>27</v>
      </c>
      <c r="C24" s="141">
        <v>2</v>
      </c>
      <c r="D24" s="141">
        <v>2</v>
      </c>
      <c r="E24" s="141" t="s">
        <v>170</v>
      </c>
      <c r="F24" s="141" t="s">
        <v>170</v>
      </c>
      <c r="G24" s="141" t="s">
        <v>180</v>
      </c>
      <c r="H24" s="141" t="s">
        <v>180</v>
      </c>
      <c r="I24" s="142" t="s">
        <v>124</v>
      </c>
      <c r="J24" s="142" t="s">
        <v>171</v>
      </c>
      <c r="K24" s="142" t="s">
        <v>177</v>
      </c>
    </row>
    <row r="25" spans="1:11" ht="15" customHeight="1" x14ac:dyDescent="0.25">
      <c r="A25" s="141" t="s">
        <v>186</v>
      </c>
      <c r="B25" s="141">
        <v>28</v>
      </c>
      <c r="C25" s="141">
        <v>2</v>
      </c>
      <c r="D25" s="141">
        <v>2</v>
      </c>
      <c r="E25" s="141" t="s">
        <v>170</v>
      </c>
      <c r="F25" s="141" t="s">
        <v>170</v>
      </c>
      <c r="G25" s="141" t="s">
        <v>185</v>
      </c>
      <c r="H25" s="141" t="s">
        <v>185</v>
      </c>
      <c r="I25" s="142" t="s">
        <v>124</v>
      </c>
      <c r="J25" s="142" t="s">
        <v>171</v>
      </c>
      <c r="K25" s="142" t="s">
        <v>182</v>
      </c>
    </row>
    <row r="26" spans="1:11" ht="15" customHeight="1" x14ac:dyDescent="0.25">
      <c r="A26" s="141" t="s">
        <v>193</v>
      </c>
      <c r="B26" s="141">
        <v>29</v>
      </c>
      <c r="C26" s="141">
        <v>2</v>
      </c>
      <c r="D26" s="141">
        <v>2</v>
      </c>
      <c r="E26" s="141" t="s">
        <v>187</v>
      </c>
      <c r="F26" s="141" t="s">
        <v>187</v>
      </c>
      <c r="G26" s="141" t="s">
        <v>192</v>
      </c>
      <c r="H26" s="141" t="s">
        <v>192</v>
      </c>
      <c r="I26" s="142" t="s">
        <v>124</v>
      </c>
      <c r="J26" s="142" t="s">
        <v>188</v>
      </c>
      <c r="K26" s="142" t="s">
        <v>189</v>
      </c>
    </row>
    <row r="27" spans="1:11" ht="15" customHeight="1" x14ac:dyDescent="0.25">
      <c r="A27" s="141" t="s">
        <v>198</v>
      </c>
      <c r="B27" s="141">
        <v>30</v>
      </c>
      <c r="C27" s="141">
        <v>2</v>
      </c>
      <c r="D27" s="141">
        <v>2</v>
      </c>
      <c r="E27" s="141" t="s">
        <v>187</v>
      </c>
      <c r="F27" s="141" t="s">
        <v>187</v>
      </c>
      <c r="G27" s="141" t="s">
        <v>197</v>
      </c>
      <c r="H27" s="141" t="s">
        <v>197</v>
      </c>
      <c r="I27" s="142" t="s">
        <v>124</v>
      </c>
      <c r="J27" s="142" t="s">
        <v>188</v>
      </c>
      <c r="K27" s="142" t="s">
        <v>194</v>
      </c>
    </row>
    <row r="28" spans="1:11" ht="15" customHeight="1" x14ac:dyDescent="0.25">
      <c r="A28" s="141" t="s">
        <v>203</v>
      </c>
      <c r="B28" s="141">
        <v>31</v>
      </c>
      <c r="C28" s="141">
        <v>2</v>
      </c>
      <c r="D28" s="141">
        <v>2</v>
      </c>
      <c r="E28" s="141" t="s">
        <v>187</v>
      </c>
      <c r="F28" s="141" t="s">
        <v>187</v>
      </c>
      <c r="G28" s="141" t="s">
        <v>202</v>
      </c>
      <c r="H28" s="141" t="s">
        <v>202</v>
      </c>
      <c r="I28" s="142" t="s">
        <v>124</v>
      </c>
      <c r="J28" s="142" t="s">
        <v>188</v>
      </c>
      <c r="K28" s="142" t="s">
        <v>199</v>
      </c>
    </row>
    <row r="29" spans="1:11" ht="15" customHeight="1" x14ac:dyDescent="0.25">
      <c r="A29" s="141" t="s">
        <v>208</v>
      </c>
      <c r="B29" s="141">
        <v>32</v>
      </c>
      <c r="C29" s="141">
        <v>2</v>
      </c>
      <c r="D29" s="141">
        <v>2</v>
      </c>
      <c r="E29" s="141" t="s">
        <v>187</v>
      </c>
      <c r="F29" s="141" t="s">
        <v>187</v>
      </c>
      <c r="G29" s="141" t="s">
        <v>207</v>
      </c>
      <c r="H29" s="141" t="s">
        <v>207</v>
      </c>
      <c r="I29" s="142" t="s">
        <v>124</v>
      </c>
      <c r="J29" s="142" t="s">
        <v>188</v>
      </c>
      <c r="K29" s="142" t="s">
        <v>204</v>
      </c>
    </row>
    <row r="30" spans="1:11" ht="15" customHeight="1" x14ac:dyDescent="0.25">
      <c r="A30" s="141" t="s">
        <v>216</v>
      </c>
      <c r="B30" s="141">
        <v>33</v>
      </c>
      <c r="C30" s="141">
        <v>3</v>
      </c>
      <c r="D30" s="141">
        <v>3</v>
      </c>
      <c r="E30" s="141" t="s">
        <v>210</v>
      </c>
      <c r="F30" s="141" t="s">
        <v>210</v>
      </c>
      <c r="G30" s="141" t="s">
        <v>215</v>
      </c>
      <c r="H30" s="141" t="s">
        <v>215</v>
      </c>
      <c r="I30" s="142" t="s">
        <v>209</v>
      </c>
      <c r="J30" s="142" t="s">
        <v>211</v>
      </c>
      <c r="K30" s="142" t="s">
        <v>212</v>
      </c>
    </row>
    <row r="31" spans="1:11" ht="15" customHeight="1" x14ac:dyDescent="0.25">
      <c r="A31" s="141" t="s">
        <v>221</v>
      </c>
      <c r="B31" s="141">
        <v>34</v>
      </c>
      <c r="C31" s="141">
        <v>3</v>
      </c>
      <c r="D31" s="141">
        <v>3</v>
      </c>
      <c r="E31" s="141" t="s">
        <v>210</v>
      </c>
      <c r="F31" s="141" t="s">
        <v>210</v>
      </c>
      <c r="G31" s="141" t="s">
        <v>220</v>
      </c>
      <c r="H31" s="141" t="s">
        <v>220</v>
      </c>
      <c r="I31" s="142" t="s">
        <v>209</v>
      </c>
      <c r="J31" s="142" t="s">
        <v>211</v>
      </c>
      <c r="K31" s="142" t="s">
        <v>217</v>
      </c>
    </row>
    <row r="32" spans="1:11" ht="15" customHeight="1" x14ac:dyDescent="0.25">
      <c r="A32" s="141" t="s">
        <v>226</v>
      </c>
      <c r="B32" s="141">
        <v>35</v>
      </c>
      <c r="C32" s="141">
        <v>3</v>
      </c>
      <c r="D32" s="141">
        <v>3</v>
      </c>
      <c r="E32" s="141" t="s">
        <v>210</v>
      </c>
      <c r="F32" s="141" t="s">
        <v>210</v>
      </c>
      <c r="G32" s="141" t="s">
        <v>225</v>
      </c>
      <c r="H32" s="141" t="s">
        <v>225</v>
      </c>
      <c r="I32" s="142" t="s">
        <v>209</v>
      </c>
      <c r="J32" s="142" t="s">
        <v>211</v>
      </c>
      <c r="K32" s="142" t="s">
        <v>222</v>
      </c>
    </row>
    <row r="33" spans="1:11" ht="15" customHeight="1" x14ac:dyDescent="0.25">
      <c r="A33" s="141" t="s">
        <v>231</v>
      </c>
      <c r="B33" s="141">
        <v>36</v>
      </c>
      <c r="C33" s="141">
        <v>3</v>
      </c>
      <c r="D33" s="141">
        <v>3</v>
      </c>
      <c r="E33" s="141" t="s">
        <v>210</v>
      </c>
      <c r="F33" s="141" t="s">
        <v>210</v>
      </c>
      <c r="G33" s="141" t="s">
        <v>230</v>
      </c>
      <c r="H33" s="141" t="s">
        <v>230</v>
      </c>
      <c r="I33" s="142" t="s">
        <v>209</v>
      </c>
      <c r="J33" s="142" t="s">
        <v>211</v>
      </c>
      <c r="K33" s="142" t="s">
        <v>227</v>
      </c>
    </row>
    <row r="34" spans="1:11" ht="15" customHeight="1" x14ac:dyDescent="0.25">
      <c r="A34" s="141" t="s">
        <v>238</v>
      </c>
      <c r="B34" s="141">
        <v>37</v>
      </c>
      <c r="C34" s="141">
        <v>3</v>
      </c>
      <c r="D34" s="141">
        <v>3</v>
      </c>
      <c r="E34" s="141" t="s">
        <v>232</v>
      </c>
      <c r="F34" s="141" t="s">
        <v>232</v>
      </c>
      <c r="G34" s="141" t="s">
        <v>237</v>
      </c>
      <c r="H34" s="141" t="s">
        <v>237</v>
      </c>
      <c r="I34" s="142" t="s">
        <v>209</v>
      </c>
      <c r="J34" s="142" t="s">
        <v>233</v>
      </c>
      <c r="K34" s="142" t="s">
        <v>234</v>
      </c>
    </row>
    <row r="35" spans="1:11" ht="15" customHeight="1" x14ac:dyDescent="0.25">
      <c r="A35" s="141" t="s">
        <v>243</v>
      </c>
      <c r="B35" s="141">
        <v>38</v>
      </c>
      <c r="C35" s="141">
        <v>3</v>
      </c>
      <c r="D35" s="141">
        <v>3</v>
      </c>
      <c r="E35" s="141" t="s">
        <v>232</v>
      </c>
      <c r="F35" s="141" t="s">
        <v>232</v>
      </c>
      <c r="G35" s="141" t="s">
        <v>242</v>
      </c>
      <c r="H35" s="141" t="s">
        <v>242</v>
      </c>
      <c r="I35" s="142" t="s">
        <v>209</v>
      </c>
      <c r="J35" s="142" t="s">
        <v>233</v>
      </c>
      <c r="K35" s="142" t="s">
        <v>239</v>
      </c>
    </row>
    <row r="36" spans="1:11" ht="15" customHeight="1" x14ac:dyDescent="0.25">
      <c r="A36" s="141" t="s">
        <v>248</v>
      </c>
      <c r="B36" s="141">
        <v>39</v>
      </c>
      <c r="C36" s="141">
        <v>3</v>
      </c>
      <c r="D36" s="141">
        <v>3</v>
      </c>
      <c r="E36" s="141" t="s">
        <v>232</v>
      </c>
      <c r="F36" s="141" t="s">
        <v>232</v>
      </c>
      <c r="G36" s="141" t="s">
        <v>247</v>
      </c>
      <c r="H36" s="141" t="s">
        <v>247</v>
      </c>
      <c r="I36" s="142" t="s">
        <v>209</v>
      </c>
      <c r="J36" s="142" t="s">
        <v>233</v>
      </c>
      <c r="K36" s="142" t="s">
        <v>244</v>
      </c>
    </row>
    <row r="37" spans="1:11" ht="15" customHeight="1" x14ac:dyDescent="0.25">
      <c r="A37" s="141" t="s">
        <v>253</v>
      </c>
      <c r="B37" s="141">
        <v>40</v>
      </c>
      <c r="C37" s="141">
        <v>3</v>
      </c>
      <c r="D37" s="141">
        <v>3</v>
      </c>
      <c r="E37" s="141" t="s">
        <v>232</v>
      </c>
      <c r="F37" s="141" t="s">
        <v>232</v>
      </c>
      <c r="G37" s="141" t="s">
        <v>252</v>
      </c>
      <c r="H37" s="141" t="s">
        <v>252</v>
      </c>
      <c r="I37" s="142" t="s">
        <v>209</v>
      </c>
      <c r="J37" s="142" t="s">
        <v>233</v>
      </c>
      <c r="K37" s="142" t="s">
        <v>249</v>
      </c>
    </row>
    <row r="38" spans="1:11" ht="15" customHeight="1" x14ac:dyDescent="0.25">
      <c r="A38" s="141" t="s">
        <v>260</v>
      </c>
      <c r="B38" s="141">
        <v>41</v>
      </c>
      <c r="C38" s="141">
        <v>3</v>
      </c>
      <c r="D38" s="141">
        <v>3</v>
      </c>
      <c r="E38" s="141" t="s">
        <v>254</v>
      </c>
      <c r="F38" s="141" t="s">
        <v>254</v>
      </c>
      <c r="G38" s="141" t="s">
        <v>259</v>
      </c>
      <c r="H38" s="141" t="s">
        <v>259</v>
      </c>
      <c r="I38" s="142" t="s">
        <v>209</v>
      </c>
      <c r="J38" s="142" t="s">
        <v>255</v>
      </c>
      <c r="K38" s="142" t="s">
        <v>256</v>
      </c>
    </row>
    <row r="39" spans="1:11" ht="15" customHeight="1" x14ac:dyDescent="0.25">
      <c r="A39" s="141" t="s">
        <v>265</v>
      </c>
      <c r="B39" s="141">
        <v>42</v>
      </c>
      <c r="C39" s="141">
        <v>3</v>
      </c>
      <c r="D39" s="141">
        <v>3</v>
      </c>
      <c r="E39" s="141" t="s">
        <v>254</v>
      </c>
      <c r="F39" s="141" t="s">
        <v>254</v>
      </c>
      <c r="G39" s="141" t="s">
        <v>264</v>
      </c>
      <c r="H39" s="141" t="s">
        <v>264</v>
      </c>
      <c r="I39" s="142" t="s">
        <v>209</v>
      </c>
      <c r="J39" s="142" t="s">
        <v>255</v>
      </c>
      <c r="K39" s="142" t="s">
        <v>261</v>
      </c>
    </row>
    <row r="40" spans="1:11" ht="15" customHeight="1" x14ac:dyDescent="0.25">
      <c r="A40" s="141" t="s">
        <v>270</v>
      </c>
      <c r="B40" s="141">
        <v>43</v>
      </c>
      <c r="C40" s="141">
        <v>3</v>
      </c>
      <c r="D40" s="141">
        <v>3</v>
      </c>
      <c r="E40" s="141" t="s">
        <v>254</v>
      </c>
      <c r="F40" s="141" t="s">
        <v>254</v>
      </c>
      <c r="G40" s="141" t="s">
        <v>269</v>
      </c>
      <c r="H40" s="141" t="s">
        <v>269</v>
      </c>
      <c r="I40" s="142" t="s">
        <v>209</v>
      </c>
      <c r="J40" s="142" t="s">
        <v>255</v>
      </c>
      <c r="K40" s="142" t="s">
        <v>266</v>
      </c>
    </row>
    <row r="41" spans="1:11" ht="15" customHeight="1" x14ac:dyDescent="0.25">
      <c r="A41" s="141" t="s">
        <v>275</v>
      </c>
      <c r="B41" s="141">
        <v>44</v>
      </c>
      <c r="C41" s="141">
        <v>3</v>
      </c>
      <c r="D41" s="141">
        <v>3</v>
      </c>
      <c r="E41" s="141" t="s">
        <v>254</v>
      </c>
      <c r="F41" s="141" t="s">
        <v>254</v>
      </c>
      <c r="G41" s="141" t="s">
        <v>274</v>
      </c>
      <c r="H41" s="141" t="s">
        <v>274</v>
      </c>
      <c r="I41" s="142" t="s">
        <v>209</v>
      </c>
      <c r="J41" s="142" t="s">
        <v>255</v>
      </c>
      <c r="K41" s="142" t="s">
        <v>271</v>
      </c>
    </row>
    <row r="42" spans="1:11" ht="15" customHeight="1" x14ac:dyDescent="0.25">
      <c r="A42" s="141" t="s">
        <v>282</v>
      </c>
      <c r="B42" s="141">
        <v>45</v>
      </c>
      <c r="C42" s="141">
        <v>3</v>
      </c>
      <c r="D42" s="141">
        <v>3</v>
      </c>
      <c r="E42" s="141" t="s">
        <v>276</v>
      </c>
      <c r="F42" s="141" t="s">
        <v>276</v>
      </c>
      <c r="G42" s="141" t="s">
        <v>281</v>
      </c>
      <c r="H42" s="141" t="s">
        <v>281</v>
      </c>
      <c r="I42" s="142" t="s">
        <v>209</v>
      </c>
      <c r="J42" s="142" t="s">
        <v>277</v>
      </c>
      <c r="K42" s="142" t="s">
        <v>278</v>
      </c>
    </row>
    <row r="43" spans="1:11" ht="15" customHeight="1" x14ac:dyDescent="0.25">
      <c r="A43" s="141" t="s">
        <v>287</v>
      </c>
      <c r="B43" s="141">
        <v>46</v>
      </c>
      <c r="C43" s="141">
        <v>3</v>
      </c>
      <c r="D43" s="141">
        <v>3</v>
      </c>
      <c r="E43" s="141" t="s">
        <v>276</v>
      </c>
      <c r="F43" s="141" t="s">
        <v>276</v>
      </c>
      <c r="G43" s="141" t="s">
        <v>286</v>
      </c>
      <c r="H43" s="141" t="s">
        <v>286</v>
      </c>
      <c r="I43" s="142" t="s">
        <v>209</v>
      </c>
      <c r="J43" s="142" t="s">
        <v>277</v>
      </c>
      <c r="K43" s="142" t="s">
        <v>283</v>
      </c>
    </row>
    <row r="44" spans="1:11" ht="15" customHeight="1" x14ac:dyDescent="0.25">
      <c r="A44" s="141" t="s">
        <v>292</v>
      </c>
      <c r="B44" s="141">
        <v>47</v>
      </c>
      <c r="C44" s="141">
        <v>3</v>
      </c>
      <c r="D44" s="141">
        <v>3</v>
      </c>
      <c r="E44" s="141" t="s">
        <v>276</v>
      </c>
      <c r="F44" s="141" t="s">
        <v>276</v>
      </c>
      <c r="G44" s="141" t="s">
        <v>291</v>
      </c>
      <c r="H44" s="141" t="s">
        <v>291</v>
      </c>
      <c r="I44" s="142" t="s">
        <v>209</v>
      </c>
      <c r="J44" s="142" t="s">
        <v>277</v>
      </c>
      <c r="K44" s="142" t="s">
        <v>288</v>
      </c>
    </row>
    <row r="45" spans="1:11" ht="15" customHeight="1" x14ac:dyDescent="0.25">
      <c r="A45" s="141" t="s">
        <v>299</v>
      </c>
      <c r="B45" s="141">
        <v>48</v>
      </c>
      <c r="C45" s="141">
        <v>3</v>
      </c>
      <c r="D45" s="141">
        <v>3</v>
      </c>
      <c r="E45" s="141" t="s">
        <v>293</v>
      </c>
      <c r="F45" s="141" t="s">
        <v>293</v>
      </c>
      <c r="G45" s="141" t="s">
        <v>298</v>
      </c>
      <c r="H45" s="141" t="s">
        <v>298</v>
      </c>
      <c r="I45" s="142" t="s">
        <v>209</v>
      </c>
      <c r="J45" s="142" t="s">
        <v>294</v>
      </c>
      <c r="K45" s="142" t="s">
        <v>295</v>
      </c>
    </row>
    <row r="46" spans="1:11" ht="15" customHeight="1" x14ac:dyDescent="0.25">
      <c r="A46" s="141" t="s">
        <v>304</v>
      </c>
      <c r="B46" s="141">
        <v>49</v>
      </c>
      <c r="C46" s="141">
        <v>3</v>
      </c>
      <c r="D46" s="141">
        <v>3</v>
      </c>
      <c r="E46" s="141" t="s">
        <v>293</v>
      </c>
      <c r="F46" s="141" t="s">
        <v>293</v>
      </c>
      <c r="G46" s="141" t="s">
        <v>303</v>
      </c>
      <c r="H46" s="141" t="s">
        <v>303</v>
      </c>
      <c r="I46" s="142" t="s">
        <v>209</v>
      </c>
      <c r="J46" s="142" t="s">
        <v>294</v>
      </c>
      <c r="K46" s="142" t="s">
        <v>300</v>
      </c>
    </row>
    <row r="47" spans="1:11" ht="15" customHeight="1" x14ac:dyDescent="0.25">
      <c r="A47" s="141" t="s">
        <v>309</v>
      </c>
      <c r="B47" s="141">
        <v>50</v>
      </c>
      <c r="C47" s="141">
        <v>3</v>
      </c>
      <c r="D47" s="141">
        <v>3</v>
      </c>
      <c r="E47" s="141" t="s">
        <v>293</v>
      </c>
      <c r="F47" s="141" t="s">
        <v>293</v>
      </c>
      <c r="G47" s="141" t="s">
        <v>308</v>
      </c>
      <c r="H47" s="141" t="s">
        <v>308</v>
      </c>
      <c r="I47" s="142" t="s">
        <v>209</v>
      </c>
      <c r="J47" s="142" t="s">
        <v>294</v>
      </c>
      <c r="K47" s="142" t="s">
        <v>305</v>
      </c>
    </row>
    <row r="48" spans="1:11" ht="15" customHeight="1" x14ac:dyDescent="0.25">
      <c r="A48" s="141" t="s">
        <v>317</v>
      </c>
      <c r="B48" s="141">
        <v>51</v>
      </c>
      <c r="C48" s="141">
        <v>4</v>
      </c>
      <c r="D48" s="141">
        <v>4</v>
      </c>
      <c r="E48" s="141" t="s">
        <v>311</v>
      </c>
      <c r="F48" s="141" t="s">
        <v>311</v>
      </c>
      <c r="G48" s="141" t="s">
        <v>316</v>
      </c>
      <c r="H48" s="141" t="s">
        <v>316</v>
      </c>
      <c r="I48" s="142" t="s">
        <v>310</v>
      </c>
      <c r="J48" s="142" t="s">
        <v>312</v>
      </c>
      <c r="K48" s="142" t="s">
        <v>313</v>
      </c>
    </row>
    <row r="49" spans="1:11" ht="15" customHeight="1" x14ac:dyDescent="0.25">
      <c r="A49" s="141" t="s">
        <v>322</v>
      </c>
      <c r="B49" s="141">
        <v>52</v>
      </c>
      <c r="C49" s="141">
        <v>4</v>
      </c>
      <c r="D49" s="141">
        <v>4</v>
      </c>
      <c r="E49" s="141" t="s">
        <v>311</v>
      </c>
      <c r="F49" s="141" t="s">
        <v>311</v>
      </c>
      <c r="G49" s="141" t="s">
        <v>321</v>
      </c>
      <c r="H49" s="141" t="s">
        <v>321</v>
      </c>
      <c r="I49" s="142" t="s">
        <v>310</v>
      </c>
      <c r="J49" s="142" t="s">
        <v>312</v>
      </c>
      <c r="K49" s="142" t="s">
        <v>318</v>
      </c>
    </row>
    <row r="50" spans="1:11" ht="15" customHeight="1" x14ac:dyDescent="0.25">
      <c r="A50" s="141" t="s">
        <v>327</v>
      </c>
      <c r="B50" s="141">
        <v>53</v>
      </c>
      <c r="C50" s="141">
        <v>4</v>
      </c>
      <c r="D50" s="141">
        <v>4</v>
      </c>
      <c r="E50" s="141" t="s">
        <v>311</v>
      </c>
      <c r="F50" s="141" t="s">
        <v>311</v>
      </c>
      <c r="G50" s="141" t="s">
        <v>326</v>
      </c>
      <c r="H50" s="141" t="s">
        <v>326</v>
      </c>
      <c r="I50" s="142" t="s">
        <v>310</v>
      </c>
      <c r="J50" s="142" t="s">
        <v>312</v>
      </c>
      <c r="K50" s="142" t="s">
        <v>323</v>
      </c>
    </row>
    <row r="51" spans="1:11" ht="15" customHeight="1" x14ac:dyDescent="0.25">
      <c r="A51" s="141" t="s">
        <v>332</v>
      </c>
      <c r="B51" s="141">
        <v>54</v>
      </c>
      <c r="C51" s="141">
        <v>4</v>
      </c>
      <c r="D51" s="141">
        <v>4</v>
      </c>
      <c r="E51" s="141" t="s">
        <v>311</v>
      </c>
      <c r="F51" s="141" t="s">
        <v>311</v>
      </c>
      <c r="G51" s="141" t="s">
        <v>331</v>
      </c>
      <c r="H51" s="141" t="s">
        <v>331</v>
      </c>
      <c r="I51" s="142" t="s">
        <v>310</v>
      </c>
      <c r="J51" s="142" t="s">
        <v>312</v>
      </c>
      <c r="K51" s="142" t="s">
        <v>328</v>
      </c>
    </row>
    <row r="52" spans="1:11" ht="15" customHeight="1" x14ac:dyDescent="0.25">
      <c r="A52" s="141" t="s">
        <v>337</v>
      </c>
      <c r="B52" s="141">
        <v>55</v>
      </c>
      <c r="C52" s="141">
        <v>4</v>
      </c>
      <c r="D52" s="141">
        <v>4</v>
      </c>
      <c r="E52" s="141" t="s">
        <v>311</v>
      </c>
      <c r="F52" s="141" t="s">
        <v>311</v>
      </c>
      <c r="G52" s="141" t="s">
        <v>336</v>
      </c>
      <c r="H52" s="141" t="s">
        <v>336</v>
      </c>
      <c r="I52" s="142" t="s">
        <v>310</v>
      </c>
      <c r="J52" s="142" t="s">
        <v>312</v>
      </c>
      <c r="K52" s="142" t="s">
        <v>333</v>
      </c>
    </row>
    <row r="53" spans="1:11" ht="15" customHeight="1" x14ac:dyDescent="0.25">
      <c r="A53" s="141" t="s">
        <v>344</v>
      </c>
      <c r="B53" s="141">
        <v>56</v>
      </c>
      <c r="C53" s="141">
        <v>4</v>
      </c>
      <c r="D53" s="141">
        <v>4</v>
      </c>
      <c r="E53" s="141" t="s">
        <v>338</v>
      </c>
      <c r="F53" s="141" t="s">
        <v>338</v>
      </c>
      <c r="G53" s="141" t="s">
        <v>343</v>
      </c>
      <c r="H53" s="141" t="s">
        <v>343</v>
      </c>
      <c r="I53" s="142" t="s">
        <v>310</v>
      </c>
      <c r="J53" s="142" t="s">
        <v>339</v>
      </c>
      <c r="K53" s="142" t="s">
        <v>340</v>
      </c>
    </row>
    <row r="54" spans="1:11" ht="15" customHeight="1" x14ac:dyDescent="0.25">
      <c r="A54" s="141" t="s">
        <v>349</v>
      </c>
      <c r="B54" s="141">
        <v>57</v>
      </c>
      <c r="C54" s="141">
        <v>4</v>
      </c>
      <c r="D54" s="141">
        <v>4</v>
      </c>
      <c r="E54" s="141" t="s">
        <v>338</v>
      </c>
      <c r="F54" s="141" t="s">
        <v>338</v>
      </c>
      <c r="G54" s="141" t="s">
        <v>348</v>
      </c>
      <c r="H54" s="141" t="s">
        <v>348</v>
      </c>
      <c r="I54" s="142" t="s">
        <v>310</v>
      </c>
      <c r="J54" s="142" t="s">
        <v>339</v>
      </c>
      <c r="K54" s="142" t="s">
        <v>345</v>
      </c>
    </row>
    <row r="55" spans="1:11" ht="15" customHeight="1" x14ac:dyDescent="0.25">
      <c r="A55" s="141" t="s">
        <v>354</v>
      </c>
      <c r="B55" s="141">
        <v>58</v>
      </c>
      <c r="C55" s="141">
        <v>4</v>
      </c>
      <c r="D55" s="141">
        <v>4</v>
      </c>
      <c r="E55" s="141" t="s">
        <v>338</v>
      </c>
      <c r="F55" s="141" t="s">
        <v>338</v>
      </c>
      <c r="G55" s="141" t="s">
        <v>353</v>
      </c>
      <c r="H55" s="141" t="s">
        <v>353</v>
      </c>
      <c r="I55" s="142" t="s">
        <v>310</v>
      </c>
      <c r="J55" s="142" t="s">
        <v>339</v>
      </c>
      <c r="K55" s="142" t="s">
        <v>350</v>
      </c>
    </row>
    <row r="56" spans="1:11" ht="15" customHeight="1" x14ac:dyDescent="0.25">
      <c r="A56" s="141" t="s">
        <v>359</v>
      </c>
      <c r="B56" s="141">
        <v>59</v>
      </c>
      <c r="C56" s="141">
        <v>4</v>
      </c>
      <c r="D56" s="141">
        <v>4</v>
      </c>
      <c r="E56" s="141" t="s">
        <v>338</v>
      </c>
      <c r="F56" s="141" t="s">
        <v>338</v>
      </c>
      <c r="G56" s="141" t="s">
        <v>358</v>
      </c>
      <c r="H56" s="141" t="s">
        <v>358</v>
      </c>
      <c r="I56" s="142" t="s">
        <v>310</v>
      </c>
      <c r="J56" s="142" t="s">
        <v>339</v>
      </c>
      <c r="K56" s="142" t="s">
        <v>355</v>
      </c>
    </row>
    <row r="57" spans="1:11" ht="15" customHeight="1" x14ac:dyDescent="0.25">
      <c r="A57" s="141" t="s">
        <v>366</v>
      </c>
      <c r="B57" s="141">
        <v>60</v>
      </c>
      <c r="C57" s="141">
        <v>4</v>
      </c>
      <c r="D57" s="141">
        <v>4</v>
      </c>
      <c r="E57" s="141" t="s">
        <v>360</v>
      </c>
      <c r="F57" s="141" t="s">
        <v>360</v>
      </c>
      <c r="G57" s="141" t="s">
        <v>365</v>
      </c>
      <c r="H57" s="141" t="s">
        <v>365</v>
      </c>
      <c r="I57" s="142" t="s">
        <v>310</v>
      </c>
      <c r="J57" s="142" t="s">
        <v>361</v>
      </c>
      <c r="K57" s="142" t="s">
        <v>362</v>
      </c>
    </row>
    <row r="58" spans="1:11" ht="15" customHeight="1" x14ac:dyDescent="0.25">
      <c r="A58" s="141" t="s">
        <v>371</v>
      </c>
      <c r="B58" s="141">
        <v>61</v>
      </c>
      <c r="C58" s="141">
        <v>4</v>
      </c>
      <c r="D58" s="141">
        <v>4</v>
      </c>
      <c r="E58" s="141" t="s">
        <v>360</v>
      </c>
      <c r="F58" s="141" t="s">
        <v>360</v>
      </c>
      <c r="G58" s="141" t="s">
        <v>370</v>
      </c>
      <c r="H58" s="141" t="s">
        <v>370</v>
      </c>
      <c r="I58" s="142" t="s">
        <v>310</v>
      </c>
      <c r="J58" s="142" t="s">
        <v>361</v>
      </c>
      <c r="K58" s="142" t="s">
        <v>367</v>
      </c>
    </row>
    <row r="59" spans="1:11" ht="15" customHeight="1" x14ac:dyDescent="0.25">
      <c r="A59" s="141" t="s">
        <v>376</v>
      </c>
      <c r="B59" s="141">
        <v>62</v>
      </c>
      <c r="C59" s="141">
        <v>4</v>
      </c>
      <c r="D59" s="141">
        <v>4</v>
      </c>
      <c r="E59" s="141" t="s">
        <v>360</v>
      </c>
      <c r="F59" s="141" t="s">
        <v>360</v>
      </c>
      <c r="G59" s="141" t="s">
        <v>375</v>
      </c>
      <c r="H59" s="141" t="s">
        <v>375</v>
      </c>
      <c r="I59" s="142" t="s">
        <v>310</v>
      </c>
      <c r="J59" s="142" t="s">
        <v>361</v>
      </c>
      <c r="K59" s="142" t="s">
        <v>372</v>
      </c>
    </row>
    <row r="60" spans="1:11" ht="15" customHeight="1" x14ac:dyDescent="0.25">
      <c r="A60" s="141" t="s">
        <v>381</v>
      </c>
      <c r="B60" s="141">
        <v>63</v>
      </c>
      <c r="C60" s="141">
        <v>4</v>
      </c>
      <c r="D60" s="141">
        <v>4</v>
      </c>
      <c r="E60" s="141" t="s">
        <v>360</v>
      </c>
      <c r="F60" s="141" t="s">
        <v>360</v>
      </c>
      <c r="G60" s="141" t="s">
        <v>380</v>
      </c>
      <c r="H60" s="141" t="s">
        <v>380</v>
      </c>
      <c r="I60" s="142" t="s">
        <v>310</v>
      </c>
      <c r="J60" s="142" t="s">
        <v>361</v>
      </c>
      <c r="K60" s="142" t="s">
        <v>377</v>
      </c>
    </row>
    <row r="61" spans="1:11" ht="15" customHeight="1" x14ac:dyDescent="0.25">
      <c r="A61" s="141" t="s">
        <v>386</v>
      </c>
      <c r="B61" s="141">
        <v>64</v>
      </c>
      <c r="C61" s="141">
        <v>4</v>
      </c>
      <c r="D61" s="141">
        <v>4</v>
      </c>
      <c r="E61" s="141" t="s">
        <v>360</v>
      </c>
      <c r="F61" s="141" t="s">
        <v>360</v>
      </c>
      <c r="G61" s="141" t="s">
        <v>385</v>
      </c>
      <c r="H61" s="141" t="s">
        <v>385</v>
      </c>
      <c r="I61" s="142" t="s">
        <v>310</v>
      </c>
      <c r="J61" s="142" t="s">
        <v>361</v>
      </c>
      <c r="K61" s="142" t="s">
        <v>382</v>
      </c>
    </row>
    <row r="62" spans="1:11" ht="15" customHeight="1" x14ac:dyDescent="0.25">
      <c r="A62" s="141" t="s">
        <v>391</v>
      </c>
      <c r="B62" s="141">
        <v>65</v>
      </c>
      <c r="C62" s="141">
        <v>4</v>
      </c>
      <c r="D62" s="141">
        <v>4</v>
      </c>
      <c r="E62" s="141" t="s">
        <v>360</v>
      </c>
      <c r="F62" s="141" t="s">
        <v>360</v>
      </c>
      <c r="G62" s="141" t="s">
        <v>390</v>
      </c>
      <c r="H62" s="141" t="s">
        <v>390</v>
      </c>
      <c r="I62" s="142" t="s">
        <v>310</v>
      </c>
      <c r="J62" s="142" t="s">
        <v>361</v>
      </c>
      <c r="K62" s="142" t="s">
        <v>387</v>
      </c>
    </row>
    <row r="63" spans="1:11" ht="15" customHeight="1" x14ac:dyDescent="0.25">
      <c r="A63" s="141" t="s">
        <v>398</v>
      </c>
      <c r="B63" s="141">
        <v>66</v>
      </c>
      <c r="C63" s="141">
        <v>4</v>
      </c>
      <c r="D63" s="141">
        <v>4</v>
      </c>
      <c r="E63" s="141" t="s">
        <v>392</v>
      </c>
      <c r="F63" s="141" t="s">
        <v>392</v>
      </c>
      <c r="G63" s="141" t="s">
        <v>397</v>
      </c>
      <c r="H63" s="141" t="s">
        <v>397</v>
      </c>
      <c r="I63" s="142" t="s">
        <v>310</v>
      </c>
      <c r="J63" s="142" t="s">
        <v>393</v>
      </c>
      <c r="K63" s="142" t="s">
        <v>394</v>
      </c>
    </row>
    <row r="64" spans="1:11" ht="15" customHeight="1" x14ac:dyDescent="0.25">
      <c r="A64" s="141" t="s">
        <v>403</v>
      </c>
      <c r="B64" s="141">
        <v>67</v>
      </c>
      <c r="C64" s="141">
        <v>4</v>
      </c>
      <c r="D64" s="141">
        <v>4</v>
      </c>
      <c r="E64" s="141" t="s">
        <v>392</v>
      </c>
      <c r="F64" s="141" t="s">
        <v>392</v>
      </c>
      <c r="G64" s="141" t="s">
        <v>402</v>
      </c>
      <c r="H64" s="141" t="s">
        <v>402</v>
      </c>
      <c r="I64" s="142" t="s">
        <v>310</v>
      </c>
      <c r="J64" s="142" t="s">
        <v>393</v>
      </c>
      <c r="K64" s="142" t="s">
        <v>399</v>
      </c>
    </row>
    <row r="65" spans="1:11" ht="15" customHeight="1" x14ac:dyDescent="0.25">
      <c r="A65" s="141" t="s">
        <v>408</v>
      </c>
      <c r="B65" s="141">
        <v>68</v>
      </c>
      <c r="C65" s="141">
        <v>4</v>
      </c>
      <c r="D65" s="141">
        <v>4</v>
      </c>
      <c r="E65" s="141" t="s">
        <v>392</v>
      </c>
      <c r="F65" s="141" t="s">
        <v>392</v>
      </c>
      <c r="G65" s="141" t="s">
        <v>407</v>
      </c>
      <c r="H65" s="141" t="s">
        <v>407</v>
      </c>
      <c r="I65" s="142" t="s">
        <v>310</v>
      </c>
      <c r="J65" s="142" t="s">
        <v>393</v>
      </c>
      <c r="K65" s="142" t="s">
        <v>404</v>
      </c>
    </row>
    <row r="66" spans="1:11" ht="15" customHeight="1" x14ac:dyDescent="0.25">
      <c r="A66" s="141" t="s">
        <v>413</v>
      </c>
      <c r="B66" s="141">
        <v>69</v>
      </c>
      <c r="C66" s="141">
        <v>4</v>
      </c>
      <c r="D66" s="141">
        <v>4</v>
      </c>
      <c r="E66" s="141" t="s">
        <v>392</v>
      </c>
      <c r="F66" s="141" t="s">
        <v>392</v>
      </c>
      <c r="G66" s="141" t="s">
        <v>412</v>
      </c>
      <c r="H66" s="141" t="s">
        <v>412</v>
      </c>
      <c r="I66" s="142" t="s">
        <v>310</v>
      </c>
      <c r="J66" s="142" t="s">
        <v>393</v>
      </c>
      <c r="K66" s="142" t="s">
        <v>409</v>
      </c>
    </row>
    <row r="67" spans="1:11" ht="15" customHeight="1" x14ac:dyDescent="0.25">
      <c r="A67" s="141" t="s">
        <v>418</v>
      </c>
      <c r="B67" s="141">
        <v>70</v>
      </c>
      <c r="C67" s="141">
        <v>4</v>
      </c>
      <c r="D67" s="141">
        <v>4</v>
      </c>
      <c r="E67" s="141" t="s">
        <v>392</v>
      </c>
      <c r="F67" s="141" t="s">
        <v>392</v>
      </c>
      <c r="G67" s="141" t="s">
        <v>417</v>
      </c>
      <c r="H67" s="141" t="s">
        <v>417</v>
      </c>
      <c r="I67" s="142" t="s">
        <v>310</v>
      </c>
      <c r="J67" s="142" t="s">
        <v>393</v>
      </c>
      <c r="K67" s="142" t="s">
        <v>414</v>
      </c>
    </row>
    <row r="68" spans="1:11" ht="15" customHeight="1" x14ac:dyDescent="0.25">
      <c r="A68" s="141" t="s">
        <v>426</v>
      </c>
      <c r="B68" s="141">
        <v>71</v>
      </c>
      <c r="C68" s="141">
        <v>5</v>
      </c>
      <c r="D68" s="141">
        <v>5</v>
      </c>
      <c r="E68" s="141" t="s">
        <v>420</v>
      </c>
      <c r="F68" s="141" t="s">
        <v>420</v>
      </c>
      <c r="G68" s="141" t="s">
        <v>425</v>
      </c>
      <c r="H68" s="141" t="s">
        <v>425</v>
      </c>
      <c r="I68" s="142" t="s">
        <v>419</v>
      </c>
      <c r="J68" s="142" t="s">
        <v>421</v>
      </c>
      <c r="K68" s="142" t="s">
        <v>422</v>
      </c>
    </row>
    <row r="69" spans="1:11" ht="15" customHeight="1" x14ac:dyDescent="0.25">
      <c r="A69" s="141" t="s">
        <v>431</v>
      </c>
      <c r="B69" s="141">
        <v>72</v>
      </c>
      <c r="C69" s="141">
        <v>5</v>
      </c>
      <c r="D69" s="141">
        <v>5</v>
      </c>
      <c r="E69" s="141" t="s">
        <v>420</v>
      </c>
      <c r="F69" s="141" t="s">
        <v>420</v>
      </c>
      <c r="G69" s="141" t="s">
        <v>430</v>
      </c>
      <c r="H69" s="141" t="s">
        <v>430</v>
      </c>
      <c r="I69" s="142" t="s">
        <v>419</v>
      </c>
      <c r="J69" s="142" t="s">
        <v>421</v>
      </c>
      <c r="K69" s="142" t="s">
        <v>427</v>
      </c>
    </row>
    <row r="70" spans="1:11" ht="15" customHeight="1" x14ac:dyDescent="0.25">
      <c r="A70" s="141" t="s">
        <v>436</v>
      </c>
      <c r="B70" s="141">
        <v>73</v>
      </c>
      <c r="C70" s="141">
        <v>5</v>
      </c>
      <c r="D70" s="141">
        <v>5</v>
      </c>
      <c r="E70" s="141" t="s">
        <v>420</v>
      </c>
      <c r="F70" s="141" t="s">
        <v>420</v>
      </c>
      <c r="G70" s="141" t="s">
        <v>435</v>
      </c>
      <c r="H70" s="141" t="s">
        <v>435</v>
      </c>
      <c r="I70" s="142" t="s">
        <v>419</v>
      </c>
      <c r="J70" s="142" t="s">
        <v>421</v>
      </c>
      <c r="K70" s="142" t="s">
        <v>432</v>
      </c>
    </row>
    <row r="71" spans="1:11" ht="15" customHeight="1" x14ac:dyDescent="0.25">
      <c r="A71" s="141" t="s">
        <v>441</v>
      </c>
      <c r="B71" s="141">
        <v>74</v>
      </c>
      <c r="C71" s="141">
        <v>5</v>
      </c>
      <c r="D71" s="141">
        <v>5</v>
      </c>
      <c r="E71" s="141" t="s">
        <v>420</v>
      </c>
      <c r="F71" s="141" t="s">
        <v>420</v>
      </c>
      <c r="G71" s="141" t="s">
        <v>440</v>
      </c>
      <c r="H71" s="141" t="s">
        <v>440</v>
      </c>
      <c r="I71" s="142" t="s">
        <v>419</v>
      </c>
      <c r="J71" s="142" t="s">
        <v>421</v>
      </c>
      <c r="K71" s="142" t="s">
        <v>437</v>
      </c>
    </row>
    <row r="72" spans="1:11" ht="15" customHeight="1" x14ac:dyDescent="0.25">
      <c r="A72" s="141" t="s">
        <v>446</v>
      </c>
      <c r="B72" s="141">
        <v>75</v>
      </c>
      <c r="C72" s="141">
        <v>5</v>
      </c>
      <c r="D72" s="141">
        <v>5</v>
      </c>
      <c r="E72" s="141" t="s">
        <v>420</v>
      </c>
      <c r="F72" s="141" t="s">
        <v>420</v>
      </c>
      <c r="G72" s="141" t="s">
        <v>445</v>
      </c>
      <c r="H72" s="141" t="s">
        <v>445</v>
      </c>
      <c r="I72" s="142" t="s">
        <v>419</v>
      </c>
      <c r="J72" s="142" t="s">
        <v>421</v>
      </c>
      <c r="K72" s="142" t="s">
        <v>442</v>
      </c>
    </row>
    <row r="73" spans="1:11" ht="15" customHeight="1" x14ac:dyDescent="0.25">
      <c r="A73" s="141" t="s">
        <v>453</v>
      </c>
      <c r="B73" s="141">
        <v>76</v>
      </c>
      <c r="C73" s="141">
        <v>5</v>
      </c>
      <c r="D73" s="141">
        <v>5</v>
      </c>
      <c r="E73" s="141" t="s">
        <v>447</v>
      </c>
      <c r="F73" s="141" t="s">
        <v>447</v>
      </c>
      <c r="G73" s="141" t="s">
        <v>452</v>
      </c>
      <c r="H73" s="141" t="s">
        <v>452</v>
      </c>
      <c r="I73" s="142" t="s">
        <v>419</v>
      </c>
      <c r="J73" s="142" t="s">
        <v>448</v>
      </c>
      <c r="K73" s="142" t="s">
        <v>449</v>
      </c>
    </row>
    <row r="74" spans="1:11" ht="15" customHeight="1" x14ac:dyDescent="0.25">
      <c r="A74" s="141" t="s">
        <v>458</v>
      </c>
      <c r="B74" s="141">
        <v>77</v>
      </c>
      <c r="C74" s="141">
        <v>5</v>
      </c>
      <c r="D74" s="141">
        <v>5</v>
      </c>
      <c r="E74" s="141" t="s">
        <v>447</v>
      </c>
      <c r="F74" s="141" t="s">
        <v>447</v>
      </c>
      <c r="G74" s="141" t="s">
        <v>457</v>
      </c>
      <c r="H74" s="141" t="s">
        <v>457</v>
      </c>
      <c r="I74" s="142" t="s">
        <v>419</v>
      </c>
      <c r="J74" s="142" t="s">
        <v>448</v>
      </c>
      <c r="K74" s="142" t="s">
        <v>454</v>
      </c>
    </row>
    <row r="75" spans="1:11" ht="15" customHeight="1" x14ac:dyDescent="0.25">
      <c r="A75" s="141" t="s">
        <v>463</v>
      </c>
      <c r="B75" s="141">
        <v>78</v>
      </c>
      <c r="C75" s="141">
        <v>5</v>
      </c>
      <c r="D75" s="141">
        <v>5</v>
      </c>
      <c r="E75" s="141" t="s">
        <v>447</v>
      </c>
      <c r="F75" s="141" t="s">
        <v>447</v>
      </c>
      <c r="G75" s="141" t="s">
        <v>462</v>
      </c>
      <c r="H75" s="141" t="s">
        <v>462</v>
      </c>
      <c r="I75" s="142" t="s">
        <v>419</v>
      </c>
      <c r="J75" s="142" t="s">
        <v>448</v>
      </c>
      <c r="K75" s="142" t="s">
        <v>459</v>
      </c>
    </row>
    <row r="76" spans="1:11" ht="15" customHeight="1" x14ac:dyDescent="0.25">
      <c r="A76" s="141" t="s">
        <v>468</v>
      </c>
      <c r="B76" s="141">
        <v>79</v>
      </c>
      <c r="C76" s="141">
        <v>5</v>
      </c>
      <c r="D76" s="141">
        <v>5</v>
      </c>
      <c r="E76" s="141" t="s">
        <v>447</v>
      </c>
      <c r="F76" s="141" t="s">
        <v>447</v>
      </c>
      <c r="G76" s="141" t="s">
        <v>467</v>
      </c>
      <c r="H76" s="141" t="s">
        <v>467</v>
      </c>
      <c r="I76" s="142" t="s">
        <v>419</v>
      </c>
      <c r="J76" s="142" t="s">
        <v>448</v>
      </c>
      <c r="K76" s="142" t="s">
        <v>464</v>
      </c>
    </row>
    <row r="77" spans="1:11" ht="15" customHeight="1" x14ac:dyDescent="0.25">
      <c r="A77" s="141" t="s">
        <v>475</v>
      </c>
      <c r="B77" s="141">
        <v>80</v>
      </c>
      <c r="C77" s="141">
        <v>5</v>
      </c>
      <c r="D77" s="141">
        <v>5</v>
      </c>
      <c r="E77" s="141" t="s">
        <v>469</v>
      </c>
      <c r="F77" s="141" t="s">
        <v>469</v>
      </c>
      <c r="G77" s="141" t="s">
        <v>474</v>
      </c>
      <c r="H77" s="141" t="s">
        <v>474</v>
      </c>
      <c r="I77" s="142" t="s">
        <v>419</v>
      </c>
      <c r="J77" s="142" t="s">
        <v>470</v>
      </c>
      <c r="K77" s="142" t="s">
        <v>471</v>
      </c>
    </row>
    <row r="78" spans="1:11" ht="15" customHeight="1" x14ac:dyDescent="0.25">
      <c r="A78" s="141" t="s">
        <v>480</v>
      </c>
      <c r="B78" s="141">
        <v>81</v>
      </c>
      <c r="C78" s="141">
        <v>5</v>
      </c>
      <c r="D78" s="141">
        <v>5</v>
      </c>
      <c r="E78" s="141" t="s">
        <v>469</v>
      </c>
      <c r="F78" s="141" t="s">
        <v>469</v>
      </c>
      <c r="G78" s="141" t="s">
        <v>479</v>
      </c>
      <c r="H78" s="141" t="s">
        <v>479</v>
      </c>
      <c r="I78" s="142" t="s">
        <v>419</v>
      </c>
      <c r="J78" s="142" t="s">
        <v>470</v>
      </c>
      <c r="K78" s="142" t="s">
        <v>476</v>
      </c>
    </row>
    <row r="79" spans="1:11" ht="15" customHeight="1" x14ac:dyDescent="0.25">
      <c r="A79" s="141" t="s">
        <v>485</v>
      </c>
      <c r="B79" s="141">
        <v>82</v>
      </c>
      <c r="C79" s="141">
        <v>5</v>
      </c>
      <c r="D79" s="141">
        <v>5</v>
      </c>
      <c r="E79" s="141" t="s">
        <v>469</v>
      </c>
      <c r="F79" s="141" t="s">
        <v>469</v>
      </c>
      <c r="G79" s="141" t="s">
        <v>484</v>
      </c>
      <c r="H79" s="141" t="s">
        <v>484</v>
      </c>
      <c r="I79" s="142" t="s">
        <v>419</v>
      </c>
      <c r="J79" s="142" t="s">
        <v>470</v>
      </c>
      <c r="K79" s="142" t="s">
        <v>481</v>
      </c>
    </row>
    <row r="80" spans="1:11" ht="15" customHeight="1" x14ac:dyDescent="0.25">
      <c r="A80" s="141" t="s">
        <v>490</v>
      </c>
      <c r="B80" s="141">
        <v>83</v>
      </c>
      <c r="C80" s="141">
        <v>5</v>
      </c>
      <c r="D80" s="141">
        <v>5</v>
      </c>
      <c r="E80" s="141" t="s">
        <v>469</v>
      </c>
      <c r="F80" s="141" t="s">
        <v>469</v>
      </c>
      <c r="G80" s="141" t="s">
        <v>489</v>
      </c>
      <c r="H80" s="141" t="s">
        <v>489</v>
      </c>
      <c r="I80" s="142" t="s">
        <v>419</v>
      </c>
      <c r="J80" s="142" t="s">
        <v>470</v>
      </c>
      <c r="K80" s="142" t="s">
        <v>486</v>
      </c>
    </row>
    <row r="81" spans="1:11" ht="15" customHeight="1" x14ac:dyDescent="0.25">
      <c r="A81" s="141" t="s">
        <v>497</v>
      </c>
      <c r="B81" s="141">
        <v>84</v>
      </c>
      <c r="C81" s="141">
        <v>5</v>
      </c>
      <c r="D81" s="141">
        <v>5</v>
      </c>
      <c r="E81" s="141" t="s">
        <v>491</v>
      </c>
      <c r="F81" s="141" t="s">
        <v>491</v>
      </c>
      <c r="G81" s="141" t="s">
        <v>496</v>
      </c>
      <c r="H81" s="141" t="s">
        <v>496</v>
      </c>
      <c r="I81" s="142" t="s">
        <v>419</v>
      </c>
      <c r="J81" s="142" t="s">
        <v>492</v>
      </c>
      <c r="K81" s="142" t="s">
        <v>493</v>
      </c>
    </row>
    <row r="82" spans="1:11" ht="15" customHeight="1" x14ac:dyDescent="0.25">
      <c r="A82" s="141" t="s">
        <v>502</v>
      </c>
      <c r="B82" s="141">
        <v>85</v>
      </c>
      <c r="C82" s="141">
        <v>5</v>
      </c>
      <c r="D82" s="141">
        <v>5</v>
      </c>
      <c r="E82" s="141" t="s">
        <v>491</v>
      </c>
      <c r="F82" s="141" t="s">
        <v>491</v>
      </c>
      <c r="G82" s="141" t="s">
        <v>501</v>
      </c>
      <c r="H82" s="141" t="s">
        <v>501</v>
      </c>
      <c r="I82" s="142" t="s">
        <v>419</v>
      </c>
      <c r="J82" s="142" t="s">
        <v>492</v>
      </c>
      <c r="K82" s="142" t="s">
        <v>498</v>
      </c>
    </row>
    <row r="83" spans="1:11" ht="15" customHeight="1" x14ac:dyDescent="0.25">
      <c r="A83" s="141" t="s">
        <v>509</v>
      </c>
      <c r="B83" s="141">
        <v>86</v>
      </c>
      <c r="C83" s="141">
        <v>5</v>
      </c>
      <c r="D83" s="141">
        <v>5</v>
      </c>
      <c r="E83" s="141" t="s">
        <v>503</v>
      </c>
      <c r="F83" s="141" t="s">
        <v>503</v>
      </c>
      <c r="G83" s="141" t="s">
        <v>508</v>
      </c>
      <c r="H83" s="141" t="s">
        <v>508</v>
      </c>
      <c r="I83" s="142" t="s">
        <v>419</v>
      </c>
      <c r="J83" s="142" t="s">
        <v>504</v>
      </c>
      <c r="K83" s="142" t="s">
        <v>505</v>
      </c>
    </row>
    <row r="84" spans="1:11" ht="15" customHeight="1" x14ac:dyDescent="0.25">
      <c r="A84" s="141" t="s">
        <v>514</v>
      </c>
      <c r="B84" s="141">
        <v>87</v>
      </c>
      <c r="C84" s="141">
        <v>5</v>
      </c>
      <c r="D84" s="141">
        <v>5</v>
      </c>
      <c r="E84" s="141" t="s">
        <v>503</v>
      </c>
      <c r="F84" s="141" t="s">
        <v>503</v>
      </c>
      <c r="G84" s="141" t="s">
        <v>513</v>
      </c>
      <c r="H84" s="141" t="s">
        <v>513</v>
      </c>
      <c r="I84" s="142" t="s">
        <v>419</v>
      </c>
      <c r="J84" s="142" t="s">
        <v>504</v>
      </c>
      <c r="K84" s="142" t="s">
        <v>510</v>
      </c>
    </row>
    <row r="85" spans="1:11" ht="15" customHeight="1" x14ac:dyDescent="0.25">
      <c r="A85" s="141" t="s">
        <v>519</v>
      </c>
      <c r="B85" s="141">
        <v>88</v>
      </c>
      <c r="C85" s="141">
        <v>5</v>
      </c>
      <c r="D85" s="141">
        <v>5</v>
      </c>
      <c r="E85" s="141" t="s">
        <v>503</v>
      </c>
      <c r="F85" s="141" t="s">
        <v>503</v>
      </c>
      <c r="G85" s="141" t="s">
        <v>518</v>
      </c>
      <c r="H85" s="141" t="s">
        <v>518</v>
      </c>
      <c r="I85" s="142" t="s">
        <v>419</v>
      </c>
      <c r="J85" s="142" t="s">
        <v>504</v>
      </c>
      <c r="K85" s="142" t="s">
        <v>515</v>
      </c>
    </row>
    <row r="86" spans="1:11" ht="15" customHeight="1" x14ac:dyDescent="0.25">
      <c r="A86" s="141" t="s">
        <v>524</v>
      </c>
      <c r="B86" s="141">
        <v>89</v>
      </c>
      <c r="C86" s="141">
        <v>5</v>
      </c>
      <c r="D86" s="141">
        <v>5</v>
      </c>
      <c r="E86" s="141" t="s">
        <v>503</v>
      </c>
      <c r="F86" s="141" t="s">
        <v>503</v>
      </c>
      <c r="G86" s="141" t="s">
        <v>523</v>
      </c>
      <c r="H86" s="141" t="s">
        <v>523</v>
      </c>
      <c r="I86" s="142" t="s">
        <v>419</v>
      </c>
      <c r="J86" s="142" t="s">
        <v>504</v>
      </c>
      <c r="K86" s="142" t="s">
        <v>520</v>
      </c>
    </row>
    <row r="87" spans="1:11" ht="15" customHeight="1" x14ac:dyDescent="0.25">
      <c r="A87" s="141" t="s">
        <v>531</v>
      </c>
      <c r="B87" s="141">
        <v>90</v>
      </c>
      <c r="C87" s="141">
        <v>5</v>
      </c>
      <c r="D87" s="141">
        <v>5</v>
      </c>
      <c r="E87" s="141" t="s">
        <v>525</v>
      </c>
      <c r="F87" s="141" t="s">
        <v>525</v>
      </c>
      <c r="G87" s="141" t="s">
        <v>530</v>
      </c>
      <c r="H87" s="141" t="s">
        <v>530</v>
      </c>
      <c r="I87" s="142" t="s">
        <v>419</v>
      </c>
      <c r="J87" s="142" t="s">
        <v>526</v>
      </c>
      <c r="K87" s="142" t="s">
        <v>527</v>
      </c>
    </row>
    <row r="88" spans="1:11" ht="15" customHeight="1" x14ac:dyDescent="0.25">
      <c r="A88" s="141" t="s">
        <v>536</v>
      </c>
      <c r="B88" s="141">
        <v>91</v>
      </c>
      <c r="C88" s="141">
        <v>5</v>
      </c>
      <c r="D88" s="141">
        <v>5</v>
      </c>
      <c r="E88" s="141" t="s">
        <v>525</v>
      </c>
      <c r="F88" s="141" t="s">
        <v>525</v>
      </c>
      <c r="G88" s="141" t="s">
        <v>535</v>
      </c>
      <c r="H88" s="141" t="s">
        <v>535</v>
      </c>
      <c r="I88" s="142" t="s">
        <v>419</v>
      </c>
      <c r="J88" s="142" t="s">
        <v>526</v>
      </c>
      <c r="K88" s="142" t="s">
        <v>532</v>
      </c>
    </row>
    <row r="89" spans="1:11" ht="15" customHeight="1" x14ac:dyDescent="0.25">
      <c r="A89" s="141" t="s">
        <v>541</v>
      </c>
      <c r="B89" s="141">
        <v>92</v>
      </c>
      <c r="C89" s="141">
        <v>5</v>
      </c>
      <c r="D89" s="141">
        <v>5</v>
      </c>
      <c r="E89" s="141" t="s">
        <v>525</v>
      </c>
      <c r="F89" s="141" t="s">
        <v>525</v>
      </c>
      <c r="G89" s="141" t="s">
        <v>540</v>
      </c>
      <c r="H89" s="141" t="s">
        <v>540</v>
      </c>
      <c r="I89" s="142" t="s">
        <v>419</v>
      </c>
      <c r="J89" s="142" t="s">
        <v>526</v>
      </c>
      <c r="K89" s="142" t="s">
        <v>537</v>
      </c>
    </row>
    <row r="90" spans="1:11" ht="15" customHeight="1" x14ac:dyDescent="0.25">
      <c r="A90" s="141" t="s">
        <v>549</v>
      </c>
      <c r="B90" s="141">
        <v>93</v>
      </c>
      <c r="C90" s="141">
        <v>6</v>
      </c>
      <c r="D90" s="141">
        <v>6</v>
      </c>
      <c r="E90" s="141" t="s">
        <v>543</v>
      </c>
      <c r="F90" s="141" t="s">
        <v>543</v>
      </c>
      <c r="G90" s="141" t="s">
        <v>548</v>
      </c>
      <c r="H90" s="141" t="s">
        <v>548</v>
      </c>
      <c r="I90" s="142" t="s">
        <v>542</v>
      </c>
      <c r="J90" s="142" t="s">
        <v>544</v>
      </c>
      <c r="K90" s="142" t="s">
        <v>545</v>
      </c>
    </row>
    <row r="91" spans="1:11" ht="15" customHeight="1" x14ac:dyDescent="0.25">
      <c r="A91" s="141" t="s">
        <v>554</v>
      </c>
      <c r="B91" s="141">
        <v>94</v>
      </c>
      <c r="C91" s="141">
        <v>6</v>
      </c>
      <c r="D91" s="141">
        <v>6</v>
      </c>
      <c r="E91" s="141" t="s">
        <v>543</v>
      </c>
      <c r="F91" s="141" t="s">
        <v>543</v>
      </c>
      <c r="G91" s="141" t="s">
        <v>553</v>
      </c>
      <c r="H91" s="141" t="s">
        <v>553</v>
      </c>
      <c r="I91" s="142" t="s">
        <v>542</v>
      </c>
      <c r="J91" s="142" t="s">
        <v>544</v>
      </c>
      <c r="K91" s="142" t="s">
        <v>550</v>
      </c>
    </row>
    <row r="92" spans="1:11" ht="15" customHeight="1" x14ac:dyDescent="0.25">
      <c r="A92" s="141" t="s">
        <v>559</v>
      </c>
      <c r="B92" s="141">
        <v>95</v>
      </c>
      <c r="C92" s="141">
        <v>6</v>
      </c>
      <c r="D92" s="141">
        <v>6</v>
      </c>
      <c r="E92" s="141" t="s">
        <v>543</v>
      </c>
      <c r="F92" s="141" t="s">
        <v>543</v>
      </c>
      <c r="G92" s="141" t="s">
        <v>558</v>
      </c>
      <c r="H92" s="141" t="s">
        <v>558</v>
      </c>
      <c r="I92" s="142" t="s">
        <v>542</v>
      </c>
      <c r="J92" s="142" t="s">
        <v>544</v>
      </c>
      <c r="K92" s="142" t="s">
        <v>555</v>
      </c>
    </row>
    <row r="93" spans="1:11" ht="15" customHeight="1" x14ac:dyDescent="0.25">
      <c r="A93" s="141" t="s">
        <v>564</v>
      </c>
      <c r="B93" s="141">
        <v>96</v>
      </c>
      <c r="C93" s="141">
        <v>6</v>
      </c>
      <c r="D93" s="141">
        <v>6</v>
      </c>
      <c r="E93" s="141" t="s">
        <v>543</v>
      </c>
      <c r="F93" s="141" t="s">
        <v>543</v>
      </c>
      <c r="G93" s="141" t="s">
        <v>563</v>
      </c>
      <c r="H93" s="141" t="s">
        <v>563</v>
      </c>
      <c r="I93" s="142" t="s">
        <v>542</v>
      </c>
      <c r="J93" s="142" t="s">
        <v>544</v>
      </c>
      <c r="K93" s="142" t="s">
        <v>560</v>
      </c>
    </row>
    <row r="94" spans="1:11" ht="15" customHeight="1" x14ac:dyDescent="0.25">
      <c r="A94" s="141" t="s">
        <v>569</v>
      </c>
      <c r="B94" s="141">
        <v>97</v>
      </c>
      <c r="C94" s="141">
        <v>6</v>
      </c>
      <c r="D94" s="141">
        <v>6</v>
      </c>
      <c r="E94" s="141" t="s">
        <v>543</v>
      </c>
      <c r="F94" s="141" t="s">
        <v>543</v>
      </c>
      <c r="G94" s="141" t="s">
        <v>568</v>
      </c>
      <c r="H94" s="141" t="s">
        <v>568</v>
      </c>
      <c r="I94" s="142" t="s">
        <v>542</v>
      </c>
      <c r="J94" s="142" t="s">
        <v>544</v>
      </c>
      <c r="K94" s="142" t="s">
        <v>565</v>
      </c>
    </row>
    <row r="95" spans="1:11" ht="15" customHeight="1" x14ac:dyDescent="0.25">
      <c r="A95" s="141" t="s">
        <v>574</v>
      </c>
      <c r="B95" s="141">
        <v>98</v>
      </c>
      <c r="C95" s="141">
        <v>6</v>
      </c>
      <c r="D95" s="141">
        <v>6</v>
      </c>
      <c r="E95" s="141" t="s">
        <v>543</v>
      </c>
      <c r="F95" s="141" t="s">
        <v>543</v>
      </c>
      <c r="G95" s="141" t="s">
        <v>573</v>
      </c>
      <c r="H95" s="141" t="s">
        <v>573</v>
      </c>
      <c r="I95" s="142" t="s">
        <v>542</v>
      </c>
      <c r="J95" s="142" t="s">
        <v>544</v>
      </c>
      <c r="K95" s="142" t="s">
        <v>570</v>
      </c>
    </row>
    <row r="96" spans="1:11" ht="15" customHeight="1" x14ac:dyDescent="0.25">
      <c r="A96" s="141" t="s">
        <v>578</v>
      </c>
      <c r="B96" s="141">
        <v>99</v>
      </c>
      <c r="C96" s="141">
        <v>6</v>
      </c>
      <c r="D96" s="141">
        <v>6</v>
      </c>
      <c r="E96" s="141" t="s">
        <v>543</v>
      </c>
      <c r="F96" s="141" t="s">
        <v>543</v>
      </c>
      <c r="G96" s="141" t="s">
        <v>577</v>
      </c>
      <c r="H96" s="141" t="s">
        <v>577</v>
      </c>
      <c r="I96" s="142" t="s">
        <v>542</v>
      </c>
      <c r="J96" s="142" t="s">
        <v>544</v>
      </c>
      <c r="K96" s="142" t="s">
        <v>575</v>
      </c>
    </row>
    <row r="97" spans="1:11" ht="15" customHeight="1" x14ac:dyDescent="0.25">
      <c r="A97" s="141" t="s">
        <v>582</v>
      </c>
      <c r="B97" s="141">
        <v>100</v>
      </c>
      <c r="C97" s="141">
        <v>6</v>
      </c>
      <c r="D97" s="141">
        <v>6</v>
      </c>
      <c r="E97" s="141" t="s">
        <v>543</v>
      </c>
      <c r="F97" s="141" t="s">
        <v>543</v>
      </c>
      <c r="G97" s="141" t="s">
        <v>581</v>
      </c>
      <c r="H97" s="141" t="s">
        <v>581</v>
      </c>
      <c r="I97" s="142" t="s">
        <v>542</v>
      </c>
      <c r="J97" s="142" t="s">
        <v>544</v>
      </c>
      <c r="K97" s="142" t="s">
        <v>579</v>
      </c>
    </row>
    <row r="98" spans="1:11" ht="15" customHeight="1" x14ac:dyDescent="0.25">
      <c r="A98" s="141" t="s">
        <v>586</v>
      </c>
      <c r="B98" s="141">
        <v>101</v>
      </c>
      <c r="C98" s="141">
        <v>6</v>
      </c>
      <c r="D98" s="141">
        <v>6</v>
      </c>
      <c r="E98" s="141" t="s">
        <v>543</v>
      </c>
      <c r="F98" s="141" t="s">
        <v>543</v>
      </c>
      <c r="G98" s="141" t="s">
        <v>585</v>
      </c>
      <c r="H98" s="141" t="s">
        <v>585</v>
      </c>
      <c r="I98" s="142" t="s">
        <v>542</v>
      </c>
      <c r="J98" s="142" t="s">
        <v>544</v>
      </c>
      <c r="K98" s="142" t="s">
        <v>583</v>
      </c>
    </row>
    <row r="99" spans="1:11" ht="15" customHeight="1" x14ac:dyDescent="0.25">
      <c r="A99" s="141" t="s">
        <v>590</v>
      </c>
      <c r="B99" s="141">
        <v>102</v>
      </c>
      <c r="C99" s="141">
        <v>6</v>
      </c>
      <c r="D99" s="141">
        <v>6</v>
      </c>
      <c r="E99" s="141" t="s">
        <v>543</v>
      </c>
      <c r="F99" s="141" t="s">
        <v>543</v>
      </c>
      <c r="G99" s="141" t="s">
        <v>589</v>
      </c>
      <c r="H99" s="141" t="s">
        <v>589</v>
      </c>
      <c r="I99" s="142" t="s">
        <v>542</v>
      </c>
      <c r="J99" s="142" t="s">
        <v>544</v>
      </c>
      <c r="K99" s="142" t="s">
        <v>587</v>
      </c>
    </row>
    <row r="100" spans="1:11" ht="15" customHeight="1" x14ac:dyDescent="0.25">
      <c r="A100" s="141" t="s">
        <v>594</v>
      </c>
      <c r="B100" s="141">
        <v>103</v>
      </c>
      <c r="C100" s="141">
        <v>6</v>
      </c>
      <c r="D100" s="141">
        <v>6</v>
      </c>
      <c r="E100" s="141" t="s">
        <v>543</v>
      </c>
      <c r="F100" s="141" t="s">
        <v>543</v>
      </c>
      <c r="G100" s="141" t="s">
        <v>593</v>
      </c>
      <c r="H100" s="141" t="s">
        <v>593</v>
      </c>
      <c r="I100" s="142" t="s">
        <v>542</v>
      </c>
      <c r="J100" s="142" t="s">
        <v>544</v>
      </c>
      <c r="K100" s="142" t="s">
        <v>591</v>
      </c>
    </row>
    <row r="101" spans="1:11" ht="15" customHeight="1" x14ac:dyDescent="0.25">
      <c r="A101" s="141" t="s">
        <v>598</v>
      </c>
      <c r="B101" s="141">
        <v>104</v>
      </c>
      <c r="C101" s="141">
        <v>6</v>
      </c>
      <c r="D101" s="141">
        <v>6</v>
      </c>
      <c r="E101" s="141" t="s">
        <v>543</v>
      </c>
      <c r="F101" s="141" t="s">
        <v>543</v>
      </c>
      <c r="G101" s="141" t="s">
        <v>597</v>
      </c>
      <c r="H101" s="141" t="s">
        <v>597</v>
      </c>
      <c r="I101" s="142" t="s">
        <v>542</v>
      </c>
      <c r="J101" s="142" t="s">
        <v>544</v>
      </c>
      <c r="K101" s="142" t="s">
        <v>595</v>
      </c>
    </row>
    <row r="102" spans="1:11" ht="15" customHeight="1" x14ac:dyDescent="0.25">
      <c r="A102" s="141" t="s">
        <v>602</v>
      </c>
      <c r="B102" s="141">
        <v>105</v>
      </c>
      <c r="C102" s="141">
        <v>6</v>
      </c>
      <c r="D102" s="141">
        <v>6</v>
      </c>
      <c r="E102" s="141" t="s">
        <v>543</v>
      </c>
      <c r="F102" s="141" t="s">
        <v>543</v>
      </c>
      <c r="G102" s="141" t="s">
        <v>601</v>
      </c>
      <c r="H102" s="141" t="s">
        <v>601</v>
      </c>
      <c r="I102" s="142" t="s">
        <v>542</v>
      </c>
      <c r="J102" s="142" t="s">
        <v>544</v>
      </c>
      <c r="K102" s="142" t="s">
        <v>599</v>
      </c>
    </row>
    <row r="103" spans="1:11" ht="15" customHeight="1" x14ac:dyDescent="0.25">
      <c r="A103" s="141" t="s">
        <v>606</v>
      </c>
      <c r="B103" s="141">
        <v>106</v>
      </c>
      <c r="C103" s="141">
        <v>6</v>
      </c>
      <c r="D103" s="141">
        <v>6</v>
      </c>
      <c r="E103" s="141" t="s">
        <v>543</v>
      </c>
      <c r="F103" s="141" t="s">
        <v>543</v>
      </c>
      <c r="G103" s="141" t="s">
        <v>605</v>
      </c>
      <c r="H103" s="141" t="s">
        <v>605</v>
      </c>
      <c r="I103" s="142" t="s">
        <v>542</v>
      </c>
      <c r="J103" s="142" t="s">
        <v>544</v>
      </c>
      <c r="K103" s="142" t="s">
        <v>603</v>
      </c>
    </row>
    <row r="104" spans="1:11" ht="15" customHeight="1" x14ac:dyDescent="0.25">
      <c r="A104" s="141" t="s">
        <v>609</v>
      </c>
      <c r="B104" s="141">
        <v>107</v>
      </c>
      <c r="C104" s="141">
        <v>6</v>
      </c>
      <c r="D104" s="141">
        <v>6</v>
      </c>
      <c r="E104" s="141" t="s">
        <v>543</v>
      </c>
      <c r="F104" s="141" t="s">
        <v>543</v>
      </c>
      <c r="G104" s="141" t="s">
        <v>608</v>
      </c>
      <c r="H104" s="141" t="s">
        <v>608</v>
      </c>
      <c r="I104" s="142" t="s">
        <v>542</v>
      </c>
      <c r="J104" s="142" t="s">
        <v>544</v>
      </c>
      <c r="K104" s="142" t="s">
        <v>591</v>
      </c>
    </row>
    <row r="105" spans="1:11" ht="15" customHeight="1" x14ac:dyDescent="0.25">
      <c r="A105" s="141" t="s">
        <v>613</v>
      </c>
      <c r="B105" s="141">
        <v>108</v>
      </c>
      <c r="C105" s="141">
        <v>6</v>
      </c>
      <c r="D105" s="141">
        <v>6</v>
      </c>
      <c r="E105" s="141" t="s">
        <v>543</v>
      </c>
      <c r="F105" s="141" t="s">
        <v>543</v>
      </c>
      <c r="G105" s="141" t="s">
        <v>612</v>
      </c>
      <c r="H105" s="141" t="s">
        <v>612</v>
      </c>
      <c r="I105" s="142" t="s">
        <v>542</v>
      </c>
      <c r="J105" s="142" t="s">
        <v>544</v>
      </c>
      <c r="K105" s="142" t="s">
        <v>610</v>
      </c>
    </row>
    <row r="106" spans="1:11" ht="15" customHeight="1" x14ac:dyDescent="0.25">
      <c r="A106" s="141" t="s">
        <v>617</v>
      </c>
      <c r="B106" s="141">
        <v>109</v>
      </c>
      <c r="C106" s="141">
        <v>6</v>
      </c>
      <c r="D106" s="141">
        <v>6</v>
      </c>
      <c r="E106" s="141" t="s">
        <v>543</v>
      </c>
      <c r="F106" s="141" t="s">
        <v>543</v>
      </c>
      <c r="G106" s="141" t="s">
        <v>616</v>
      </c>
      <c r="H106" s="141" t="s">
        <v>616</v>
      </c>
      <c r="I106" s="142" t="s">
        <v>542</v>
      </c>
      <c r="J106" s="142" t="s">
        <v>544</v>
      </c>
      <c r="K106" s="142" t="s">
        <v>614</v>
      </c>
    </row>
    <row r="107" spans="1:11" ht="15" customHeight="1" x14ac:dyDescent="0.25">
      <c r="A107" s="141" t="s">
        <v>620</v>
      </c>
      <c r="B107" s="141">
        <v>110</v>
      </c>
      <c r="C107" s="141">
        <v>6</v>
      </c>
      <c r="D107" s="141">
        <v>6</v>
      </c>
      <c r="E107" s="141" t="s">
        <v>543</v>
      </c>
      <c r="F107" s="141" t="s">
        <v>543</v>
      </c>
      <c r="G107" s="141" t="s">
        <v>619</v>
      </c>
      <c r="H107" s="141" t="s">
        <v>619</v>
      </c>
      <c r="I107" s="142" t="s">
        <v>542</v>
      </c>
      <c r="J107" s="142" t="s">
        <v>544</v>
      </c>
      <c r="K107" s="142" t="s">
        <v>603</v>
      </c>
    </row>
    <row r="108" spans="1:11" ht="15" customHeight="1" x14ac:dyDescent="0.25">
      <c r="A108" s="141" t="s">
        <v>623</v>
      </c>
      <c r="B108" s="141">
        <v>111</v>
      </c>
      <c r="C108" s="141">
        <v>6</v>
      </c>
      <c r="D108" s="141">
        <v>6</v>
      </c>
      <c r="E108" s="141" t="s">
        <v>543</v>
      </c>
      <c r="F108" s="141" t="s">
        <v>543</v>
      </c>
      <c r="G108" s="141" t="s">
        <v>622</v>
      </c>
      <c r="H108" s="141" t="s">
        <v>622</v>
      </c>
      <c r="I108" s="142" t="s">
        <v>542</v>
      </c>
      <c r="J108" s="142" t="s">
        <v>544</v>
      </c>
      <c r="K108" s="142" t="s">
        <v>603</v>
      </c>
    </row>
    <row r="109" spans="1:11" ht="15" customHeight="1" x14ac:dyDescent="0.25">
      <c r="A109" s="141" t="s">
        <v>626</v>
      </c>
      <c r="B109" s="141">
        <v>112</v>
      </c>
      <c r="C109" s="141">
        <v>6</v>
      </c>
      <c r="D109" s="141">
        <v>6</v>
      </c>
      <c r="E109" s="141" t="s">
        <v>543</v>
      </c>
      <c r="F109" s="141" t="s">
        <v>543</v>
      </c>
      <c r="G109" s="141" t="s">
        <v>625</v>
      </c>
      <c r="H109" s="141" t="s">
        <v>625</v>
      </c>
      <c r="I109" s="142" t="s">
        <v>542</v>
      </c>
      <c r="J109" s="142" t="s">
        <v>544</v>
      </c>
      <c r="K109" s="142" t="s">
        <v>603</v>
      </c>
    </row>
    <row r="110" spans="1:11" ht="15" customHeight="1" x14ac:dyDescent="0.25">
      <c r="A110" s="141" t="s">
        <v>630</v>
      </c>
      <c r="B110" s="141">
        <v>113</v>
      </c>
      <c r="C110" s="141">
        <v>6</v>
      </c>
      <c r="D110" s="141">
        <v>6</v>
      </c>
      <c r="E110" s="141" t="s">
        <v>543</v>
      </c>
      <c r="F110" s="141" t="s">
        <v>543</v>
      </c>
      <c r="G110" s="141" t="s">
        <v>629</v>
      </c>
      <c r="H110" s="141" t="s">
        <v>629</v>
      </c>
      <c r="I110" s="142" t="s">
        <v>542</v>
      </c>
      <c r="J110" s="142" t="s">
        <v>544</v>
      </c>
      <c r="K110" s="142" t="s">
        <v>627</v>
      </c>
    </row>
    <row r="111" spans="1:11" ht="15" customHeight="1" x14ac:dyDescent="0.25">
      <c r="A111" s="141" t="s">
        <v>633</v>
      </c>
      <c r="B111" s="141">
        <v>114</v>
      </c>
      <c r="C111" s="141">
        <v>6</v>
      </c>
      <c r="D111" s="141">
        <v>6</v>
      </c>
      <c r="E111" s="141" t="s">
        <v>543</v>
      </c>
      <c r="F111" s="141" t="s">
        <v>543</v>
      </c>
      <c r="G111" s="141" t="s">
        <v>632</v>
      </c>
      <c r="H111" s="141" t="s">
        <v>632</v>
      </c>
      <c r="I111" s="142" t="s">
        <v>542</v>
      </c>
      <c r="J111" s="142" t="s">
        <v>544</v>
      </c>
      <c r="K111" s="142" t="s">
        <v>579</v>
      </c>
    </row>
    <row r="112" spans="1:11" ht="15" customHeight="1" x14ac:dyDescent="0.25">
      <c r="A112" s="141" t="s">
        <v>637</v>
      </c>
      <c r="B112" s="141">
        <v>115</v>
      </c>
      <c r="C112" s="141">
        <v>6</v>
      </c>
      <c r="D112" s="141">
        <v>6</v>
      </c>
      <c r="E112" s="141" t="s">
        <v>543</v>
      </c>
      <c r="F112" s="141" t="s">
        <v>543</v>
      </c>
      <c r="G112" s="141" t="s">
        <v>636</v>
      </c>
      <c r="H112" s="141" t="s">
        <v>636</v>
      </c>
      <c r="I112" s="142" t="s">
        <v>542</v>
      </c>
      <c r="J112" s="142" t="s">
        <v>544</v>
      </c>
      <c r="K112" s="142" t="s">
        <v>634</v>
      </c>
    </row>
    <row r="113" spans="1:11" ht="15" customHeight="1" x14ac:dyDescent="0.25">
      <c r="A113" s="141" t="s">
        <v>640</v>
      </c>
      <c r="B113" s="141">
        <v>116</v>
      </c>
      <c r="C113" s="141">
        <v>6</v>
      </c>
      <c r="D113" s="141">
        <v>6</v>
      </c>
      <c r="E113" s="141" t="s">
        <v>543</v>
      </c>
      <c r="F113" s="141" t="s">
        <v>543</v>
      </c>
      <c r="G113" s="141" t="s">
        <v>639</v>
      </c>
      <c r="H113" s="141" t="s">
        <v>639</v>
      </c>
      <c r="I113" s="142" t="s">
        <v>542</v>
      </c>
      <c r="J113" s="142" t="s">
        <v>544</v>
      </c>
      <c r="K113" s="142" t="s">
        <v>603</v>
      </c>
    </row>
    <row r="114" spans="1:11" ht="15" customHeight="1" x14ac:dyDescent="0.25">
      <c r="A114" s="141" t="s">
        <v>643</v>
      </c>
      <c r="B114" s="141">
        <v>117</v>
      </c>
      <c r="C114" s="141">
        <v>6</v>
      </c>
      <c r="D114" s="141">
        <v>6</v>
      </c>
      <c r="E114" s="141" t="s">
        <v>543</v>
      </c>
      <c r="F114" s="141" t="s">
        <v>543</v>
      </c>
      <c r="G114" s="141" t="s">
        <v>642</v>
      </c>
      <c r="H114" s="141" t="s">
        <v>642</v>
      </c>
      <c r="I114" s="142" t="s">
        <v>542</v>
      </c>
      <c r="J114" s="142" t="s">
        <v>544</v>
      </c>
      <c r="K114" s="142" t="s">
        <v>595</v>
      </c>
    </row>
    <row r="115" spans="1:11" ht="15" customHeight="1" x14ac:dyDescent="0.25">
      <c r="A115" s="141" t="s">
        <v>646</v>
      </c>
      <c r="B115" s="141">
        <v>118</v>
      </c>
      <c r="C115" s="141">
        <v>6</v>
      </c>
      <c r="D115" s="141">
        <v>6</v>
      </c>
      <c r="E115" s="141" t="s">
        <v>543</v>
      </c>
      <c r="F115" s="141" t="s">
        <v>543</v>
      </c>
      <c r="G115" s="141" t="s">
        <v>645</v>
      </c>
      <c r="H115" s="141" t="s">
        <v>645</v>
      </c>
      <c r="I115" s="142" t="s">
        <v>542</v>
      </c>
      <c r="J115" s="142" t="s">
        <v>544</v>
      </c>
      <c r="K115" s="142" t="s">
        <v>603</v>
      </c>
    </row>
    <row r="116" spans="1:11" ht="15" customHeight="1" x14ac:dyDescent="0.25">
      <c r="A116" s="141" t="s">
        <v>649</v>
      </c>
      <c r="B116" s="141">
        <v>119</v>
      </c>
      <c r="C116" s="141">
        <v>6</v>
      </c>
      <c r="D116" s="141">
        <v>6</v>
      </c>
      <c r="E116" s="141" t="s">
        <v>543</v>
      </c>
      <c r="F116" s="141" t="s">
        <v>543</v>
      </c>
      <c r="G116" s="141" t="s">
        <v>648</v>
      </c>
      <c r="H116" s="141" t="s">
        <v>648</v>
      </c>
      <c r="I116" s="142" t="s">
        <v>542</v>
      </c>
      <c r="J116" s="142" t="s">
        <v>544</v>
      </c>
      <c r="K116" s="142" t="s">
        <v>579</v>
      </c>
    </row>
    <row r="117" spans="1:11" ht="15" customHeight="1" x14ac:dyDescent="0.25">
      <c r="A117" s="141" t="s">
        <v>653</v>
      </c>
      <c r="B117" s="141">
        <v>120</v>
      </c>
      <c r="C117" s="141">
        <v>6</v>
      </c>
      <c r="D117" s="141">
        <v>6</v>
      </c>
      <c r="E117" s="141" t="s">
        <v>543</v>
      </c>
      <c r="F117" s="141" t="s">
        <v>543</v>
      </c>
      <c r="G117" s="141" t="s">
        <v>652</v>
      </c>
      <c r="H117" s="141" t="s">
        <v>652</v>
      </c>
      <c r="I117" s="142" t="s">
        <v>542</v>
      </c>
      <c r="J117" s="142" t="s">
        <v>544</v>
      </c>
      <c r="K117" s="142" t="s">
        <v>650</v>
      </c>
    </row>
    <row r="118" spans="1:11" ht="15" customHeight="1" x14ac:dyDescent="0.25">
      <c r="A118" s="141" t="s">
        <v>656</v>
      </c>
      <c r="B118" s="141">
        <v>121</v>
      </c>
      <c r="C118" s="141">
        <v>6</v>
      </c>
      <c r="D118" s="141">
        <v>6</v>
      </c>
      <c r="E118" s="141" t="s">
        <v>543</v>
      </c>
      <c r="F118" s="141" t="s">
        <v>543</v>
      </c>
      <c r="G118" s="141" t="s">
        <v>655</v>
      </c>
      <c r="H118" s="141" t="s">
        <v>655</v>
      </c>
      <c r="I118" s="142" t="s">
        <v>542</v>
      </c>
      <c r="J118" s="142" t="s">
        <v>544</v>
      </c>
      <c r="K118" s="142" t="s">
        <v>591</v>
      </c>
    </row>
    <row r="119" spans="1:11" ht="15" customHeight="1" x14ac:dyDescent="0.25">
      <c r="A119" s="141" t="s">
        <v>663</v>
      </c>
      <c r="B119" s="141">
        <v>122</v>
      </c>
      <c r="C119" s="141">
        <v>6</v>
      </c>
      <c r="D119" s="141">
        <v>6</v>
      </c>
      <c r="E119" s="141" t="s">
        <v>657</v>
      </c>
      <c r="F119" s="141" t="s">
        <v>657</v>
      </c>
      <c r="G119" s="141" t="s">
        <v>662</v>
      </c>
      <c r="H119" s="141" t="s">
        <v>662</v>
      </c>
      <c r="I119" s="142" t="s">
        <v>542</v>
      </c>
      <c r="J119" s="142" t="s">
        <v>658</v>
      </c>
      <c r="K119" s="142" t="s">
        <v>659</v>
      </c>
    </row>
    <row r="120" spans="1:11" ht="15" customHeight="1" x14ac:dyDescent="0.25">
      <c r="A120" s="141" t="s">
        <v>668</v>
      </c>
      <c r="B120" s="141">
        <v>123</v>
      </c>
      <c r="C120" s="141">
        <v>6</v>
      </c>
      <c r="D120" s="141">
        <v>6</v>
      </c>
      <c r="E120" s="141" t="s">
        <v>657</v>
      </c>
      <c r="F120" s="141" t="s">
        <v>657</v>
      </c>
      <c r="G120" s="141" t="s">
        <v>667</v>
      </c>
      <c r="H120" s="141" t="s">
        <v>667</v>
      </c>
      <c r="I120" s="142" t="s">
        <v>542</v>
      </c>
      <c r="J120" s="142" t="s">
        <v>658</v>
      </c>
      <c r="K120" s="142" t="s">
        <v>664</v>
      </c>
    </row>
    <row r="121" spans="1:11" ht="15" customHeight="1" x14ac:dyDescent="0.25">
      <c r="A121" s="141" t="s">
        <v>673</v>
      </c>
      <c r="B121" s="141">
        <v>124</v>
      </c>
      <c r="C121" s="141">
        <v>6</v>
      </c>
      <c r="D121" s="141">
        <v>6</v>
      </c>
      <c r="E121" s="141" t="s">
        <v>657</v>
      </c>
      <c r="F121" s="141" t="s">
        <v>657</v>
      </c>
      <c r="G121" s="141" t="s">
        <v>672</v>
      </c>
      <c r="H121" s="141" t="s">
        <v>672</v>
      </c>
      <c r="I121" s="142" t="s">
        <v>542</v>
      </c>
      <c r="J121" s="142" t="s">
        <v>658</v>
      </c>
      <c r="K121" s="142" t="s">
        <v>669</v>
      </c>
    </row>
    <row r="122" spans="1:11" ht="15" customHeight="1" x14ac:dyDescent="0.25">
      <c r="A122" s="141" t="s">
        <v>678</v>
      </c>
      <c r="B122" s="141">
        <v>125</v>
      </c>
      <c r="C122" s="141">
        <v>6</v>
      </c>
      <c r="D122" s="141">
        <v>6</v>
      </c>
      <c r="E122" s="141" t="s">
        <v>657</v>
      </c>
      <c r="F122" s="141" t="s">
        <v>657</v>
      </c>
      <c r="G122" s="141" t="s">
        <v>677</v>
      </c>
      <c r="H122" s="141" t="s">
        <v>677</v>
      </c>
      <c r="I122" s="142" t="s">
        <v>542</v>
      </c>
      <c r="J122" s="142" t="s">
        <v>658</v>
      </c>
      <c r="K122" s="142" t="s">
        <v>674</v>
      </c>
    </row>
    <row r="123" spans="1:11" ht="15" customHeight="1" x14ac:dyDescent="0.25">
      <c r="A123" s="141" t="s">
        <v>683</v>
      </c>
      <c r="B123" s="141">
        <v>126</v>
      </c>
      <c r="C123" s="141">
        <v>6</v>
      </c>
      <c r="D123" s="141">
        <v>6</v>
      </c>
      <c r="E123" s="141" t="s">
        <v>657</v>
      </c>
      <c r="F123" s="141" t="s">
        <v>657</v>
      </c>
      <c r="G123" s="141" t="s">
        <v>682</v>
      </c>
      <c r="H123" s="141" t="s">
        <v>682</v>
      </c>
      <c r="I123" s="142" t="s">
        <v>542</v>
      </c>
      <c r="J123" s="142" t="s">
        <v>658</v>
      </c>
      <c r="K123" s="142" t="s">
        <v>679</v>
      </c>
    </row>
    <row r="124" spans="1:11" ht="15" customHeight="1" x14ac:dyDescent="0.25">
      <c r="A124" s="141" t="s">
        <v>688</v>
      </c>
      <c r="B124" s="141">
        <v>127</v>
      </c>
      <c r="C124" s="141">
        <v>6</v>
      </c>
      <c r="D124" s="141">
        <v>6</v>
      </c>
      <c r="E124" s="141" t="s">
        <v>657</v>
      </c>
      <c r="F124" s="141" t="s">
        <v>657</v>
      </c>
      <c r="G124" s="141" t="s">
        <v>687</v>
      </c>
      <c r="H124" s="141" t="s">
        <v>687</v>
      </c>
      <c r="I124" s="142" t="s">
        <v>542</v>
      </c>
      <c r="J124" s="142" t="s">
        <v>658</v>
      </c>
      <c r="K124" s="142" t="s">
        <v>684</v>
      </c>
    </row>
    <row r="125" spans="1:11" ht="15" customHeight="1" x14ac:dyDescent="0.25">
      <c r="A125" s="141" t="s">
        <v>693</v>
      </c>
      <c r="B125" s="141">
        <v>128</v>
      </c>
      <c r="C125" s="141">
        <v>6</v>
      </c>
      <c r="D125" s="141">
        <v>6</v>
      </c>
      <c r="E125" s="141" t="s">
        <v>657</v>
      </c>
      <c r="F125" s="141" t="s">
        <v>657</v>
      </c>
      <c r="G125" s="141" t="s">
        <v>692</v>
      </c>
      <c r="H125" s="141" t="s">
        <v>692</v>
      </c>
      <c r="I125" s="142" t="s">
        <v>542</v>
      </c>
      <c r="J125" s="142" t="s">
        <v>658</v>
      </c>
      <c r="K125" s="142" t="s">
        <v>689</v>
      </c>
    </row>
    <row r="126" spans="1:11" ht="15" customHeight="1" x14ac:dyDescent="0.25">
      <c r="A126" s="141" t="s">
        <v>698</v>
      </c>
      <c r="B126" s="141">
        <v>129</v>
      </c>
      <c r="C126" s="141">
        <v>6</v>
      </c>
      <c r="D126" s="141">
        <v>6</v>
      </c>
      <c r="E126" s="141" t="s">
        <v>657</v>
      </c>
      <c r="F126" s="141" t="s">
        <v>657</v>
      </c>
      <c r="G126" s="141" t="s">
        <v>697</v>
      </c>
      <c r="H126" s="141" t="s">
        <v>697</v>
      </c>
      <c r="I126" s="142" t="s">
        <v>542</v>
      </c>
      <c r="J126" s="142" t="s">
        <v>658</v>
      </c>
      <c r="K126" s="142" t="s">
        <v>694</v>
      </c>
    </row>
    <row r="127" spans="1:11" ht="15" customHeight="1" x14ac:dyDescent="0.25">
      <c r="A127" s="141" t="s">
        <v>702</v>
      </c>
      <c r="B127" s="141">
        <v>130</v>
      </c>
      <c r="C127" s="141">
        <v>6</v>
      </c>
      <c r="D127" s="141">
        <v>6</v>
      </c>
      <c r="E127" s="141" t="s">
        <v>657</v>
      </c>
      <c r="F127" s="141" t="s">
        <v>657</v>
      </c>
      <c r="G127" s="141" t="s">
        <v>701</v>
      </c>
      <c r="H127" s="141" t="s">
        <v>701</v>
      </c>
      <c r="I127" s="142" t="s">
        <v>542</v>
      </c>
      <c r="J127" s="142" t="s">
        <v>658</v>
      </c>
      <c r="K127" s="142" t="s">
        <v>699</v>
      </c>
    </row>
    <row r="128" spans="1:11" ht="15" customHeight="1" x14ac:dyDescent="0.25">
      <c r="A128" s="141" t="s">
        <v>706</v>
      </c>
      <c r="B128" s="141">
        <v>131</v>
      </c>
      <c r="C128" s="141">
        <v>6</v>
      </c>
      <c r="D128" s="141">
        <v>6</v>
      </c>
      <c r="E128" s="141" t="s">
        <v>657</v>
      </c>
      <c r="F128" s="141" t="s">
        <v>657</v>
      </c>
      <c r="G128" s="141" t="s">
        <v>705</v>
      </c>
      <c r="H128" s="141" t="s">
        <v>705</v>
      </c>
      <c r="I128" s="142" t="s">
        <v>542</v>
      </c>
      <c r="J128" s="142" t="s">
        <v>658</v>
      </c>
      <c r="K128" s="142" t="s">
        <v>703</v>
      </c>
    </row>
    <row r="129" spans="1:11" ht="15" customHeight="1" x14ac:dyDescent="0.25">
      <c r="A129" s="141" t="s">
        <v>710</v>
      </c>
      <c r="B129" s="141">
        <v>132</v>
      </c>
      <c r="C129" s="141">
        <v>6</v>
      </c>
      <c r="D129" s="141">
        <v>6</v>
      </c>
      <c r="E129" s="141" t="s">
        <v>657</v>
      </c>
      <c r="F129" s="141" t="s">
        <v>657</v>
      </c>
      <c r="G129" s="141" t="s">
        <v>709</v>
      </c>
      <c r="H129" s="141" t="s">
        <v>709</v>
      </c>
      <c r="I129" s="142" t="s">
        <v>542</v>
      </c>
      <c r="J129" s="142" t="s">
        <v>658</v>
      </c>
      <c r="K129" s="142" t="s">
        <v>707</v>
      </c>
    </row>
    <row r="130" spans="1:11" ht="15" customHeight="1" x14ac:dyDescent="0.25">
      <c r="A130" s="141" t="s">
        <v>714</v>
      </c>
      <c r="B130" s="141">
        <v>133</v>
      </c>
      <c r="C130" s="141">
        <v>6</v>
      </c>
      <c r="D130" s="141">
        <v>6</v>
      </c>
      <c r="E130" s="141" t="s">
        <v>657</v>
      </c>
      <c r="F130" s="141" t="s">
        <v>657</v>
      </c>
      <c r="G130" s="141" t="s">
        <v>713</v>
      </c>
      <c r="H130" s="141" t="s">
        <v>713</v>
      </c>
      <c r="I130" s="142" t="s">
        <v>542</v>
      </c>
      <c r="J130" s="142" t="s">
        <v>658</v>
      </c>
      <c r="K130" s="142" t="s">
        <v>711</v>
      </c>
    </row>
    <row r="131" spans="1:11" ht="15" customHeight="1" x14ac:dyDescent="0.25">
      <c r="A131" s="141" t="s">
        <v>718</v>
      </c>
      <c r="B131" s="141">
        <v>134</v>
      </c>
      <c r="C131" s="141">
        <v>6</v>
      </c>
      <c r="D131" s="141">
        <v>6</v>
      </c>
      <c r="E131" s="141" t="s">
        <v>657</v>
      </c>
      <c r="F131" s="141" t="s">
        <v>657</v>
      </c>
      <c r="G131" s="141" t="s">
        <v>717</v>
      </c>
      <c r="H131" s="141" t="s">
        <v>717</v>
      </c>
      <c r="I131" s="142" t="s">
        <v>542</v>
      </c>
      <c r="J131" s="142" t="s">
        <v>658</v>
      </c>
      <c r="K131" s="142" t="s">
        <v>715</v>
      </c>
    </row>
    <row r="132" spans="1:11" ht="15" customHeight="1" x14ac:dyDescent="0.25">
      <c r="A132" s="141" t="s">
        <v>722</v>
      </c>
      <c r="B132" s="141">
        <v>135</v>
      </c>
      <c r="C132" s="141">
        <v>6</v>
      </c>
      <c r="D132" s="141">
        <v>6</v>
      </c>
      <c r="E132" s="141" t="s">
        <v>657</v>
      </c>
      <c r="F132" s="141" t="s">
        <v>657</v>
      </c>
      <c r="G132" s="141" t="s">
        <v>721</v>
      </c>
      <c r="H132" s="141" t="s">
        <v>721</v>
      </c>
      <c r="I132" s="142" t="s">
        <v>542</v>
      </c>
      <c r="J132" s="142" t="s">
        <v>658</v>
      </c>
      <c r="K132" s="142" t="s">
        <v>719</v>
      </c>
    </row>
    <row r="133" spans="1:11" ht="15" customHeight="1" x14ac:dyDescent="0.25">
      <c r="A133" s="141" t="s">
        <v>726</v>
      </c>
      <c r="B133" s="141">
        <v>136</v>
      </c>
      <c r="C133" s="141">
        <v>6</v>
      </c>
      <c r="D133" s="141">
        <v>6</v>
      </c>
      <c r="E133" s="141" t="s">
        <v>657</v>
      </c>
      <c r="F133" s="141" t="s">
        <v>657</v>
      </c>
      <c r="G133" s="141" t="s">
        <v>725</v>
      </c>
      <c r="H133" s="141" t="s">
        <v>725</v>
      </c>
      <c r="I133" s="142" t="s">
        <v>542</v>
      </c>
      <c r="J133" s="142" t="s">
        <v>658</v>
      </c>
      <c r="K133" s="142" t="s">
        <v>723</v>
      </c>
    </row>
    <row r="134" spans="1:11" ht="15" customHeight="1" x14ac:dyDescent="0.25">
      <c r="A134" s="141" t="s">
        <v>729</v>
      </c>
      <c r="B134" s="141">
        <v>137</v>
      </c>
      <c r="C134" s="141">
        <v>6</v>
      </c>
      <c r="D134" s="141">
        <v>6</v>
      </c>
      <c r="E134" s="141" t="s">
        <v>657</v>
      </c>
      <c r="F134" s="141" t="s">
        <v>657</v>
      </c>
      <c r="G134" s="141" t="s">
        <v>728</v>
      </c>
      <c r="H134" s="141" t="s">
        <v>728</v>
      </c>
      <c r="I134" s="142" t="s">
        <v>542</v>
      </c>
      <c r="J134" s="142" t="s">
        <v>658</v>
      </c>
      <c r="K134" s="142" t="s">
        <v>595</v>
      </c>
    </row>
    <row r="135" spans="1:11" ht="15" customHeight="1" x14ac:dyDescent="0.25">
      <c r="A135" s="141" t="s">
        <v>733</v>
      </c>
      <c r="B135" s="141">
        <v>138</v>
      </c>
      <c r="C135" s="141">
        <v>6</v>
      </c>
      <c r="D135" s="141">
        <v>6</v>
      </c>
      <c r="E135" s="141" t="s">
        <v>657</v>
      </c>
      <c r="F135" s="141" t="s">
        <v>657</v>
      </c>
      <c r="G135" s="141" t="s">
        <v>732</v>
      </c>
      <c r="H135" s="141" t="s">
        <v>732</v>
      </c>
      <c r="I135" s="142" t="s">
        <v>542</v>
      </c>
      <c r="J135" s="142" t="s">
        <v>658</v>
      </c>
      <c r="K135" s="142" t="s">
        <v>730</v>
      </c>
    </row>
    <row r="136" spans="1:11" ht="15" customHeight="1" x14ac:dyDescent="0.25">
      <c r="A136" s="141" t="s">
        <v>737</v>
      </c>
      <c r="B136" s="141">
        <v>139</v>
      </c>
      <c r="C136" s="141">
        <v>6</v>
      </c>
      <c r="D136" s="141">
        <v>6</v>
      </c>
      <c r="E136" s="141" t="s">
        <v>657</v>
      </c>
      <c r="F136" s="141" t="s">
        <v>657</v>
      </c>
      <c r="G136" s="141" t="s">
        <v>736</v>
      </c>
      <c r="H136" s="141" t="s">
        <v>736</v>
      </c>
      <c r="I136" s="142" t="s">
        <v>542</v>
      </c>
      <c r="J136" s="142" t="s">
        <v>658</v>
      </c>
      <c r="K136" s="142" t="s">
        <v>734</v>
      </c>
    </row>
    <row r="137" spans="1:11" ht="15" customHeight="1" x14ac:dyDescent="0.25">
      <c r="A137" s="141" t="s">
        <v>741</v>
      </c>
      <c r="B137" s="141">
        <v>140</v>
      </c>
      <c r="C137" s="141">
        <v>6</v>
      </c>
      <c r="D137" s="141">
        <v>6</v>
      </c>
      <c r="E137" s="141" t="s">
        <v>657</v>
      </c>
      <c r="F137" s="141" t="s">
        <v>657</v>
      </c>
      <c r="G137" s="141" t="s">
        <v>740</v>
      </c>
      <c r="H137" s="141" t="s">
        <v>740</v>
      </c>
      <c r="I137" s="142" t="s">
        <v>542</v>
      </c>
      <c r="J137" s="142" t="s">
        <v>658</v>
      </c>
      <c r="K137" s="142" t="s">
        <v>738</v>
      </c>
    </row>
    <row r="138" spans="1:11" ht="15" customHeight="1" x14ac:dyDescent="0.25">
      <c r="A138" s="141" t="s">
        <v>745</v>
      </c>
      <c r="B138" s="141">
        <v>141</v>
      </c>
      <c r="C138" s="141">
        <v>6</v>
      </c>
      <c r="D138" s="141">
        <v>6</v>
      </c>
      <c r="E138" s="141" t="s">
        <v>657</v>
      </c>
      <c r="F138" s="141" t="s">
        <v>657</v>
      </c>
      <c r="G138" s="141" t="s">
        <v>744</v>
      </c>
      <c r="H138" s="141" t="s">
        <v>744</v>
      </c>
      <c r="I138" s="142" t="s">
        <v>542</v>
      </c>
      <c r="J138" s="142" t="s">
        <v>658</v>
      </c>
      <c r="K138" s="142" t="s">
        <v>742</v>
      </c>
    </row>
    <row r="139" spans="1:11" ht="15" customHeight="1" x14ac:dyDescent="0.25">
      <c r="A139" s="141" t="s">
        <v>749</v>
      </c>
      <c r="B139" s="141">
        <v>142</v>
      </c>
      <c r="C139" s="141">
        <v>6</v>
      </c>
      <c r="D139" s="141">
        <v>6</v>
      </c>
      <c r="E139" s="141" t="s">
        <v>657</v>
      </c>
      <c r="F139" s="141" t="s">
        <v>657</v>
      </c>
      <c r="G139" s="141" t="s">
        <v>748</v>
      </c>
      <c r="H139" s="141" t="s">
        <v>748</v>
      </c>
      <c r="I139" s="142" t="s">
        <v>542</v>
      </c>
      <c r="J139" s="142" t="s">
        <v>658</v>
      </c>
      <c r="K139" s="142" t="s">
        <v>746</v>
      </c>
    </row>
    <row r="140" spans="1:11" ht="15" customHeight="1" x14ac:dyDescent="0.25">
      <c r="A140" s="141" t="s">
        <v>753</v>
      </c>
      <c r="B140" s="141">
        <v>143</v>
      </c>
      <c r="C140" s="141">
        <v>6</v>
      </c>
      <c r="D140" s="141">
        <v>6</v>
      </c>
      <c r="E140" s="141" t="s">
        <v>657</v>
      </c>
      <c r="F140" s="141" t="s">
        <v>657</v>
      </c>
      <c r="G140" s="141" t="s">
        <v>752</v>
      </c>
      <c r="H140" s="141" t="s">
        <v>752</v>
      </c>
      <c r="I140" s="142" t="s">
        <v>542</v>
      </c>
      <c r="J140" s="142" t="s">
        <v>658</v>
      </c>
      <c r="K140" s="142" t="s">
        <v>750</v>
      </c>
    </row>
    <row r="141" spans="1:11" ht="15" customHeight="1" x14ac:dyDescent="0.25">
      <c r="A141" s="141" t="s">
        <v>757</v>
      </c>
      <c r="B141" s="141">
        <v>144</v>
      </c>
      <c r="C141" s="141">
        <v>6</v>
      </c>
      <c r="D141" s="141">
        <v>6</v>
      </c>
      <c r="E141" s="141" t="s">
        <v>657</v>
      </c>
      <c r="F141" s="141" t="s">
        <v>657</v>
      </c>
      <c r="G141" s="141" t="s">
        <v>756</v>
      </c>
      <c r="H141" s="141" t="s">
        <v>756</v>
      </c>
      <c r="I141" s="142" t="s">
        <v>542</v>
      </c>
      <c r="J141" s="142" t="s">
        <v>658</v>
      </c>
      <c r="K141" s="142" t="s">
        <v>754</v>
      </c>
    </row>
    <row r="142" spans="1:11" ht="15" customHeight="1" x14ac:dyDescent="0.25">
      <c r="A142" s="141" t="s">
        <v>761</v>
      </c>
      <c r="B142" s="141">
        <v>145</v>
      </c>
      <c r="C142" s="141">
        <v>6</v>
      </c>
      <c r="D142" s="141">
        <v>6</v>
      </c>
      <c r="E142" s="141" t="s">
        <v>657</v>
      </c>
      <c r="F142" s="141" t="s">
        <v>657</v>
      </c>
      <c r="G142" s="141" t="s">
        <v>760</v>
      </c>
      <c r="H142" s="141" t="s">
        <v>760</v>
      </c>
      <c r="I142" s="142" t="s">
        <v>542</v>
      </c>
      <c r="J142" s="142" t="s">
        <v>658</v>
      </c>
      <c r="K142" s="142" t="s">
        <v>758</v>
      </c>
    </row>
    <row r="143" spans="1:11" ht="15" customHeight="1" x14ac:dyDescent="0.25">
      <c r="A143" s="141" t="s">
        <v>765</v>
      </c>
      <c r="B143" s="141">
        <v>146</v>
      </c>
      <c r="C143" s="141">
        <v>6</v>
      </c>
      <c r="D143" s="141">
        <v>6</v>
      </c>
      <c r="E143" s="141" t="s">
        <v>657</v>
      </c>
      <c r="F143" s="141" t="s">
        <v>657</v>
      </c>
      <c r="G143" s="141" t="s">
        <v>764</v>
      </c>
      <c r="H143" s="141" t="s">
        <v>764</v>
      </c>
      <c r="I143" s="142" t="s">
        <v>542</v>
      </c>
      <c r="J143" s="142" t="s">
        <v>658</v>
      </c>
      <c r="K143" s="142" t="s">
        <v>762</v>
      </c>
    </row>
    <row r="144" spans="1:11" ht="15" customHeight="1" x14ac:dyDescent="0.25">
      <c r="A144" s="141" t="s">
        <v>769</v>
      </c>
      <c r="B144" s="141">
        <v>147</v>
      </c>
      <c r="C144" s="141">
        <v>6</v>
      </c>
      <c r="D144" s="141">
        <v>6</v>
      </c>
      <c r="E144" s="141" t="s">
        <v>657</v>
      </c>
      <c r="F144" s="141" t="s">
        <v>657</v>
      </c>
      <c r="G144" s="141" t="s">
        <v>768</v>
      </c>
      <c r="H144" s="141" t="s">
        <v>768</v>
      </c>
      <c r="I144" s="142" t="s">
        <v>542</v>
      </c>
      <c r="J144" s="142" t="s">
        <v>658</v>
      </c>
      <c r="K144" s="142" t="s">
        <v>766</v>
      </c>
    </row>
    <row r="145" spans="1:11" ht="15" customHeight="1" x14ac:dyDescent="0.25">
      <c r="A145" s="141" t="s">
        <v>773</v>
      </c>
      <c r="B145" s="141">
        <v>148</v>
      </c>
      <c r="C145" s="141">
        <v>6</v>
      </c>
      <c r="D145" s="141">
        <v>6</v>
      </c>
      <c r="E145" s="141" t="s">
        <v>657</v>
      </c>
      <c r="F145" s="141" t="s">
        <v>657</v>
      </c>
      <c r="G145" s="141" t="s">
        <v>772</v>
      </c>
      <c r="H145" s="141" t="s">
        <v>772</v>
      </c>
      <c r="I145" s="142" t="s">
        <v>542</v>
      </c>
      <c r="J145" s="142" t="s">
        <v>658</v>
      </c>
      <c r="K145" s="142" t="s">
        <v>770</v>
      </c>
    </row>
    <row r="146" spans="1:11" ht="15" customHeight="1" x14ac:dyDescent="0.25">
      <c r="A146" s="141" t="s">
        <v>776</v>
      </c>
      <c r="B146" s="141">
        <v>149</v>
      </c>
      <c r="C146" s="141">
        <v>6</v>
      </c>
      <c r="D146" s="141">
        <v>6</v>
      </c>
      <c r="E146" s="141" t="s">
        <v>657</v>
      </c>
      <c r="F146" s="141" t="s">
        <v>657</v>
      </c>
      <c r="G146" s="141" t="s">
        <v>775</v>
      </c>
      <c r="H146" s="141" t="s">
        <v>775</v>
      </c>
      <c r="I146" s="142" t="s">
        <v>542</v>
      </c>
      <c r="J146" s="142" t="s">
        <v>658</v>
      </c>
      <c r="K146" s="142" t="s">
        <v>719</v>
      </c>
    </row>
    <row r="147" spans="1:11" ht="15" customHeight="1" x14ac:dyDescent="0.25">
      <c r="A147" s="141" t="s">
        <v>780</v>
      </c>
      <c r="B147" s="141">
        <v>150</v>
      </c>
      <c r="C147" s="141">
        <v>6</v>
      </c>
      <c r="D147" s="141">
        <v>6</v>
      </c>
      <c r="E147" s="141" t="s">
        <v>657</v>
      </c>
      <c r="F147" s="141" t="s">
        <v>657</v>
      </c>
      <c r="G147" s="141" t="s">
        <v>779</v>
      </c>
      <c r="H147" s="141" t="s">
        <v>779</v>
      </c>
      <c r="I147" s="142" t="s">
        <v>542</v>
      </c>
      <c r="J147" s="142" t="s">
        <v>658</v>
      </c>
      <c r="K147" s="142" t="s">
        <v>777</v>
      </c>
    </row>
    <row r="148" spans="1:11" ht="15" customHeight="1" x14ac:dyDescent="0.25">
      <c r="A148" s="141" t="s">
        <v>784</v>
      </c>
      <c r="B148" s="141">
        <v>151</v>
      </c>
      <c r="C148" s="141">
        <v>6</v>
      </c>
      <c r="D148" s="141">
        <v>6</v>
      </c>
      <c r="E148" s="141" t="s">
        <v>657</v>
      </c>
      <c r="F148" s="141" t="s">
        <v>657</v>
      </c>
      <c r="G148" s="141" t="s">
        <v>783</v>
      </c>
      <c r="H148" s="141" t="s">
        <v>783</v>
      </c>
      <c r="I148" s="142" t="s">
        <v>542</v>
      </c>
      <c r="J148" s="142" t="s">
        <v>658</v>
      </c>
      <c r="K148" s="142" t="s">
        <v>781</v>
      </c>
    </row>
    <row r="149" spans="1:11" ht="15" customHeight="1" x14ac:dyDescent="0.25">
      <c r="A149" s="141" t="s">
        <v>787</v>
      </c>
      <c r="B149" s="141">
        <v>152</v>
      </c>
      <c r="C149" s="141">
        <v>6</v>
      </c>
      <c r="D149" s="141">
        <v>6</v>
      </c>
      <c r="E149" s="141" t="s">
        <v>657</v>
      </c>
      <c r="F149" s="141" t="s">
        <v>657</v>
      </c>
      <c r="G149" s="141" t="s">
        <v>786</v>
      </c>
      <c r="H149" s="141" t="s">
        <v>786</v>
      </c>
      <c r="I149" s="142" t="s">
        <v>542</v>
      </c>
      <c r="J149" s="142" t="s">
        <v>658</v>
      </c>
      <c r="K149" s="142" t="s">
        <v>719</v>
      </c>
    </row>
    <row r="150" spans="1:11" ht="15" customHeight="1" x14ac:dyDescent="0.25">
      <c r="A150" s="141" t="s">
        <v>791</v>
      </c>
      <c r="B150" s="141">
        <v>153</v>
      </c>
      <c r="C150" s="141">
        <v>6</v>
      </c>
      <c r="D150" s="141">
        <v>6</v>
      </c>
      <c r="E150" s="141" t="s">
        <v>657</v>
      </c>
      <c r="F150" s="141" t="s">
        <v>657</v>
      </c>
      <c r="G150" s="141" t="s">
        <v>790</v>
      </c>
      <c r="H150" s="141" t="s">
        <v>790</v>
      </c>
      <c r="I150" s="142" t="s">
        <v>542</v>
      </c>
      <c r="J150" s="142" t="s">
        <v>658</v>
      </c>
      <c r="K150" s="142" t="s">
        <v>788</v>
      </c>
    </row>
    <row r="151" spans="1:11" ht="15" customHeight="1" x14ac:dyDescent="0.25">
      <c r="A151" s="141" t="s">
        <v>795</v>
      </c>
      <c r="B151" s="141">
        <v>154</v>
      </c>
      <c r="C151" s="141">
        <v>6</v>
      </c>
      <c r="D151" s="141">
        <v>6</v>
      </c>
      <c r="E151" s="141" t="s">
        <v>657</v>
      </c>
      <c r="F151" s="141" t="s">
        <v>657</v>
      </c>
      <c r="G151" s="141" t="s">
        <v>794</v>
      </c>
      <c r="H151" s="141" t="s">
        <v>794</v>
      </c>
      <c r="I151" s="142" t="s">
        <v>542</v>
      </c>
      <c r="J151" s="142" t="s">
        <v>658</v>
      </c>
      <c r="K151" s="142" t="s">
        <v>792</v>
      </c>
    </row>
    <row r="152" spans="1:11" ht="15" customHeight="1" x14ac:dyDescent="0.25">
      <c r="A152" s="141" t="s">
        <v>802</v>
      </c>
      <c r="B152" s="141">
        <v>155</v>
      </c>
      <c r="C152" s="141">
        <v>6</v>
      </c>
      <c r="D152" s="141">
        <v>6</v>
      </c>
      <c r="E152" s="141" t="s">
        <v>796</v>
      </c>
      <c r="F152" s="141" t="s">
        <v>796</v>
      </c>
      <c r="G152" s="141" t="s">
        <v>801</v>
      </c>
      <c r="H152" s="141" t="s">
        <v>801</v>
      </c>
      <c r="I152" s="142" t="s">
        <v>542</v>
      </c>
      <c r="J152" s="142" t="s">
        <v>797</v>
      </c>
      <c r="K152" s="142" t="s">
        <v>798</v>
      </c>
    </row>
    <row r="153" spans="1:11" ht="15" customHeight="1" x14ac:dyDescent="0.25">
      <c r="A153" s="141" t="s">
        <v>807</v>
      </c>
      <c r="B153" s="141">
        <v>156</v>
      </c>
      <c r="C153" s="141">
        <v>6</v>
      </c>
      <c r="D153" s="141">
        <v>6</v>
      </c>
      <c r="E153" s="141" t="s">
        <v>796</v>
      </c>
      <c r="F153" s="141" t="s">
        <v>796</v>
      </c>
      <c r="G153" s="141" t="s">
        <v>806</v>
      </c>
      <c r="H153" s="141" t="s">
        <v>806</v>
      </c>
      <c r="I153" s="142" t="s">
        <v>542</v>
      </c>
      <c r="J153" s="142" t="s">
        <v>797</v>
      </c>
      <c r="K153" s="142" t="s">
        <v>803</v>
      </c>
    </row>
    <row r="154" spans="1:11" ht="15" customHeight="1" x14ac:dyDescent="0.25">
      <c r="A154" s="141" t="s">
        <v>812</v>
      </c>
      <c r="B154" s="141">
        <v>157</v>
      </c>
      <c r="C154" s="141">
        <v>6</v>
      </c>
      <c r="D154" s="141">
        <v>6</v>
      </c>
      <c r="E154" s="141" t="s">
        <v>796</v>
      </c>
      <c r="F154" s="141" t="s">
        <v>796</v>
      </c>
      <c r="G154" s="141" t="s">
        <v>811</v>
      </c>
      <c r="H154" s="141" t="s">
        <v>811</v>
      </c>
      <c r="I154" s="142" t="s">
        <v>542</v>
      </c>
      <c r="J154" s="142" t="s">
        <v>797</v>
      </c>
      <c r="K154" s="142" t="s">
        <v>808</v>
      </c>
    </row>
    <row r="155" spans="1:11" ht="15" customHeight="1" x14ac:dyDescent="0.25">
      <c r="A155" s="141" t="s">
        <v>817</v>
      </c>
      <c r="B155" s="141">
        <v>158</v>
      </c>
      <c r="C155" s="141">
        <v>6</v>
      </c>
      <c r="D155" s="141">
        <v>6</v>
      </c>
      <c r="E155" s="141" t="s">
        <v>796</v>
      </c>
      <c r="F155" s="141" t="s">
        <v>796</v>
      </c>
      <c r="G155" s="141" t="s">
        <v>816</v>
      </c>
      <c r="H155" s="141" t="s">
        <v>816</v>
      </c>
      <c r="I155" s="142" t="s">
        <v>542</v>
      </c>
      <c r="J155" s="142" t="s">
        <v>797</v>
      </c>
      <c r="K155" s="142" t="s">
        <v>813</v>
      </c>
    </row>
    <row r="156" spans="1:11" ht="15" customHeight="1" x14ac:dyDescent="0.25">
      <c r="A156" s="141" t="s">
        <v>822</v>
      </c>
      <c r="B156" s="141">
        <v>159</v>
      </c>
      <c r="C156" s="141">
        <v>6</v>
      </c>
      <c r="D156" s="141">
        <v>6</v>
      </c>
      <c r="E156" s="141" t="s">
        <v>796</v>
      </c>
      <c r="F156" s="141" t="s">
        <v>796</v>
      </c>
      <c r="G156" s="141" t="s">
        <v>821</v>
      </c>
      <c r="H156" s="141" t="s">
        <v>821</v>
      </c>
      <c r="I156" s="142" t="s">
        <v>542</v>
      </c>
      <c r="J156" s="142" t="s">
        <v>797</v>
      </c>
      <c r="K156" s="142" t="s">
        <v>818</v>
      </c>
    </row>
    <row r="157" spans="1:11" ht="21.75" customHeight="1" x14ac:dyDescent="0.25">
      <c r="A157" s="141" t="s">
        <v>826</v>
      </c>
      <c r="B157" s="141">
        <v>160</v>
      </c>
      <c r="C157" s="141">
        <v>6</v>
      </c>
      <c r="D157" s="141">
        <v>6</v>
      </c>
      <c r="E157" s="141" t="s">
        <v>796</v>
      </c>
      <c r="F157" s="141" t="s">
        <v>796</v>
      </c>
      <c r="G157" s="141" t="s">
        <v>825</v>
      </c>
      <c r="H157" s="141" t="s">
        <v>825</v>
      </c>
      <c r="I157" s="142" t="s">
        <v>542</v>
      </c>
      <c r="J157" s="142" t="s">
        <v>797</v>
      </c>
      <c r="K157" s="142" t="s">
        <v>823</v>
      </c>
    </row>
    <row r="158" spans="1:11" ht="21.75" customHeight="1" x14ac:dyDescent="0.25">
      <c r="A158" s="141" t="s">
        <v>830</v>
      </c>
      <c r="B158" s="141">
        <v>161</v>
      </c>
      <c r="C158" s="141">
        <v>6</v>
      </c>
      <c r="D158" s="141">
        <v>6</v>
      </c>
      <c r="E158" s="141" t="s">
        <v>796</v>
      </c>
      <c r="F158" s="141" t="s">
        <v>796</v>
      </c>
      <c r="G158" s="141" t="s">
        <v>829</v>
      </c>
      <c r="H158" s="141" t="s">
        <v>829</v>
      </c>
      <c r="I158" s="142" t="s">
        <v>542</v>
      </c>
      <c r="J158" s="142" t="s">
        <v>797</v>
      </c>
      <c r="K158" s="142" t="s">
        <v>827</v>
      </c>
    </row>
    <row r="159" spans="1:11" ht="15" customHeight="1" x14ac:dyDescent="0.25">
      <c r="A159" s="141" t="s">
        <v>834</v>
      </c>
      <c r="B159" s="141">
        <v>162</v>
      </c>
      <c r="C159" s="141">
        <v>6</v>
      </c>
      <c r="D159" s="141">
        <v>6</v>
      </c>
      <c r="E159" s="141" t="s">
        <v>796</v>
      </c>
      <c r="F159" s="141" t="s">
        <v>796</v>
      </c>
      <c r="G159" s="141" t="s">
        <v>833</v>
      </c>
      <c r="H159" s="141" t="s">
        <v>833</v>
      </c>
      <c r="I159" s="142" t="s">
        <v>542</v>
      </c>
      <c r="J159" s="142" t="s">
        <v>797</v>
      </c>
      <c r="K159" s="142" t="s">
        <v>831</v>
      </c>
    </row>
    <row r="160" spans="1:11" ht="15" customHeight="1" x14ac:dyDescent="0.25">
      <c r="A160" s="141" t="s">
        <v>838</v>
      </c>
      <c r="B160" s="141">
        <v>163</v>
      </c>
      <c r="C160" s="141">
        <v>6</v>
      </c>
      <c r="D160" s="141">
        <v>6</v>
      </c>
      <c r="E160" s="141" t="s">
        <v>796</v>
      </c>
      <c r="F160" s="141" t="s">
        <v>796</v>
      </c>
      <c r="G160" s="141" t="s">
        <v>837</v>
      </c>
      <c r="H160" s="141" t="s">
        <v>837</v>
      </c>
      <c r="I160" s="142" t="s">
        <v>542</v>
      </c>
      <c r="J160" s="142" t="s">
        <v>797</v>
      </c>
      <c r="K160" s="142" t="s">
        <v>835</v>
      </c>
    </row>
    <row r="161" spans="1:11" ht="15" customHeight="1" x14ac:dyDescent="0.25">
      <c r="A161" s="141" t="s">
        <v>843</v>
      </c>
      <c r="B161" s="141">
        <v>164</v>
      </c>
      <c r="C161" s="141">
        <v>6</v>
      </c>
      <c r="D161" s="141">
        <v>6</v>
      </c>
      <c r="E161" s="141" t="s">
        <v>796</v>
      </c>
      <c r="F161" s="141" t="s">
        <v>796</v>
      </c>
      <c r="G161" s="141" t="s">
        <v>842</v>
      </c>
      <c r="H161" s="141" t="s">
        <v>842</v>
      </c>
      <c r="I161" s="142" t="s">
        <v>542</v>
      </c>
      <c r="J161" s="142" t="s">
        <v>797</v>
      </c>
      <c r="K161" s="142" t="s">
        <v>839</v>
      </c>
    </row>
    <row r="162" spans="1:11" ht="15" customHeight="1" x14ac:dyDescent="0.25">
      <c r="A162" s="141" t="s">
        <v>847</v>
      </c>
      <c r="B162" s="141">
        <v>165</v>
      </c>
      <c r="C162" s="141">
        <v>6</v>
      </c>
      <c r="D162" s="141">
        <v>6</v>
      </c>
      <c r="E162" s="141" t="s">
        <v>796</v>
      </c>
      <c r="F162" s="141" t="s">
        <v>796</v>
      </c>
      <c r="G162" s="141" t="s">
        <v>846</v>
      </c>
      <c r="H162" s="141" t="s">
        <v>846</v>
      </c>
      <c r="I162" s="142" t="s">
        <v>542</v>
      </c>
      <c r="J162" s="142" t="s">
        <v>797</v>
      </c>
      <c r="K162" s="142" t="s">
        <v>839</v>
      </c>
    </row>
    <row r="163" spans="1:11" ht="15" customHeight="1" x14ac:dyDescent="0.25">
      <c r="A163" s="141" t="s">
        <v>851</v>
      </c>
      <c r="B163" s="141">
        <v>166</v>
      </c>
      <c r="C163" s="141">
        <v>6</v>
      </c>
      <c r="D163" s="141">
        <v>6</v>
      </c>
      <c r="E163" s="141" t="s">
        <v>796</v>
      </c>
      <c r="F163" s="141" t="s">
        <v>796</v>
      </c>
      <c r="G163" s="141" t="s">
        <v>850</v>
      </c>
      <c r="H163" s="141" t="s">
        <v>850</v>
      </c>
      <c r="I163" s="142" t="s">
        <v>542</v>
      </c>
      <c r="J163" s="142" t="s">
        <v>797</v>
      </c>
      <c r="K163" s="142" t="s">
        <v>839</v>
      </c>
    </row>
    <row r="164" spans="1:11" ht="15" customHeight="1" x14ac:dyDescent="0.25">
      <c r="A164" s="141" t="s">
        <v>856</v>
      </c>
      <c r="B164" s="141">
        <v>167</v>
      </c>
      <c r="C164" s="141">
        <v>6</v>
      </c>
      <c r="D164" s="141">
        <v>6</v>
      </c>
      <c r="E164" s="141" t="s">
        <v>796</v>
      </c>
      <c r="F164" s="141" t="s">
        <v>796</v>
      </c>
      <c r="G164" s="141" t="s">
        <v>855</v>
      </c>
      <c r="H164" s="141" t="s">
        <v>855</v>
      </c>
      <c r="I164" s="142" t="s">
        <v>542</v>
      </c>
      <c r="J164" s="142" t="s">
        <v>797</v>
      </c>
      <c r="K164" s="142" t="s">
        <v>852</v>
      </c>
    </row>
    <row r="165" spans="1:11" ht="15" customHeight="1" x14ac:dyDescent="0.25">
      <c r="A165" s="141" t="s">
        <v>860</v>
      </c>
      <c r="B165" s="141">
        <v>168</v>
      </c>
      <c r="C165" s="141">
        <v>6</v>
      </c>
      <c r="D165" s="141">
        <v>6</v>
      </c>
      <c r="E165" s="141" t="s">
        <v>796</v>
      </c>
      <c r="F165" s="141" t="s">
        <v>796</v>
      </c>
      <c r="G165" s="141" t="s">
        <v>859</v>
      </c>
      <c r="H165" s="141" t="s">
        <v>859</v>
      </c>
      <c r="I165" s="142" t="s">
        <v>542</v>
      </c>
      <c r="J165" s="142" t="s">
        <v>797</v>
      </c>
      <c r="K165" s="142" t="s">
        <v>857</v>
      </c>
    </row>
    <row r="166" spans="1:11" ht="15" customHeight="1" x14ac:dyDescent="0.25">
      <c r="A166" s="141" t="s">
        <v>865</v>
      </c>
      <c r="B166" s="141">
        <v>169</v>
      </c>
      <c r="C166" s="141">
        <v>6</v>
      </c>
      <c r="D166" s="141">
        <v>6</v>
      </c>
      <c r="E166" s="141" t="s">
        <v>796</v>
      </c>
      <c r="F166" s="141" t="s">
        <v>796</v>
      </c>
      <c r="G166" s="141" t="s">
        <v>864</v>
      </c>
      <c r="H166" s="141" t="s">
        <v>864</v>
      </c>
      <c r="I166" s="142" t="s">
        <v>542</v>
      </c>
      <c r="J166" s="142" t="s">
        <v>797</v>
      </c>
      <c r="K166" s="142" t="s">
        <v>861</v>
      </c>
    </row>
    <row r="167" spans="1:11" ht="15" customHeight="1" x14ac:dyDescent="0.25">
      <c r="A167" s="141" t="s">
        <v>869</v>
      </c>
      <c r="B167" s="141">
        <v>170</v>
      </c>
      <c r="C167" s="141">
        <v>6</v>
      </c>
      <c r="D167" s="141">
        <v>6</v>
      </c>
      <c r="E167" s="141" t="s">
        <v>796</v>
      </c>
      <c r="F167" s="141" t="s">
        <v>796</v>
      </c>
      <c r="G167" s="141" t="s">
        <v>868</v>
      </c>
      <c r="H167" s="141" t="s">
        <v>868</v>
      </c>
      <c r="I167" s="142" t="s">
        <v>542</v>
      </c>
      <c r="J167" s="142" t="s">
        <v>797</v>
      </c>
      <c r="K167" s="142" t="s">
        <v>866</v>
      </c>
    </row>
    <row r="168" spans="1:11" ht="15" customHeight="1" x14ac:dyDescent="0.25">
      <c r="A168" s="141" t="s">
        <v>874</v>
      </c>
      <c r="B168" s="141">
        <v>171</v>
      </c>
      <c r="C168" s="141">
        <v>6</v>
      </c>
      <c r="D168" s="141">
        <v>6</v>
      </c>
      <c r="E168" s="141" t="s">
        <v>796</v>
      </c>
      <c r="F168" s="141" t="s">
        <v>796</v>
      </c>
      <c r="G168" s="141" t="s">
        <v>873</v>
      </c>
      <c r="H168" s="141" t="s">
        <v>873</v>
      </c>
      <c r="I168" s="142" t="s">
        <v>542</v>
      </c>
      <c r="J168" s="142" t="s">
        <v>797</v>
      </c>
      <c r="K168" s="142" t="s">
        <v>870</v>
      </c>
    </row>
    <row r="169" spans="1:11" ht="15" customHeight="1" x14ac:dyDescent="0.25">
      <c r="A169" s="141" t="s">
        <v>878</v>
      </c>
      <c r="B169" s="141">
        <v>172</v>
      </c>
      <c r="C169" s="141">
        <v>6</v>
      </c>
      <c r="D169" s="141">
        <v>6</v>
      </c>
      <c r="E169" s="141" t="s">
        <v>796</v>
      </c>
      <c r="F169" s="141" t="s">
        <v>796</v>
      </c>
      <c r="G169" s="141" t="s">
        <v>877</v>
      </c>
      <c r="H169" s="141" t="s">
        <v>877</v>
      </c>
      <c r="I169" s="142" t="s">
        <v>542</v>
      </c>
      <c r="J169" s="142" t="s">
        <v>797</v>
      </c>
      <c r="K169" s="142" t="s">
        <v>875</v>
      </c>
    </row>
    <row r="170" spans="1:11" ht="15" customHeight="1" x14ac:dyDescent="0.25">
      <c r="A170" s="141" t="s">
        <v>882</v>
      </c>
      <c r="B170" s="141">
        <v>173</v>
      </c>
      <c r="C170" s="141">
        <v>6</v>
      </c>
      <c r="D170" s="141">
        <v>6</v>
      </c>
      <c r="E170" s="141" t="s">
        <v>796</v>
      </c>
      <c r="F170" s="141" t="s">
        <v>796</v>
      </c>
      <c r="G170" s="141" t="s">
        <v>881</v>
      </c>
      <c r="H170" s="141" t="s">
        <v>881</v>
      </c>
      <c r="I170" s="142" t="s">
        <v>542</v>
      </c>
      <c r="J170" s="142" t="s">
        <v>797</v>
      </c>
      <c r="K170" s="142" t="s">
        <v>879</v>
      </c>
    </row>
    <row r="171" spans="1:11" ht="15" customHeight="1" x14ac:dyDescent="0.25">
      <c r="A171" s="141" t="s">
        <v>886</v>
      </c>
      <c r="B171" s="141">
        <v>174</v>
      </c>
      <c r="C171" s="141">
        <v>6</v>
      </c>
      <c r="D171" s="141">
        <v>6</v>
      </c>
      <c r="E171" s="141" t="s">
        <v>796</v>
      </c>
      <c r="F171" s="141" t="s">
        <v>796</v>
      </c>
      <c r="G171" s="141" t="s">
        <v>885</v>
      </c>
      <c r="H171" s="141" t="s">
        <v>885</v>
      </c>
      <c r="I171" s="142" t="s">
        <v>542</v>
      </c>
      <c r="J171" s="142" t="s">
        <v>797</v>
      </c>
      <c r="K171" s="142" t="s">
        <v>879</v>
      </c>
    </row>
    <row r="172" spans="1:11" ht="15" customHeight="1" x14ac:dyDescent="0.25">
      <c r="A172" s="141" t="s">
        <v>890</v>
      </c>
      <c r="B172" s="141">
        <v>175</v>
      </c>
      <c r="C172" s="141">
        <v>6</v>
      </c>
      <c r="D172" s="141">
        <v>6</v>
      </c>
      <c r="E172" s="141" t="s">
        <v>796</v>
      </c>
      <c r="F172" s="141" t="s">
        <v>796</v>
      </c>
      <c r="G172" s="141" t="s">
        <v>889</v>
      </c>
      <c r="H172" s="141" t="s">
        <v>889</v>
      </c>
      <c r="I172" s="142" t="s">
        <v>542</v>
      </c>
      <c r="J172" s="142" t="s">
        <v>797</v>
      </c>
      <c r="K172" s="142" t="s">
        <v>879</v>
      </c>
    </row>
    <row r="173" spans="1:11" ht="15" customHeight="1" x14ac:dyDescent="0.25">
      <c r="A173" s="141" t="s">
        <v>897</v>
      </c>
      <c r="B173" s="141">
        <v>176</v>
      </c>
      <c r="C173" s="141">
        <v>6</v>
      </c>
      <c r="D173" s="141">
        <v>6</v>
      </c>
      <c r="E173" s="141" t="s">
        <v>891</v>
      </c>
      <c r="F173" s="141" t="s">
        <v>891</v>
      </c>
      <c r="G173" s="141" t="s">
        <v>896</v>
      </c>
      <c r="H173" s="141" t="s">
        <v>896</v>
      </c>
      <c r="I173" s="142" t="s">
        <v>542</v>
      </c>
      <c r="J173" s="142" t="s">
        <v>892</v>
      </c>
      <c r="K173" s="142" t="s">
        <v>893</v>
      </c>
    </row>
    <row r="174" spans="1:11" ht="15" customHeight="1" x14ac:dyDescent="0.25">
      <c r="A174" s="141" t="s">
        <v>902</v>
      </c>
      <c r="B174" s="141">
        <v>177</v>
      </c>
      <c r="C174" s="141">
        <v>6</v>
      </c>
      <c r="D174" s="141">
        <v>6</v>
      </c>
      <c r="E174" s="141" t="s">
        <v>891</v>
      </c>
      <c r="F174" s="141" t="s">
        <v>891</v>
      </c>
      <c r="G174" s="141" t="s">
        <v>901</v>
      </c>
      <c r="H174" s="141" t="s">
        <v>901</v>
      </c>
      <c r="I174" s="142" t="s">
        <v>542</v>
      </c>
      <c r="J174" s="142" t="s">
        <v>892</v>
      </c>
      <c r="K174" s="142" t="s">
        <v>898</v>
      </c>
    </row>
    <row r="175" spans="1:11" ht="15" customHeight="1" x14ac:dyDescent="0.25">
      <c r="A175" s="141" t="s">
        <v>907</v>
      </c>
      <c r="B175" s="141">
        <v>178</v>
      </c>
      <c r="C175" s="141">
        <v>6</v>
      </c>
      <c r="D175" s="141">
        <v>6</v>
      </c>
      <c r="E175" s="141" t="s">
        <v>891</v>
      </c>
      <c r="F175" s="141" t="s">
        <v>891</v>
      </c>
      <c r="G175" s="141" t="s">
        <v>906</v>
      </c>
      <c r="H175" s="141" t="s">
        <v>906</v>
      </c>
      <c r="I175" s="142" t="s">
        <v>542</v>
      </c>
      <c r="J175" s="142" t="s">
        <v>892</v>
      </c>
      <c r="K175" s="142" t="s">
        <v>903</v>
      </c>
    </row>
    <row r="176" spans="1:11" ht="15" customHeight="1" x14ac:dyDescent="0.25">
      <c r="A176" s="141" t="s">
        <v>912</v>
      </c>
      <c r="B176" s="141">
        <v>179</v>
      </c>
      <c r="C176" s="141">
        <v>6</v>
      </c>
      <c r="D176" s="141">
        <v>6</v>
      </c>
      <c r="E176" s="141" t="s">
        <v>891</v>
      </c>
      <c r="F176" s="141" t="s">
        <v>891</v>
      </c>
      <c r="G176" s="141" t="s">
        <v>911</v>
      </c>
      <c r="H176" s="141" t="s">
        <v>911</v>
      </c>
      <c r="I176" s="142" t="s">
        <v>542</v>
      </c>
      <c r="J176" s="142" t="s">
        <v>892</v>
      </c>
      <c r="K176" s="142" t="s">
        <v>908</v>
      </c>
    </row>
    <row r="177" spans="1:11" ht="15" customHeight="1" x14ac:dyDescent="0.25">
      <c r="A177" s="141" t="s">
        <v>917</v>
      </c>
      <c r="B177" s="141">
        <v>180</v>
      </c>
      <c r="C177" s="141">
        <v>6</v>
      </c>
      <c r="D177" s="141">
        <v>6</v>
      </c>
      <c r="E177" s="141" t="s">
        <v>891</v>
      </c>
      <c r="F177" s="141" t="s">
        <v>891</v>
      </c>
      <c r="G177" s="141" t="s">
        <v>916</v>
      </c>
      <c r="H177" s="141" t="s">
        <v>916</v>
      </c>
      <c r="I177" s="142" t="s">
        <v>542</v>
      </c>
      <c r="J177" s="142" t="s">
        <v>892</v>
      </c>
      <c r="K177" s="142" t="s">
        <v>913</v>
      </c>
    </row>
    <row r="178" spans="1:11" ht="15" customHeight="1" x14ac:dyDescent="0.25">
      <c r="A178" s="141" t="s">
        <v>922</v>
      </c>
      <c r="B178" s="141">
        <v>181</v>
      </c>
      <c r="C178" s="141">
        <v>6</v>
      </c>
      <c r="D178" s="141">
        <v>6</v>
      </c>
      <c r="E178" s="141" t="s">
        <v>891</v>
      </c>
      <c r="F178" s="141" t="s">
        <v>891</v>
      </c>
      <c r="G178" s="141" t="s">
        <v>921</v>
      </c>
      <c r="H178" s="141" t="s">
        <v>921</v>
      </c>
      <c r="I178" s="142" t="s">
        <v>542</v>
      </c>
      <c r="J178" s="142" t="s">
        <v>892</v>
      </c>
      <c r="K178" s="142" t="s">
        <v>918</v>
      </c>
    </row>
    <row r="179" spans="1:11" ht="15" customHeight="1" x14ac:dyDescent="0.25">
      <c r="A179" s="141" t="s">
        <v>927</v>
      </c>
      <c r="B179" s="141">
        <v>182</v>
      </c>
      <c r="C179" s="141">
        <v>6</v>
      </c>
      <c r="D179" s="141">
        <v>6</v>
      </c>
      <c r="E179" s="141" t="s">
        <v>891</v>
      </c>
      <c r="F179" s="141" t="s">
        <v>891</v>
      </c>
      <c r="G179" s="141" t="s">
        <v>926</v>
      </c>
      <c r="H179" s="141" t="s">
        <v>926</v>
      </c>
      <c r="I179" s="142" t="s">
        <v>542</v>
      </c>
      <c r="J179" s="142" t="s">
        <v>892</v>
      </c>
      <c r="K179" s="142" t="s">
        <v>923</v>
      </c>
    </row>
    <row r="180" spans="1:11" ht="15" customHeight="1" x14ac:dyDescent="0.25">
      <c r="A180" s="141" t="s">
        <v>931</v>
      </c>
      <c r="B180" s="141">
        <v>183</v>
      </c>
      <c r="C180" s="141">
        <v>6</v>
      </c>
      <c r="D180" s="141">
        <v>6</v>
      </c>
      <c r="E180" s="141" t="s">
        <v>891</v>
      </c>
      <c r="F180" s="141" t="s">
        <v>891</v>
      </c>
      <c r="G180" s="141" t="s">
        <v>930</v>
      </c>
      <c r="H180" s="141" t="s">
        <v>930</v>
      </c>
      <c r="I180" s="142" t="s">
        <v>542</v>
      </c>
      <c r="J180" s="142" t="s">
        <v>892</v>
      </c>
      <c r="K180" s="142" t="s">
        <v>928</v>
      </c>
    </row>
    <row r="181" spans="1:11" ht="15" customHeight="1" x14ac:dyDescent="0.25">
      <c r="A181" s="141" t="s">
        <v>935</v>
      </c>
      <c r="B181" s="141">
        <v>184</v>
      </c>
      <c r="C181" s="141">
        <v>6</v>
      </c>
      <c r="D181" s="141">
        <v>6</v>
      </c>
      <c r="E181" s="141" t="s">
        <v>891</v>
      </c>
      <c r="F181" s="141" t="s">
        <v>891</v>
      </c>
      <c r="G181" s="141" t="s">
        <v>934</v>
      </c>
      <c r="H181" s="141" t="s">
        <v>934</v>
      </c>
      <c r="I181" s="142" t="s">
        <v>542</v>
      </c>
      <c r="J181" s="142" t="s">
        <v>892</v>
      </c>
      <c r="K181" s="142" t="s">
        <v>932</v>
      </c>
    </row>
    <row r="182" spans="1:11" ht="15" customHeight="1" x14ac:dyDescent="0.25">
      <c r="A182" s="141" t="s">
        <v>940</v>
      </c>
      <c r="B182" s="141">
        <v>185</v>
      </c>
      <c r="C182" s="141">
        <v>6</v>
      </c>
      <c r="D182" s="141">
        <v>6</v>
      </c>
      <c r="E182" s="141" t="s">
        <v>891</v>
      </c>
      <c r="F182" s="141" t="s">
        <v>891</v>
      </c>
      <c r="G182" s="141" t="s">
        <v>939</v>
      </c>
      <c r="H182" s="141" t="s">
        <v>939</v>
      </c>
      <c r="I182" s="142" t="s">
        <v>542</v>
      </c>
      <c r="J182" s="142" t="s">
        <v>892</v>
      </c>
      <c r="K182" s="142" t="s">
        <v>936</v>
      </c>
    </row>
    <row r="183" spans="1:11" ht="15" customHeight="1" x14ac:dyDescent="0.25">
      <c r="A183" s="141" t="s">
        <v>945</v>
      </c>
      <c r="B183" s="141">
        <v>186</v>
      </c>
      <c r="C183" s="141">
        <v>6</v>
      </c>
      <c r="D183" s="141">
        <v>6</v>
      </c>
      <c r="E183" s="141" t="s">
        <v>891</v>
      </c>
      <c r="F183" s="141" t="s">
        <v>891</v>
      </c>
      <c r="G183" s="141" t="s">
        <v>944</v>
      </c>
      <c r="H183" s="141" t="s">
        <v>944</v>
      </c>
      <c r="I183" s="142" t="s">
        <v>542</v>
      </c>
      <c r="J183" s="142" t="s">
        <v>892</v>
      </c>
      <c r="K183" s="142" t="s">
        <v>941</v>
      </c>
    </row>
    <row r="184" spans="1:11" ht="15" customHeight="1" x14ac:dyDescent="0.25">
      <c r="A184" s="141" t="s">
        <v>949</v>
      </c>
      <c r="B184" s="141">
        <v>187</v>
      </c>
      <c r="C184" s="141">
        <v>6</v>
      </c>
      <c r="D184" s="141">
        <v>6</v>
      </c>
      <c r="E184" s="141" t="s">
        <v>891</v>
      </c>
      <c r="F184" s="141" t="s">
        <v>891</v>
      </c>
      <c r="G184" s="141" t="s">
        <v>948</v>
      </c>
      <c r="H184" s="141" t="s">
        <v>948</v>
      </c>
      <c r="I184" s="142" t="s">
        <v>542</v>
      </c>
      <c r="J184" s="142" t="s">
        <v>892</v>
      </c>
      <c r="K184" s="142" t="s">
        <v>941</v>
      </c>
    </row>
    <row r="185" spans="1:11" ht="15" customHeight="1" x14ac:dyDescent="0.25">
      <c r="A185" s="141" t="s">
        <v>954</v>
      </c>
      <c r="B185" s="141">
        <v>188</v>
      </c>
      <c r="C185" s="141">
        <v>6</v>
      </c>
      <c r="D185" s="141">
        <v>6</v>
      </c>
      <c r="E185" s="141" t="s">
        <v>891</v>
      </c>
      <c r="F185" s="141" t="s">
        <v>891</v>
      </c>
      <c r="G185" s="141" t="s">
        <v>953</v>
      </c>
      <c r="H185" s="141" t="s">
        <v>953</v>
      </c>
      <c r="I185" s="142" t="s">
        <v>542</v>
      </c>
      <c r="J185" s="142" t="s">
        <v>892</v>
      </c>
      <c r="K185" s="142" t="s">
        <v>950</v>
      </c>
    </row>
    <row r="186" spans="1:11" ht="15" customHeight="1" x14ac:dyDescent="0.25">
      <c r="A186" s="141" t="s">
        <v>958</v>
      </c>
      <c r="B186" s="141">
        <v>189</v>
      </c>
      <c r="C186" s="141">
        <v>6</v>
      </c>
      <c r="D186" s="141">
        <v>6</v>
      </c>
      <c r="E186" s="141" t="s">
        <v>891</v>
      </c>
      <c r="F186" s="141" t="s">
        <v>891</v>
      </c>
      <c r="G186" s="141" t="s">
        <v>957</v>
      </c>
      <c r="H186" s="141" t="s">
        <v>957</v>
      </c>
      <c r="I186" s="142" t="s">
        <v>542</v>
      </c>
      <c r="J186" s="142" t="s">
        <v>892</v>
      </c>
      <c r="K186" s="142" t="s">
        <v>950</v>
      </c>
    </row>
    <row r="187" spans="1:11" ht="15" customHeight="1" x14ac:dyDescent="0.25">
      <c r="A187" s="141" t="s">
        <v>962</v>
      </c>
      <c r="B187" s="141">
        <v>190</v>
      </c>
      <c r="C187" s="141">
        <v>6</v>
      </c>
      <c r="D187" s="141">
        <v>6</v>
      </c>
      <c r="E187" s="141" t="s">
        <v>891</v>
      </c>
      <c r="F187" s="141" t="s">
        <v>891</v>
      </c>
      <c r="G187" s="141" t="s">
        <v>961</v>
      </c>
      <c r="H187" s="141" t="s">
        <v>961</v>
      </c>
      <c r="I187" s="142" t="s">
        <v>542</v>
      </c>
      <c r="J187" s="142" t="s">
        <v>892</v>
      </c>
      <c r="K187" s="142" t="s">
        <v>950</v>
      </c>
    </row>
    <row r="188" spans="1:11" ht="15" customHeight="1" x14ac:dyDescent="0.25">
      <c r="A188" s="141" t="s">
        <v>966</v>
      </c>
      <c r="B188" s="141">
        <v>191</v>
      </c>
      <c r="C188" s="141">
        <v>6</v>
      </c>
      <c r="D188" s="141">
        <v>6</v>
      </c>
      <c r="E188" s="141" t="s">
        <v>891</v>
      </c>
      <c r="F188" s="141" t="s">
        <v>891</v>
      </c>
      <c r="G188" s="141" t="s">
        <v>965</v>
      </c>
      <c r="H188" s="141" t="s">
        <v>965</v>
      </c>
      <c r="I188" s="142" t="s">
        <v>542</v>
      </c>
      <c r="J188" s="142" t="s">
        <v>892</v>
      </c>
      <c r="K188" s="142" t="s">
        <v>950</v>
      </c>
    </row>
    <row r="189" spans="1:11" ht="15" customHeight="1" x14ac:dyDescent="0.25">
      <c r="A189" s="141" t="s">
        <v>970</v>
      </c>
      <c r="B189" s="141">
        <v>192</v>
      </c>
      <c r="C189" s="141">
        <v>6</v>
      </c>
      <c r="D189" s="141">
        <v>6</v>
      </c>
      <c r="E189" s="141" t="s">
        <v>891</v>
      </c>
      <c r="F189" s="141" t="s">
        <v>891</v>
      </c>
      <c r="G189" s="141" t="s">
        <v>969</v>
      </c>
      <c r="H189" s="141" t="s">
        <v>969</v>
      </c>
      <c r="I189" s="142" t="s">
        <v>542</v>
      </c>
      <c r="J189" s="142" t="s">
        <v>892</v>
      </c>
      <c r="K189" s="142" t="s">
        <v>950</v>
      </c>
    </row>
    <row r="190" spans="1:11" ht="15" customHeight="1" x14ac:dyDescent="0.25">
      <c r="A190" s="141" t="s">
        <v>975</v>
      </c>
      <c r="B190" s="141">
        <v>193</v>
      </c>
      <c r="C190" s="141">
        <v>6</v>
      </c>
      <c r="D190" s="141">
        <v>6</v>
      </c>
      <c r="E190" s="141" t="s">
        <v>891</v>
      </c>
      <c r="F190" s="141" t="s">
        <v>891</v>
      </c>
      <c r="G190" s="141" t="s">
        <v>974</v>
      </c>
      <c r="H190" s="141" t="s">
        <v>974</v>
      </c>
      <c r="I190" s="142" t="s">
        <v>542</v>
      </c>
      <c r="J190" s="142" t="s">
        <v>892</v>
      </c>
      <c r="K190" s="142" t="s">
        <v>971</v>
      </c>
    </row>
    <row r="191" spans="1:11" ht="15" customHeight="1" x14ac:dyDescent="0.25">
      <c r="A191" s="141" t="s">
        <v>979</v>
      </c>
      <c r="B191" s="141">
        <v>194</v>
      </c>
      <c r="C191" s="141">
        <v>6</v>
      </c>
      <c r="D191" s="141">
        <v>6</v>
      </c>
      <c r="E191" s="141" t="s">
        <v>891</v>
      </c>
      <c r="F191" s="141" t="s">
        <v>891</v>
      </c>
      <c r="G191" s="141" t="s">
        <v>978</v>
      </c>
      <c r="H191" s="141" t="s">
        <v>978</v>
      </c>
      <c r="I191" s="142" t="s">
        <v>542</v>
      </c>
      <c r="J191" s="142" t="s">
        <v>892</v>
      </c>
      <c r="K191" s="142" t="s">
        <v>971</v>
      </c>
    </row>
    <row r="192" spans="1:11" ht="15" customHeight="1" x14ac:dyDescent="0.25">
      <c r="A192" s="141" t="s">
        <v>984</v>
      </c>
      <c r="B192" s="141">
        <v>195</v>
      </c>
      <c r="C192" s="141">
        <v>6</v>
      </c>
      <c r="D192" s="141">
        <v>6</v>
      </c>
      <c r="E192" s="141" t="s">
        <v>891</v>
      </c>
      <c r="F192" s="141" t="s">
        <v>891</v>
      </c>
      <c r="G192" s="141" t="s">
        <v>983</v>
      </c>
      <c r="H192" s="141" t="s">
        <v>983</v>
      </c>
      <c r="I192" s="142" t="s">
        <v>542</v>
      </c>
      <c r="J192" s="142" t="s">
        <v>892</v>
      </c>
      <c r="K192" s="142" t="s">
        <v>980</v>
      </c>
    </row>
    <row r="193" spans="1:11" ht="15" customHeight="1" x14ac:dyDescent="0.25">
      <c r="A193" s="141" t="s">
        <v>988</v>
      </c>
      <c r="B193" s="141">
        <v>196</v>
      </c>
      <c r="C193" s="141">
        <v>6</v>
      </c>
      <c r="D193" s="141">
        <v>6</v>
      </c>
      <c r="E193" s="141" t="s">
        <v>891</v>
      </c>
      <c r="F193" s="141" t="s">
        <v>891</v>
      </c>
      <c r="G193" s="141" t="s">
        <v>987</v>
      </c>
      <c r="H193" s="141" t="s">
        <v>987</v>
      </c>
      <c r="I193" s="142" t="s">
        <v>542</v>
      </c>
      <c r="J193" s="142" t="s">
        <v>892</v>
      </c>
      <c r="K193" s="142" t="s">
        <v>980</v>
      </c>
    </row>
    <row r="194" spans="1:11" ht="15" customHeight="1" x14ac:dyDescent="0.25">
      <c r="A194" s="141" t="s">
        <v>992</v>
      </c>
      <c r="B194" s="141">
        <v>197</v>
      </c>
      <c r="C194" s="141">
        <v>6</v>
      </c>
      <c r="D194" s="141">
        <v>6</v>
      </c>
      <c r="E194" s="141" t="s">
        <v>891</v>
      </c>
      <c r="F194" s="141" t="s">
        <v>891</v>
      </c>
      <c r="G194" s="141" t="s">
        <v>991</v>
      </c>
      <c r="H194" s="141" t="s">
        <v>991</v>
      </c>
      <c r="I194" s="142" t="s">
        <v>542</v>
      </c>
      <c r="J194" s="142" t="s">
        <v>892</v>
      </c>
      <c r="K194" s="142" t="s">
        <v>980</v>
      </c>
    </row>
    <row r="195" spans="1:11" ht="15" customHeight="1" x14ac:dyDescent="0.25">
      <c r="A195" s="141" t="s">
        <v>996</v>
      </c>
      <c r="B195" s="141">
        <v>198</v>
      </c>
      <c r="C195" s="141">
        <v>6</v>
      </c>
      <c r="D195" s="141">
        <v>6</v>
      </c>
      <c r="E195" s="141" t="s">
        <v>891</v>
      </c>
      <c r="F195" s="141" t="s">
        <v>891</v>
      </c>
      <c r="G195" s="141" t="s">
        <v>995</v>
      </c>
      <c r="H195" s="141" t="s">
        <v>995</v>
      </c>
      <c r="I195" s="142" t="s">
        <v>542</v>
      </c>
      <c r="J195" s="142" t="s">
        <v>892</v>
      </c>
      <c r="K195" s="142" t="s">
        <v>980</v>
      </c>
    </row>
    <row r="196" spans="1:11" ht="15" customHeight="1" x14ac:dyDescent="0.25">
      <c r="A196" s="141" t="s">
        <v>999</v>
      </c>
      <c r="B196" s="141">
        <v>199</v>
      </c>
      <c r="C196" s="141">
        <v>6</v>
      </c>
      <c r="D196" s="141">
        <v>6</v>
      </c>
      <c r="E196" s="141" t="s">
        <v>891</v>
      </c>
      <c r="F196" s="141" t="s">
        <v>891</v>
      </c>
      <c r="G196" s="141" t="s">
        <v>998</v>
      </c>
      <c r="H196" s="141" t="s">
        <v>998</v>
      </c>
      <c r="I196" s="142" t="s">
        <v>542</v>
      </c>
      <c r="J196" s="142" t="s">
        <v>892</v>
      </c>
      <c r="K196" s="142" t="s">
        <v>980</v>
      </c>
    </row>
    <row r="197" spans="1:11" ht="15" customHeight="1" x14ac:dyDescent="0.25">
      <c r="A197" s="141" t="s">
        <v>1004</v>
      </c>
      <c r="B197" s="141">
        <v>200</v>
      </c>
      <c r="C197" s="141">
        <v>6</v>
      </c>
      <c r="D197" s="141">
        <v>6</v>
      </c>
      <c r="E197" s="141" t="s">
        <v>891</v>
      </c>
      <c r="F197" s="141" t="s">
        <v>891</v>
      </c>
      <c r="G197" s="141" t="s">
        <v>1003</v>
      </c>
      <c r="H197" s="141" t="s">
        <v>1003</v>
      </c>
      <c r="I197" s="142" t="s">
        <v>542</v>
      </c>
      <c r="J197" s="142" t="s">
        <v>892</v>
      </c>
      <c r="K197" s="142" t="s">
        <v>1000</v>
      </c>
    </row>
    <row r="198" spans="1:11" ht="15" customHeight="1" x14ac:dyDescent="0.25">
      <c r="A198" s="141" t="s">
        <v>1008</v>
      </c>
      <c r="B198" s="141">
        <v>201</v>
      </c>
      <c r="C198" s="141">
        <v>6</v>
      </c>
      <c r="D198" s="141">
        <v>6</v>
      </c>
      <c r="E198" s="141" t="s">
        <v>891</v>
      </c>
      <c r="F198" s="141" t="s">
        <v>891</v>
      </c>
      <c r="G198" s="141" t="s">
        <v>1007</v>
      </c>
      <c r="H198" s="141" t="s">
        <v>1007</v>
      </c>
      <c r="I198" s="142" t="s">
        <v>542</v>
      </c>
      <c r="J198" s="142" t="s">
        <v>892</v>
      </c>
      <c r="K198" s="142" t="s">
        <v>1000</v>
      </c>
    </row>
    <row r="199" spans="1:11" ht="15" customHeight="1" x14ac:dyDescent="0.25">
      <c r="A199" s="141" t="s">
        <v>1012</v>
      </c>
      <c r="B199" s="141">
        <v>202</v>
      </c>
      <c r="C199" s="141">
        <v>6</v>
      </c>
      <c r="D199" s="141">
        <v>6</v>
      </c>
      <c r="E199" s="141" t="s">
        <v>891</v>
      </c>
      <c r="F199" s="141" t="s">
        <v>891</v>
      </c>
      <c r="G199" s="141" t="s">
        <v>1011</v>
      </c>
      <c r="H199" s="141" t="s">
        <v>1011</v>
      </c>
      <c r="I199" s="142" t="s">
        <v>542</v>
      </c>
      <c r="J199" s="142" t="s">
        <v>892</v>
      </c>
      <c r="K199" s="142" t="s">
        <v>1000</v>
      </c>
    </row>
    <row r="200" spans="1:11" ht="15" customHeight="1" x14ac:dyDescent="0.25">
      <c r="A200" s="141" t="s">
        <v>1016</v>
      </c>
      <c r="B200" s="141">
        <v>203</v>
      </c>
      <c r="C200" s="141">
        <v>6</v>
      </c>
      <c r="D200" s="141">
        <v>6</v>
      </c>
      <c r="E200" s="141" t="s">
        <v>891</v>
      </c>
      <c r="F200" s="141" t="s">
        <v>891</v>
      </c>
      <c r="G200" s="141" t="s">
        <v>1015</v>
      </c>
      <c r="H200" s="141" t="s">
        <v>1015</v>
      </c>
      <c r="I200" s="142" t="s">
        <v>542</v>
      </c>
      <c r="J200" s="142" t="s">
        <v>892</v>
      </c>
      <c r="K200" s="142" t="s">
        <v>1013</v>
      </c>
    </row>
    <row r="201" spans="1:11" ht="15" customHeight="1" x14ac:dyDescent="0.25">
      <c r="A201" s="141" t="s">
        <v>1021</v>
      </c>
      <c r="B201" s="141">
        <v>204</v>
      </c>
      <c r="C201" s="141">
        <v>6</v>
      </c>
      <c r="D201" s="141">
        <v>6</v>
      </c>
      <c r="E201" s="141" t="s">
        <v>891</v>
      </c>
      <c r="F201" s="141" t="s">
        <v>891</v>
      </c>
      <c r="G201" s="141" t="s">
        <v>1020</v>
      </c>
      <c r="H201" s="141" t="s">
        <v>1020</v>
      </c>
      <c r="I201" s="142" t="s">
        <v>542</v>
      </c>
      <c r="J201" s="142" t="s">
        <v>892</v>
      </c>
      <c r="K201" s="142" t="s">
        <v>1017</v>
      </c>
    </row>
    <row r="202" spans="1:11" ht="15" customHeight="1" x14ac:dyDescent="0.25">
      <c r="A202" s="141" t="s">
        <v>1025</v>
      </c>
      <c r="B202" s="141">
        <v>205</v>
      </c>
      <c r="C202" s="141">
        <v>6</v>
      </c>
      <c r="D202" s="141">
        <v>6</v>
      </c>
      <c r="E202" s="141" t="s">
        <v>891</v>
      </c>
      <c r="F202" s="141" t="s">
        <v>891</v>
      </c>
      <c r="G202" s="141" t="s">
        <v>1024</v>
      </c>
      <c r="H202" s="141" t="s">
        <v>1024</v>
      </c>
      <c r="I202" s="142" t="s">
        <v>542</v>
      </c>
      <c r="J202" s="142" t="s">
        <v>892</v>
      </c>
      <c r="K202" s="142" t="s">
        <v>1017</v>
      </c>
    </row>
    <row r="203" spans="1:11" ht="15" customHeight="1" x14ac:dyDescent="0.25">
      <c r="A203" s="141" t="s">
        <v>1030</v>
      </c>
      <c r="B203" s="141">
        <v>206</v>
      </c>
      <c r="C203" s="141">
        <v>6</v>
      </c>
      <c r="D203" s="141">
        <v>6</v>
      </c>
      <c r="E203" s="141" t="s">
        <v>891</v>
      </c>
      <c r="F203" s="141" t="s">
        <v>891</v>
      </c>
      <c r="G203" s="141" t="s">
        <v>1029</v>
      </c>
      <c r="H203" s="141" t="s">
        <v>1029</v>
      </c>
      <c r="I203" s="142" t="s">
        <v>542</v>
      </c>
      <c r="J203" s="142" t="s">
        <v>892</v>
      </c>
      <c r="K203" s="142" t="s">
        <v>1026</v>
      </c>
    </row>
    <row r="204" spans="1:11" ht="15" customHeight="1" x14ac:dyDescent="0.25">
      <c r="A204" s="141" t="s">
        <v>1034</v>
      </c>
      <c r="B204" s="141">
        <v>207</v>
      </c>
      <c r="C204" s="141">
        <v>6</v>
      </c>
      <c r="D204" s="141">
        <v>6</v>
      </c>
      <c r="E204" s="141" t="s">
        <v>891</v>
      </c>
      <c r="F204" s="141" t="s">
        <v>891</v>
      </c>
      <c r="G204" s="141" t="s">
        <v>1033</v>
      </c>
      <c r="H204" s="141" t="s">
        <v>1033</v>
      </c>
      <c r="I204" s="142" t="s">
        <v>542</v>
      </c>
      <c r="J204" s="142" t="s">
        <v>892</v>
      </c>
      <c r="K204" s="142" t="s">
        <v>1026</v>
      </c>
    </row>
    <row r="205" spans="1:11" ht="15" customHeight="1" x14ac:dyDescent="0.25">
      <c r="A205" s="141" t="s">
        <v>1038</v>
      </c>
      <c r="B205" s="141">
        <v>208</v>
      </c>
      <c r="C205" s="141">
        <v>6</v>
      </c>
      <c r="D205" s="141">
        <v>6</v>
      </c>
      <c r="E205" s="141" t="s">
        <v>891</v>
      </c>
      <c r="F205" s="141" t="s">
        <v>891</v>
      </c>
      <c r="G205" s="141" t="s">
        <v>1037</v>
      </c>
      <c r="H205" s="141" t="s">
        <v>1037</v>
      </c>
      <c r="I205" s="142" t="s">
        <v>542</v>
      </c>
      <c r="J205" s="142" t="s">
        <v>892</v>
      </c>
      <c r="K205" s="142" t="s">
        <v>1026</v>
      </c>
    </row>
    <row r="206" spans="1:11" ht="15" customHeight="1" x14ac:dyDescent="0.25">
      <c r="A206" s="141" t="s">
        <v>1042</v>
      </c>
      <c r="B206" s="141">
        <v>209</v>
      </c>
      <c r="C206" s="141">
        <v>6</v>
      </c>
      <c r="D206" s="141">
        <v>6</v>
      </c>
      <c r="E206" s="141" t="s">
        <v>891</v>
      </c>
      <c r="F206" s="141" t="s">
        <v>891</v>
      </c>
      <c r="G206" s="141" t="s">
        <v>1041</v>
      </c>
      <c r="H206" s="141" t="s">
        <v>1041</v>
      </c>
      <c r="I206" s="142" t="s">
        <v>542</v>
      </c>
      <c r="J206" s="142" t="s">
        <v>892</v>
      </c>
      <c r="K206" s="142" t="s">
        <v>1039</v>
      </c>
    </row>
    <row r="207" spans="1:11" ht="15" customHeight="1" x14ac:dyDescent="0.25">
      <c r="A207" s="141" t="s">
        <v>1045</v>
      </c>
      <c r="B207" s="141">
        <v>210</v>
      </c>
      <c r="C207" s="141">
        <v>6</v>
      </c>
      <c r="D207" s="141">
        <v>6</v>
      </c>
      <c r="E207" s="141" t="s">
        <v>891</v>
      </c>
      <c r="F207" s="141" t="s">
        <v>891</v>
      </c>
      <c r="G207" s="141" t="s">
        <v>1044</v>
      </c>
      <c r="H207" s="141" t="s">
        <v>1044</v>
      </c>
      <c r="I207" s="142" t="s">
        <v>542</v>
      </c>
      <c r="J207" s="142" t="s">
        <v>892</v>
      </c>
      <c r="K207" s="142" t="s">
        <v>1039</v>
      </c>
    </row>
    <row r="208" spans="1:11" ht="15" customHeight="1" x14ac:dyDescent="0.25">
      <c r="A208" s="141" t="s">
        <v>1052</v>
      </c>
      <c r="B208" s="141">
        <v>211</v>
      </c>
      <c r="C208" s="141">
        <v>6</v>
      </c>
      <c r="D208" s="141">
        <v>6</v>
      </c>
      <c r="E208" s="141" t="s">
        <v>1046</v>
      </c>
      <c r="F208" s="141" t="s">
        <v>1046</v>
      </c>
      <c r="G208" s="141" t="s">
        <v>1051</v>
      </c>
      <c r="H208" s="141" t="s">
        <v>1051</v>
      </c>
      <c r="I208" s="142" t="s">
        <v>542</v>
      </c>
      <c r="J208" s="142" t="s">
        <v>1047</v>
      </c>
      <c r="K208" s="142" t="s">
        <v>1048</v>
      </c>
    </row>
    <row r="209" spans="1:11" ht="15" customHeight="1" x14ac:dyDescent="0.25">
      <c r="A209" s="141" t="s">
        <v>1057</v>
      </c>
      <c r="B209" s="141">
        <v>212</v>
      </c>
      <c r="C209" s="141">
        <v>6</v>
      </c>
      <c r="D209" s="141">
        <v>6</v>
      </c>
      <c r="E209" s="141" t="s">
        <v>1046</v>
      </c>
      <c r="F209" s="141" t="s">
        <v>1046</v>
      </c>
      <c r="G209" s="141" t="s">
        <v>1056</v>
      </c>
      <c r="H209" s="141" t="s">
        <v>1056</v>
      </c>
      <c r="I209" s="142" t="s">
        <v>542</v>
      </c>
      <c r="J209" s="142" t="s">
        <v>1047</v>
      </c>
      <c r="K209" s="142" t="s">
        <v>1053</v>
      </c>
    </row>
    <row r="210" spans="1:11" ht="15" customHeight="1" x14ac:dyDescent="0.25">
      <c r="A210" s="141" t="s">
        <v>1062</v>
      </c>
      <c r="B210" s="141">
        <v>213</v>
      </c>
      <c r="C210" s="141">
        <v>6</v>
      </c>
      <c r="D210" s="141">
        <v>6</v>
      </c>
      <c r="E210" s="141" t="s">
        <v>1046</v>
      </c>
      <c r="F210" s="141" t="s">
        <v>1046</v>
      </c>
      <c r="G210" s="141" t="s">
        <v>1061</v>
      </c>
      <c r="H210" s="141" t="s">
        <v>1061</v>
      </c>
      <c r="I210" s="142" t="s">
        <v>542</v>
      </c>
      <c r="J210" s="142" t="s">
        <v>1047</v>
      </c>
      <c r="K210" s="142" t="s">
        <v>1058</v>
      </c>
    </row>
    <row r="211" spans="1:11" ht="15" customHeight="1" x14ac:dyDescent="0.25">
      <c r="A211" s="141" t="s">
        <v>1067</v>
      </c>
      <c r="B211" s="141">
        <v>214</v>
      </c>
      <c r="C211" s="141">
        <v>6</v>
      </c>
      <c r="D211" s="141">
        <v>6</v>
      </c>
      <c r="E211" s="141" t="s">
        <v>1046</v>
      </c>
      <c r="F211" s="141" t="s">
        <v>1046</v>
      </c>
      <c r="G211" s="141" t="s">
        <v>1066</v>
      </c>
      <c r="H211" s="141" t="s">
        <v>1066</v>
      </c>
      <c r="I211" s="142" t="s">
        <v>542</v>
      </c>
      <c r="J211" s="142" t="s">
        <v>1047</v>
      </c>
      <c r="K211" s="142" t="s">
        <v>1063</v>
      </c>
    </row>
    <row r="212" spans="1:11" ht="32.25" customHeight="1" x14ac:dyDescent="0.25">
      <c r="A212" s="141" t="s">
        <v>1071</v>
      </c>
      <c r="B212" s="141">
        <v>215</v>
      </c>
      <c r="C212" s="141">
        <v>6</v>
      </c>
      <c r="D212" s="141">
        <v>6</v>
      </c>
      <c r="E212" s="141" t="s">
        <v>1046</v>
      </c>
      <c r="F212" s="141" t="s">
        <v>1046</v>
      </c>
      <c r="G212" s="141" t="s">
        <v>1070</v>
      </c>
      <c r="H212" s="141" t="s">
        <v>1070</v>
      </c>
      <c r="I212" s="142" t="s">
        <v>542</v>
      </c>
      <c r="J212" s="142" t="s">
        <v>1047</v>
      </c>
      <c r="K212" s="142" t="s">
        <v>1068</v>
      </c>
    </row>
    <row r="213" spans="1:11" ht="21.75" customHeight="1" x14ac:dyDescent="0.25">
      <c r="A213" s="141" t="s">
        <v>1075</v>
      </c>
      <c r="B213" s="141">
        <v>216</v>
      </c>
      <c r="C213" s="141">
        <v>6</v>
      </c>
      <c r="D213" s="141">
        <v>6</v>
      </c>
      <c r="E213" s="141" t="s">
        <v>1046</v>
      </c>
      <c r="F213" s="141" t="s">
        <v>1046</v>
      </c>
      <c r="G213" s="141" t="s">
        <v>1074</v>
      </c>
      <c r="H213" s="141" t="s">
        <v>1074</v>
      </c>
      <c r="I213" s="142" t="s">
        <v>542</v>
      </c>
      <c r="J213" s="142" t="s">
        <v>1047</v>
      </c>
      <c r="K213" s="142" t="s">
        <v>1072</v>
      </c>
    </row>
    <row r="214" spans="1:11" ht="21.75" customHeight="1" x14ac:dyDescent="0.25">
      <c r="A214" s="141" t="s">
        <v>1079</v>
      </c>
      <c r="B214" s="141">
        <v>217</v>
      </c>
      <c r="C214" s="141">
        <v>6</v>
      </c>
      <c r="D214" s="141">
        <v>6</v>
      </c>
      <c r="E214" s="141" t="s">
        <v>1046</v>
      </c>
      <c r="F214" s="141" t="s">
        <v>1046</v>
      </c>
      <c r="G214" s="141" t="s">
        <v>1078</v>
      </c>
      <c r="H214" s="141" t="s">
        <v>1078</v>
      </c>
      <c r="I214" s="142" t="s">
        <v>542</v>
      </c>
      <c r="J214" s="142" t="s">
        <v>1047</v>
      </c>
      <c r="K214" s="142" t="s">
        <v>1076</v>
      </c>
    </row>
    <row r="215" spans="1:11" ht="15" customHeight="1" x14ac:dyDescent="0.25">
      <c r="A215" s="141" t="s">
        <v>1083</v>
      </c>
      <c r="B215" s="141">
        <v>218</v>
      </c>
      <c r="C215" s="141">
        <v>6</v>
      </c>
      <c r="D215" s="141">
        <v>6</v>
      </c>
      <c r="E215" s="141" t="s">
        <v>1046</v>
      </c>
      <c r="F215" s="141" t="s">
        <v>1046</v>
      </c>
      <c r="G215" s="141" t="s">
        <v>1082</v>
      </c>
      <c r="H215" s="141" t="s">
        <v>1082</v>
      </c>
      <c r="I215" s="142" t="s">
        <v>542</v>
      </c>
      <c r="J215" s="142" t="s">
        <v>1047</v>
      </c>
      <c r="K215" s="142" t="s">
        <v>1080</v>
      </c>
    </row>
    <row r="216" spans="1:11" ht="15" customHeight="1" x14ac:dyDescent="0.25">
      <c r="A216" s="141" t="s">
        <v>1087</v>
      </c>
      <c r="B216" s="141">
        <v>219</v>
      </c>
      <c r="C216" s="141">
        <v>6</v>
      </c>
      <c r="D216" s="141">
        <v>6</v>
      </c>
      <c r="E216" s="141" t="s">
        <v>1046</v>
      </c>
      <c r="F216" s="141" t="s">
        <v>1046</v>
      </c>
      <c r="G216" s="141" t="s">
        <v>1086</v>
      </c>
      <c r="H216" s="141" t="s">
        <v>1086</v>
      </c>
      <c r="I216" s="142" t="s">
        <v>542</v>
      </c>
      <c r="J216" s="142" t="s">
        <v>1047</v>
      </c>
      <c r="K216" s="142" t="s">
        <v>1084</v>
      </c>
    </row>
    <row r="217" spans="1:11" ht="15" customHeight="1" x14ac:dyDescent="0.25">
      <c r="A217" s="141" t="s">
        <v>1091</v>
      </c>
      <c r="B217" s="141">
        <v>220</v>
      </c>
      <c r="C217" s="141">
        <v>6</v>
      </c>
      <c r="D217" s="141">
        <v>6</v>
      </c>
      <c r="E217" s="141" t="s">
        <v>1046</v>
      </c>
      <c r="F217" s="141" t="s">
        <v>1046</v>
      </c>
      <c r="G217" s="141" t="s">
        <v>1090</v>
      </c>
      <c r="H217" s="141" t="s">
        <v>1090</v>
      </c>
      <c r="I217" s="142" t="s">
        <v>542</v>
      </c>
      <c r="J217" s="142" t="s">
        <v>1047</v>
      </c>
      <c r="K217" s="142" t="s">
        <v>1088</v>
      </c>
    </row>
    <row r="218" spans="1:11" ht="15" customHeight="1" x14ac:dyDescent="0.25">
      <c r="A218" s="141" t="s">
        <v>1095</v>
      </c>
      <c r="B218" s="141">
        <v>221</v>
      </c>
      <c r="C218" s="141">
        <v>6</v>
      </c>
      <c r="D218" s="141">
        <v>6</v>
      </c>
      <c r="E218" s="141" t="s">
        <v>1046</v>
      </c>
      <c r="F218" s="141" t="s">
        <v>1046</v>
      </c>
      <c r="G218" s="141" t="s">
        <v>1094</v>
      </c>
      <c r="H218" s="141" t="s">
        <v>1094</v>
      </c>
      <c r="I218" s="142" t="s">
        <v>542</v>
      </c>
      <c r="J218" s="142" t="s">
        <v>1047</v>
      </c>
      <c r="K218" s="142" t="s">
        <v>1092</v>
      </c>
    </row>
    <row r="219" spans="1:11" ht="15" customHeight="1" x14ac:dyDescent="0.25">
      <c r="A219" s="141" t="s">
        <v>1100</v>
      </c>
      <c r="B219" s="141">
        <v>222</v>
      </c>
      <c r="C219" s="141">
        <v>6</v>
      </c>
      <c r="D219" s="141">
        <v>6</v>
      </c>
      <c r="E219" s="141" t="s">
        <v>1046</v>
      </c>
      <c r="F219" s="141" t="s">
        <v>1046</v>
      </c>
      <c r="G219" s="141" t="s">
        <v>1099</v>
      </c>
      <c r="H219" s="141" t="s">
        <v>1099</v>
      </c>
      <c r="I219" s="142" t="s">
        <v>542</v>
      </c>
      <c r="J219" s="142" t="s">
        <v>1047</v>
      </c>
      <c r="K219" s="142" t="s">
        <v>1096</v>
      </c>
    </row>
    <row r="220" spans="1:11" ht="15" customHeight="1" x14ac:dyDescent="0.25">
      <c r="A220" s="141" t="s">
        <v>1104</v>
      </c>
      <c r="B220" s="141">
        <v>223</v>
      </c>
      <c r="C220" s="141">
        <v>6</v>
      </c>
      <c r="D220" s="141">
        <v>6</v>
      </c>
      <c r="E220" s="141" t="s">
        <v>1046</v>
      </c>
      <c r="F220" s="141" t="s">
        <v>1046</v>
      </c>
      <c r="G220" s="141" t="s">
        <v>1103</v>
      </c>
      <c r="H220" s="141" t="s">
        <v>1103</v>
      </c>
      <c r="I220" s="142" t="s">
        <v>542</v>
      </c>
      <c r="J220" s="142" t="s">
        <v>1047</v>
      </c>
      <c r="K220" s="142" t="s">
        <v>1096</v>
      </c>
    </row>
    <row r="221" spans="1:11" ht="15" customHeight="1" x14ac:dyDescent="0.25">
      <c r="A221" s="141" t="s">
        <v>1108</v>
      </c>
      <c r="B221" s="141">
        <v>224</v>
      </c>
      <c r="C221" s="141">
        <v>6</v>
      </c>
      <c r="D221" s="141">
        <v>6</v>
      </c>
      <c r="E221" s="141" t="s">
        <v>1046</v>
      </c>
      <c r="F221" s="141" t="s">
        <v>1046</v>
      </c>
      <c r="G221" s="141" t="s">
        <v>1107</v>
      </c>
      <c r="H221" s="141" t="s">
        <v>1107</v>
      </c>
      <c r="I221" s="142" t="s">
        <v>542</v>
      </c>
      <c r="J221" s="142" t="s">
        <v>1047</v>
      </c>
      <c r="K221" s="142" t="s">
        <v>1105</v>
      </c>
    </row>
    <row r="222" spans="1:11" ht="15" customHeight="1" x14ac:dyDescent="0.25">
      <c r="A222" s="141" t="s">
        <v>1112</v>
      </c>
      <c r="B222" s="141">
        <v>225</v>
      </c>
      <c r="C222" s="141">
        <v>6</v>
      </c>
      <c r="D222" s="141">
        <v>6</v>
      </c>
      <c r="E222" s="141" t="s">
        <v>1046</v>
      </c>
      <c r="F222" s="141" t="s">
        <v>1046</v>
      </c>
      <c r="G222" s="141" t="s">
        <v>1111</v>
      </c>
      <c r="H222" s="141" t="s">
        <v>1111</v>
      </c>
      <c r="I222" s="142" t="s">
        <v>542</v>
      </c>
      <c r="J222" s="142" t="s">
        <v>1047</v>
      </c>
      <c r="K222" s="142" t="s">
        <v>1096</v>
      </c>
    </row>
    <row r="223" spans="1:11" ht="15" customHeight="1" x14ac:dyDescent="0.25">
      <c r="A223" s="141" t="s">
        <v>1116</v>
      </c>
      <c r="B223" s="141">
        <v>226</v>
      </c>
      <c r="C223" s="141">
        <v>6</v>
      </c>
      <c r="D223" s="141">
        <v>6</v>
      </c>
      <c r="E223" s="141" t="s">
        <v>1046</v>
      </c>
      <c r="F223" s="141" t="s">
        <v>1046</v>
      </c>
      <c r="G223" s="141" t="s">
        <v>1115</v>
      </c>
      <c r="H223" s="141" t="s">
        <v>1115</v>
      </c>
      <c r="I223" s="142" t="s">
        <v>542</v>
      </c>
      <c r="J223" s="142" t="s">
        <v>1047</v>
      </c>
      <c r="K223" s="142" t="s">
        <v>1113</v>
      </c>
    </row>
    <row r="224" spans="1:11" ht="15" customHeight="1" x14ac:dyDescent="0.25">
      <c r="A224" s="141" t="s">
        <v>1120</v>
      </c>
      <c r="B224" s="141">
        <v>227</v>
      </c>
      <c r="C224" s="141">
        <v>6</v>
      </c>
      <c r="D224" s="141">
        <v>6</v>
      </c>
      <c r="E224" s="141" t="s">
        <v>1046</v>
      </c>
      <c r="F224" s="141" t="s">
        <v>1046</v>
      </c>
      <c r="G224" s="141" t="s">
        <v>1119</v>
      </c>
      <c r="H224" s="141" t="s">
        <v>1119</v>
      </c>
      <c r="I224" s="142" t="s">
        <v>542</v>
      </c>
      <c r="J224" s="142" t="s">
        <v>1047</v>
      </c>
      <c r="K224" s="142" t="s">
        <v>1113</v>
      </c>
    </row>
    <row r="225" spans="1:11" ht="15" customHeight="1" x14ac:dyDescent="0.25">
      <c r="A225" s="141" t="s">
        <v>1124</v>
      </c>
      <c r="B225" s="141">
        <v>228</v>
      </c>
      <c r="C225" s="141">
        <v>6</v>
      </c>
      <c r="D225" s="141">
        <v>6</v>
      </c>
      <c r="E225" s="141" t="s">
        <v>1046</v>
      </c>
      <c r="F225" s="141" t="s">
        <v>1046</v>
      </c>
      <c r="G225" s="141" t="s">
        <v>1123</v>
      </c>
      <c r="H225" s="141" t="s">
        <v>1123</v>
      </c>
      <c r="I225" s="142" t="s">
        <v>542</v>
      </c>
      <c r="J225" s="142" t="s">
        <v>1047</v>
      </c>
      <c r="K225" s="142" t="s">
        <v>1113</v>
      </c>
    </row>
    <row r="226" spans="1:11" ht="15" customHeight="1" x14ac:dyDescent="0.25">
      <c r="A226" s="141" t="s">
        <v>1129</v>
      </c>
      <c r="B226" s="141">
        <v>229</v>
      </c>
      <c r="C226" s="141">
        <v>6</v>
      </c>
      <c r="D226" s="141">
        <v>6</v>
      </c>
      <c r="E226" s="141" t="s">
        <v>1046</v>
      </c>
      <c r="F226" s="141" t="s">
        <v>1046</v>
      </c>
      <c r="G226" s="141" t="s">
        <v>1128</v>
      </c>
      <c r="H226" s="141" t="s">
        <v>1128</v>
      </c>
      <c r="I226" s="142" t="s">
        <v>542</v>
      </c>
      <c r="J226" s="142" t="s">
        <v>1047</v>
      </c>
      <c r="K226" s="142" t="s">
        <v>1125</v>
      </c>
    </row>
    <row r="227" spans="1:11" ht="15" customHeight="1" x14ac:dyDescent="0.25">
      <c r="A227" s="141" t="s">
        <v>1133</v>
      </c>
      <c r="B227" s="141">
        <v>230</v>
      </c>
      <c r="C227" s="141">
        <v>6</v>
      </c>
      <c r="D227" s="141">
        <v>6</v>
      </c>
      <c r="E227" s="141" t="s">
        <v>1046</v>
      </c>
      <c r="F227" s="141" t="s">
        <v>1046</v>
      </c>
      <c r="G227" s="141" t="s">
        <v>1132</v>
      </c>
      <c r="H227" s="141" t="s">
        <v>1132</v>
      </c>
      <c r="I227" s="142" t="s">
        <v>542</v>
      </c>
      <c r="J227" s="142" t="s">
        <v>1047</v>
      </c>
      <c r="K227" s="142" t="s">
        <v>1130</v>
      </c>
    </row>
    <row r="228" spans="1:11" ht="15" customHeight="1" x14ac:dyDescent="0.25">
      <c r="A228" s="141" t="s">
        <v>1137</v>
      </c>
      <c r="B228" s="141">
        <v>231</v>
      </c>
      <c r="C228" s="141">
        <v>6</v>
      </c>
      <c r="D228" s="141">
        <v>6</v>
      </c>
      <c r="E228" s="141" t="s">
        <v>1046</v>
      </c>
      <c r="F228" s="141" t="s">
        <v>1046</v>
      </c>
      <c r="G228" s="141" t="s">
        <v>1136</v>
      </c>
      <c r="H228" s="141" t="s">
        <v>1136</v>
      </c>
      <c r="I228" s="142" t="s">
        <v>542</v>
      </c>
      <c r="J228" s="142" t="s">
        <v>1047</v>
      </c>
      <c r="K228" s="142" t="s">
        <v>1130</v>
      </c>
    </row>
    <row r="229" spans="1:11" ht="15" customHeight="1" x14ac:dyDescent="0.25">
      <c r="A229" s="141" t="s">
        <v>1141</v>
      </c>
      <c r="B229" s="141">
        <v>232</v>
      </c>
      <c r="C229" s="141">
        <v>6</v>
      </c>
      <c r="D229" s="141">
        <v>6</v>
      </c>
      <c r="E229" s="141" t="s">
        <v>1046</v>
      </c>
      <c r="F229" s="141" t="s">
        <v>1046</v>
      </c>
      <c r="G229" s="141" t="s">
        <v>1140</v>
      </c>
      <c r="H229" s="141" t="s">
        <v>1140</v>
      </c>
      <c r="I229" s="142" t="s">
        <v>542</v>
      </c>
      <c r="J229" s="142" t="s">
        <v>1047</v>
      </c>
      <c r="K229" s="142" t="s">
        <v>1138</v>
      </c>
    </row>
    <row r="230" spans="1:11" ht="15" customHeight="1" x14ac:dyDescent="0.25">
      <c r="A230" s="141" t="s">
        <v>1145</v>
      </c>
      <c r="B230" s="141">
        <v>233</v>
      </c>
      <c r="C230" s="141">
        <v>6</v>
      </c>
      <c r="D230" s="141">
        <v>6</v>
      </c>
      <c r="E230" s="141" t="s">
        <v>1046</v>
      </c>
      <c r="F230" s="141" t="s">
        <v>1046</v>
      </c>
      <c r="G230" s="141" t="s">
        <v>1144</v>
      </c>
      <c r="H230" s="141" t="s">
        <v>1144</v>
      </c>
      <c r="I230" s="142" t="s">
        <v>542</v>
      </c>
      <c r="J230" s="142" t="s">
        <v>1047</v>
      </c>
      <c r="K230" s="142" t="s">
        <v>1138</v>
      </c>
    </row>
    <row r="231" spans="1:11" ht="15" customHeight="1" x14ac:dyDescent="0.25">
      <c r="A231" s="141" t="s">
        <v>1149</v>
      </c>
      <c r="B231" s="141">
        <v>234</v>
      </c>
      <c r="C231" s="141">
        <v>6</v>
      </c>
      <c r="D231" s="141">
        <v>6</v>
      </c>
      <c r="E231" s="141" t="s">
        <v>1046</v>
      </c>
      <c r="F231" s="141" t="s">
        <v>1046</v>
      </c>
      <c r="G231" s="141" t="s">
        <v>1148</v>
      </c>
      <c r="H231" s="141" t="s">
        <v>1148</v>
      </c>
      <c r="I231" s="142" t="s">
        <v>542</v>
      </c>
      <c r="J231" s="142" t="s">
        <v>1047</v>
      </c>
      <c r="K231" s="142" t="s">
        <v>1146</v>
      </c>
    </row>
    <row r="232" spans="1:11" ht="15" customHeight="1" x14ac:dyDescent="0.25">
      <c r="A232" s="141" t="s">
        <v>1152</v>
      </c>
      <c r="B232" s="141">
        <v>235</v>
      </c>
      <c r="C232" s="141">
        <v>6</v>
      </c>
      <c r="D232" s="141">
        <v>6</v>
      </c>
      <c r="E232" s="141" t="s">
        <v>1046</v>
      </c>
      <c r="F232" s="141" t="s">
        <v>1046</v>
      </c>
      <c r="G232" s="141" t="s">
        <v>1151</v>
      </c>
      <c r="H232" s="141" t="s">
        <v>1151</v>
      </c>
      <c r="I232" s="142" t="s">
        <v>542</v>
      </c>
      <c r="J232" s="142" t="s">
        <v>1047</v>
      </c>
      <c r="K232" s="142" t="s">
        <v>1146</v>
      </c>
    </row>
    <row r="233" spans="1:11" ht="15" customHeight="1" x14ac:dyDescent="0.25">
      <c r="A233" s="141" t="s">
        <v>1159</v>
      </c>
      <c r="B233" s="141">
        <v>236</v>
      </c>
      <c r="C233" s="141">
        <v>6</v>
      </c>
      <c r="D233" s="141">
        <v>6</v>
      </c>
      <c r="E233" s="141" t="s">
        <v>1153</v>
      </c>
      <c r="F233" s="141" t="s">
        <v>1153</v>
      </c>
      <c r="G233" s="141" t="s">
        <v>1158</v>
      </c>
      <c r="H233" s="141" t="s">
        <v>1158</v>
      </c>
      <c r="I233" s="142" t="s">
        <v>542</v>
      </c>
      <c r="J233" s="142" t="s">
        <v>1154</v>
      </c>
      <c r="K233" s="142" t="s">
        <v>1155</v>
      </c>
    </row>
    <row r="234" spans="1:11" ht="15" customHeight="1" x14ac:dyDescent="0.25">
      <c r="A234" s="141" t="s">
        <v>1164</v>
      </c>
      <c r="B234" s="141">
        <v>237</v>
      </c>
      <c r="C234" s="141">
        <v>6</v>
      </c>
      <c r="D234" s="141">
        <v>6</v>
      </c>
      <c r="E234" s="141" t="s">
        <v>1153</v>
      </c>
      <c r="F234" s="141" t="s">
        <v>1153</v>
      </c>
      <c r="G234" s="141" t="s">
        <v>1163</v>
      </c>
      <c r="H234" s="141" t="s">
        <v>1163</v>
      </c>
      <c r="I234" s="142" t="s">
        <v>542</v>
      </c>
      <c r="J234" s="142" t="s">
        <v>1154</v>
      </c>
      <c r="K234" s="142" t="s">
        <v>1160</v>
      </c>
    </row>
    <row r="235" spans="1:11" ht="15" customHeight="1" x14ac:dyDescent="0.25">
      <c r="A235" s="141" t="s">
        <v>1169</v>
      </c>
      <c r="B235" s="141">
        <v>238</v>
      </c>
      <c r="C235" s="141">
        <v>6</v>
      </c>
      <c r="D235" s="141">
        <v>6</v>
      </c>
      <c r="E235" s="141" t="s">
        <v>1153</v>
      </c>
      <c r="F235" s="141" t="s">
        <v>1153</v>
      </c>
      <c r="G235" s="141" t="s">
        <v>1168</v>
      </c>
      <c r="H235" s="141" t="s">
        <v>1168</v>
      </c>
      <c r="I235" s="142" t="s">
        <v>542</v>
      </c>
      <c r="J235" s="142" t="s">
        <v>1154</v>
      </c>
      <c r="K235" s="142" t="s">
        <v>1165</v>
      </c>
    </row>
    <row r="236" spans="1:11" ht="15" customHeight="1" x14ac:dyDescent="0.25">
      <c r="A236" s="141" t="s">
        <v>1174</v>
      </c>
      <c r="B236" s="141">
        <v>239</v>
      </c>
      <c r="C236" s="141">
        <v>6</v>
      </c>
      <c r="D236" s="141">
        <v>6</v>
      </c>
      <c r="E236" s="141" t="s">
        <v>1153</v>
      </c>
      <c r="F236" s="141" t="s">
        <v>1153</v>
      </c>
      <c r="G236" s="141" t="s">
        <v>1173</v>
      </c>
      <c r="H236" s="141" t="s">
        <v>1173</v>
      </c>
      <c r="I236" s="142" t="s">
        <v>542</v>
      </c>
      <c r="J236" s="142" t="s">
        <v>1154</v>
      </c>
      <c r="K236" s="142" t="s">
        <v>1170</v>
      </c>
    </row>
    <row r="237" spans="1:11" ht="15" customHeight="1" x14ac:dyDescent="0.25">
      <c r="A237" s="141" t="s">
        <v>1179</v>
      </c>
      <c r="B237" s="141">
        <v>240</v>
      </c>
      <c r="C237" s="141">
        <v>6</v>
      </c>
      <c r="D237" s="141">
        <v>6</v>
      </c>
      <c r="E237" s="141" t="s">
        <v>1153</v>
      </c>
      <c r="F237" s="141" t="s">
        <v>1153</v>
      </c>
      <c r="G237" s="141" t="s">
        <v>1178</v>
      </c>
      <c r="H237" s="141" t="s">
        <v>1178</v>
      </c>
      <c r="I237" s="142" t="s">
        <v>542</v>
      </c>
      <c r="J237" s="142" t="s">
        <v>1154</v>
      </c>
      <c r="K237" s="142" t="s">
        <v>1175</v>
      </c>
    </row>
    <row r="238" spans="1:11" ht="15" customHeight="1" x14ac:dyDescent="0.25">
      <c r="A238" s="141" t="s">
        <v>1184</v>
      </c>
      <c r="B238" s="141">
        <v>241</v>
      </c>
      <c r="C238" s="141">
        <v>6</v>
      </c>
      <c r="D238" s="141">
        <v>6</v>
      </c>
      <c r="E238" s="141" t="s">
        <v>1153</v>
      </c>
      <c r="F238" s="141" t="s">
        <v>1153</v>
      </c>
      <c r="G238" s="141" t="s">
        <v>1183</v>
      </c>
      <c r="H238" s="141" t="s">
        <v>1183</v>
      </c>
      <c r="I238" s="142" t="s">
        <v>542</v>
      </c>
      <c r="J238" s="142" t="s">
        <v>1154</v>
      </c>
      <c r="K238" s="142" t="s">
        <v>1180</v>
      </c>
    </row>
    <row r="239" spans="1:11" ht="15" customHeight="1" x14ac:dyDescent="0.25">
      <c r="A239" s="141" t="s">
        <v>1189</v>
      </c>
      <c r="B239" s="141">
        <v>242</v>
      </c>
      <c r="C239" s="141">
        <v>6</v>
      </c>
      <c r="D239" s="141">
        <v>6</v>
      </c>
      <c r="E239" s="141" t="s">
        <v>1153</v>
      </c>
      <c r="F239" s="141" t="s">
        <v>1153</v>
      </c>
      <c r="G239" s="141" t="s">
        <v>1188</v>
      </c>
      <c r="H239" s="141" t="s">
        <v>1188</v>
      </c>
      <c r="I239" s="142" t="s">
        <v>542</v>
      </c>
      <c r="J239" s="142" t="s">
        <v>1154</v>
      </c>
      <c r="K239" s="142" t="s">
        <v>1185</v>
      </c>
    </row>
    <row r="240" spans="1:11" ht="15" customHeight="1" x14ac:dyDescent="0.25">
      <c r="A240" s="141" t="s">
        <v>1193</v>
      </c>
      <c r="B240" s="141">
        <v>243</v>
      </c>
      <c r="C240" s="141">
        <v>6</v>
      </c>
      <c r="D240" s="141">
        <v>6</v>
      </c>
      <c r="E240" s="141" t="s">
        <v>1153</v>
      </c>
      <c r="F240" s="141" t="s">
        <v>1153</v>
      </c>
      <c r="G240" s="141" t="s">
        <v>1192</v>
      </c>
      <c r="H240" s="141" t="s">
        <v>1192</v>
      </c>
      <c r="I240" s="142" t="s">
        <v>542</v>
      </c>
      <c r="J240" s="142" t="s">
        <v>1154</v>
      </c>
      <c r="K240" s="142" t="s">
        <v>1190</v>
      </c>
    </row>
    <row r="241" spans="1:11" ht="15" customHeight="1" x14ac:dyDescent="0.25">
      <c r="A241" s="141" t="s">
        <v>1197</v>
      </c>
      <c r="B241" s="141">
        <v>244</v>
      </c>
      <c r="C241" s="141">
        <v>6</v>
      </c>
      <c r="D241" s="141">
        <v>6</v>
      </c>
      <c r="E241" s="141" t="s">
        <v>1153</v>
      </c>
      <c r="F241" s="141" t="s">
        <v>1153</v>
      </c>
      <c r="G241" s="141" t="s">
        <v>1196</v>
      </c>
      <c r="H241" s="141" t="s">
        <v>1196</v>
      </c>
      <c r="I241" s="142" t="s">
        <v>542</v>
      </c>
      <c r="J241" s="142" t="s">
        <v>1154</v>
      </c>
      <c r="K241" s="142" t="s">
        <v>1194</v>
      </c>
    </row>
    <row r="242" spans="1:11" ht="15" customHeight="1" x14ac:dyDescent="0.25">
      <c r="A242" s="141" t="s">
        <v>1201</v>
      </c>
      <c r="B242" s="141">
        <v>245</v>
      </c>
      <c r="C242" s="141">
        <v>6</v>
      </c>
      <c r="D242" s="141">
        <v>6</v>
      </c>
      <c r="E242" s="141" t="s">
        <v>1153</v>
      </c>
      <c r="F242" s="141" t="s">
        <v>1153</v>
      </c>
      <c r="G242" s="141" t="s">
        <v>1200</v>
      </c>
      <c r="H242" s="141" t="s">
        <v>1200</v>
      </c>
      <c r="I242" s="142" t="s">
        <v>542</v>
      </c>
      <c r="J242" s="142" t="s">
        <v>1154</v>
      </c>
      <c r="K242" s="142" t="s">
        <v>1198</v>
      </c>
    </row>
    <row r="243" spans="1:11" ht="15" customHeight="1" x14ac:dyDescent="0.25">
      <c r="A243" s="141" t="s">
        <v>1206</v>
      </c>
      <c r="B243" s="141">
        <v>246</v>
      </c>
      <c r="C243" s="141">
        <v>6</v>
      </c>
      <c r="D243" s="141">
        <v>6</v>
      </c>
      <c r="E243" s="141" t="s">
        <v>1153</v>
      </c>
      <c r="F243" s="141" t="s">
        <v>1153</v>
      </c>
      <c r="G243" s="141" t="s">
        <v>1205</v>
      </c>
      <c r="H243" s="141" t="s">
        <v>1205</v>
      </c>
      <c r="I243" s="142" t="s">
        <v>542</v>
      </c>
      <c r="J243" s="142" t="s">
        <v>1154</v>
      </c>
      <c r="K243" s="142" t="s">
        <v>1202</v>
      </c>
    </row>
    <row r="244" spans="1:11" ht="15" customHeight="1" x14ac:dyDescent="0.25">
      <c r="A244" s="141" t="s">
        <v>1210</v>
      </c>
      <c r="B244" s="141">
        <v>247</v>
      </c>
      <c r="C244" s="141">
        <v>6</v>
      </c>
      <c r="D244" s="141">
        <v>6</v>
      </c>
      <c r="E244" s="141" t="s">
        <v>1153</v>
      </c>
      <c r="F244" s="141" t="s">
        <v>1153</v>
      </c>
      <c r="G244" s="141" t="s">
        <v>1209</v>
      </c>
      <c r="H244" s="141" t="s">
        <v>1209</v>
      </c>
      <c r="I244" s="142" t="s">
        <v>542</v>
      </c>
      <c r="J244" s="142" t="s">
        <v>1154</v>
      </c>
      <c r="K244" s="142" t="s">
        <v>1202</v>
      </c>
    </row>
    <row r="245" spans="1:11" ht="15" customHeight="1" x14ac:dyDescent="0.25">
      <c r="A245" s="141" t="s">
        <v>1214</v>
      </c>
      <c r="B245" s="141">
        <v>248</v>
      </c>
      <c r="C245" s="141">
        <v>6</v>
      </c>
      <c r="D245" s="141">
        <v>6</v>
      </c>
      <c r="E245" s="141" t="s">
        <v>1153</v>
      </c>
      <c r="F245" s="141" t="s">
        <v>1153</v>
      </c>
      <c r="G245" s="141" t="s">
        <v>1213</v>
      </c>
      <c r="H245" s="141" t="s">
        <v>1213</v>
      </c>
      <c r="I245" s="142" t="s">
        <v>542</v>
      </c>
      <c r="J245" s="142" t="s">
        <v>1154</v>
      </c>
      <c r="K245" s="142" t="s">
        <v>1202</v>
      </c>
    </row>
    <row r="246" spans="1:11" ht="15" customHeight="1" x14ac:dyDescent="0.25">
      <c r="A246" s="141" t="s">
        <v>1219</v>
      </c>
      <c r="B246" s="141">
        <v>249</v>
      </c>
      <c r="C246" s="141">
        <v>6</v>
      </c>
      <c r="D246" s="141">
        <v>6</v>
      </c>
      <c r="E246" s="141" t="s">
        <v>1153</v>
      </c>
      <c r="F246" s="141" t="s">
        <v>1153</v>
      </c>
      <c r="G246" s="141" t="s">
        <v>1218</v>
      </c>
      <c r="H246" s="141" t="s">
        <v>1218</v>
      </c>
      <c r="I246" s="142" t="s">
        <v>542</v>
      </c>
      <c r="J246" s="142" t="s">
        <v>1154</v>
      </c>
      <c r="K246" s="142" t="s">
        <v>1215</v>
      </c>
    </row>
    <row r="247" spans="1:11" ht="15" customHeight="1" x14ac:dyDescent="0.25">
      <c r="A247" s="141" t="s">
        <v>1224</v>
      </c>
      <c r="B247" s="141">
        <v>250</v>
      </c>
      <c r="C247" s="141">
        <v>6</v>
      </c>
      <c r="D247" s="141">
        <v>6</v>
      </c>
      <c r="E247" s="141" t="s">
        <v>1153</v>
      </c>
      <c r="F247" s="141" t="s">
        <v>1153</v>
      </c>
      <c r="G247" s="141" t="s">
        <v>1223</v>
      </c>
      <c r="H247" s="141" t="s">
        <v>1223</v>
      </c>
      <c r="I247" s="142" t="s">
        <v>542</v>
      </c>
      <c r="J247" s="142" t="s">
        <v>1154</v>
      </c>
      <c r="K247" s="142" t="s">
        <v>1220</v>
      </c>
    </row>
    <row r="248" spans="1:11" ht="15" customHeight="1" x14ac:dyDescent="0.25">
      <c r="A248" s="141" t="s">
        <v>1228</v>
      </c>
      <c r="B248" s="141">
        <v>251</v>
      </c>
      <c r="C248" s="141">
        <v>6</v>
      </c>
      <c r="D248" s="141">
        <v>6</v>
      </c>
      <c r="E248" s="141" t="s">
        <v>1153</v>
      </c>
      <c r="F248" s="141" t="s">
        <v>1153</v>
      </c>
      <c r="G248" s="141" t="s">
        <v>1227</v>
      </c>
      <c r="H248" s="141" t="s">
        <v>1227</v>
      </c>
      <c r="I248" s="142" t="s">
        <v>542</v>
      </c>
      <c r="J248" s="142" t="s">
        <v>1154</v>
      </c>
      <c r="K248" s="142" t="s">
        <v>1220</v>
      </c>
    </row>
    <row r="249" spans="1:11" ht="15" customHeight="1" x14ac:dyDescent="0.25">
      <c r="A249" s="141" t="s">
        <v>1232</v>
      </c>
      <c r="B249" s="141">
        <v>252</v>
      </c>
      <c r="C249" s="141">
        <v>6</v>
      </c>
      <c r="D249" s="141">
        <v>6</v>
      </c>
      <c r="E249" s="141" t="s">
        <v>1153</v>
      </c>
      <c r="F249" s="141" t="s">
        <v>1153</v>
      </c>
      <c r="G249" s="141" t="s">
        <v>1231</v>
      </c>
      <c r="H249" s="141" t="s">
        <v>1231</v>
      </c>
      <c r="I249" s="142" t="s">
        <v>542</v>
      </c>
      <c r="J249" s="142" t="s">
        <v>1154</v>
      </c>
      <c r="K249" s="142" t="s">
        <v>1220</v>
      </c>
    </row>
    <row r="250" spans="1:11" ht="15" customHeight="1" x14ac:dyDescent="0.25">
      <c r="A250" s="141" t="s">
        <v>1236</v>
      </c>
      <c r="B250" s="141">
        <v>253</v>
      </c>
      <c r="C250" s="141">
        <v>6</v>
      </c>
      <c r="D250" s="141">
        <v>6</v>
      </c>
      <c r="E250" s="141" t="s">
        <v>1153</v>
      </c>
      <c r="F250" s="141" t="s">
        <v>1153</v>
      </c>
      <c r="G250" s="141" t="s">
        <v>1235</v>
      </c>
      <c r="H250" s="141" t="s">
        <v>1235</v>
      </c>
      <c r="I250" s="142" t="s">
        <v>542</v>
      </c>
      <c r="J250" s="142" t="s">
        <v>1154</v>
      </c>
      <c r="K250" s="142" t="s">
        <v>1220</v>
      </c>
    </row>
    <row r="251" spans="1:11" ht="15" customHeight="1" x14ac:dyDescent="0.25">
      <c r="A251" s="141" t="s">
        <v>1240</v>
      </c>
      <c r="B251" s="141">
        <v>254</v>
      </c>
      <c r="C251" s="141">
        <v>6</v>
      </c>
      <c r="D251" s="141">
        <v>6</v>
      </c>
      <c r="E251" s="141" t="s">
        <v>1153</v>
      </c>
      <c r="F251" s="141" t="s">
        <v>1153</v>
      </c>
      <c r="G251" s="141" t="s">
        <v>1239</v>
      </c>
      <c r="H251" s="141" t="s">
        <v>1239</v>
      </c>
      <c r="I251" s="142" t="s">
        <v>542</v>
      </c>
      <c r="J251" s="142" t="s">
        <v>1154</v>
      </c>
      <c r="K251" s="142" t="s">
        <v>1220</v>
      </c>
    </row>
    <row r="252" spans="1:11" ht="15" customHeight="1" x14ac:dyDescent="0.25">
      <c r="A252" s="141" t="s">
        <v>1244</v>
      </c>
      <c r="B252" s="141">
        <v>255</v>
      </c>
      <c r="C252" s="141">
        <v>6</v>
      </c>
      <c r="D252" s="141">
        <v>6</v>
      </c>
      <c r="E252" s="141" t="s">
        <v>1153</v>
      </c>
      <c r="F252" s="141" t="s">
        <v>1153</v>
      </c>
      <c r="G252" s="141" t="s">
        <v>1243</v>
      </c>
      <c r="H252" s="141" t="s">
        <v>1243</v>
      </c>
      <c r="I252" s="142" t="s">
        <v>542</v>
      </c>
      <c r="J252" s="142" t="s">
        <v>1154</v>
      </c>
      <c r="K252" s="142" t="s">
        <v>1241</v>
      </c>
    </row>
    <row r="253" spans="1:11" ht="15" customHeight="1" x14ac:dyDescent="0.25">
      <c r="A253" s="141" t="s">
        <v>1248</v>
      </c>
      <c r="B253" s="141">
        <v>256</v>
      </c>
      <c r="C253" s="141">
        <v>6</v>
      </c>
      <c r="D253" s="141">
        <v>6</v>
      </c>
      <c r="E253" s="141" t="s">
        <v>1153</v>
      </c>
      <c r="F253" s="141" t="s">
        <v>1153</v>
      </c>
      <c r="G253" s="141" t="s">
        <v>1247</v>
      </c>
      <c r="H253" s="141" t="s">
        <v>1247</v>
      </c>
      <c r="I253" s="142" t="s">
        <v>542</v>
      </c>
      <c r="J253" s="142" t="s">
        <v>1154</v>
      </c>
      <c r="K253" s="142" t="s">
        <v>1241</v>
      </c>
    </row>
    <row r="254" spans="1:11" ht="15" customHeight="1" x14ac:dyDescent="0.25">
      <c r="A254" s="141" t="s">
        <v>1251</v>
      </c>
      <c r="B254" s="141">
        <v>257</v>
      </c>
      <c r="C254" s="141">
        <v>6</v>
      </c>
      <c r="D254" s="141">
        <v>6</v>
      </c>
      <c r="E254" s="141" t="s">
        <v>1153</v>
      </c>
      <c r="F254" s="141" t="s">
        <v>1153</v>
      </c>
      <c r="G254" s="141" t="s">
        <v>1250</v>
      </c>
      <c r="H254" s="141" t="s">
        <v>1250</v>
      </c>
      <c r="I254" s="142" t="s">
        <v>542</v>
      </c>
      <c r="J254" s="142" t="s">
        <v>1154</v>
      </c>
      <c r="K254" s="142" t="s">
        <v>1241</v>
      </c>
    </row>
    <row r="255" spans="1:11" ht="15" customHeight="1" x14ac:dyDescent="0.25">
      <c r="A255" s="141" t="s">
        <v>1255</v>
      </c>
      <c r="B255" s="141">
        <v>258</v>
      </c>
      <c r="C255" s="141">
        <v>6</v>
      </c>
      <c r="D255" s="141">
        <v>6</v>
      </c>
      <c r="E255" s="141" t="s">
        <v>1153</v>
      </c>
      <c r="F255" s="141" t="s">
        <v>1153</v>
      </c>
      <c r="G255" s="141" t="s">
        <v>1254</v>
      </c>
      <c r="H255" s="141" t="s">
        <v>1254</v>
      </c>
      <c r="I255" s="142" t="s">
        <v>542</v>
      </c>
      <c r="J255" s="142" t="s">
        <v>1154</v>
      </c>
      <c r="K255" s="142" t="s">
        <v>1241</v>
      </c>
    </row>
    <row r="256" spans="1:11" ht="15" customHeight="1" x14ac:dyDescent="0.25">
      <c r="A256" s="141" t="s">
        <v>1258</v>
      </c>
      <c r="B256" s="141">
        <v>259</v>
      </c>
      <c r="C256" s="141">
        <v>6</v>
      </c>
      <c r="D256" s="141">
        <v>6</v>
      </c>
      <c r="E256" s="141" t="s">
        <v>1153</v>
      </c>
      <c r="F256" s="141" t="s">
        <v>1153</v>
      </c>
      <c r="G256" s="141" t="s">
        <v>1257</v>
      </c>
      <c r="H256" s="141" t="s">
        <v>1257</v>
      </c>
      <c r="I256" s="142" t="s">
        <v>542</v>
      </c>
      <c r="J256" s="142" t="s">
        <v>1154</v>
      </c>
      <c r="K256" s="142" t="s">
        <v>1241</v>
      </c>
    </row>
    <row r="257" spans="1:11" ht="15" customHeight="1" x14ac:dyDescent="0.25">
      <c r="A257" s="141" t="s">
        <v>1262</v>
      </c>
      <c r="B257" s="141">
        <v>260</v>
      </c>
      <c r="C257" s="141">
        <v>6</v>
      </c>
      <c r="D257" s="141">
        <v>6</v>
      </c>
      <c r="E257" s="141" t="s">
        <v>1153</v>
      </c>
      <c r="F257" s="141" t="s">
        <v>1153</v>
      </c>
      <c r="G257" s="141" t="s">
        <v>1261</v>
      </c>
      <c r="H257" s="141" t="s">
        <v>1261</v>
      </c>
      <c r="I257" s="142" t="s">
        <v>542</v>
      </c>
      <c r="J257" s="142" t="s">
        <v>1154</v>
      </c>
      <c r="K257" s="142" t="s">
        <v>1259</v>
      </c>
    </row>
    <row r="258" spans="1:11" ht="15" customHeight="1" x14ac:dyDescent="0.25">
      <c r="A258" s="141" t="s">
        <v>1266</v>
      </c>
      <c r="B258" s="141">
        <v>261</v>
      </c>
      <c r="C258" s="141">
        <v>6</v>
      </c>
      <c r="D258" s="141">
        <v>6</v>
      </c>
      <c r="E258" s="141" t="s">
        <v>1153</v>
      </c>
      <c r="F258" s="141" t="s">
        <v>1153</v>
      </c>
      <c r="G258" s="141" t="s">
        <v>1265</v>
      </c>
      <c r="H258" s="141" t="s">
        <v>1265</v>
      </c>
      <c r="I258" s="142" t="s">
        <v>542</v>
      </c>
      <c r="J258" s="142" t="s">
        <v>1154</v>
      </c>
      <c r="K258" s="142" t="s">
        <v>1259</v>
      </c>
    </row>
    <row r="259" spans="1:11" ht="15" customHeight="1" x14ac:dyDescent="0.25">
      <c r="A259" s="141" t="s">
        <v>1270</v>
      </c>
      <c r="B259" s="141">
        <v>262</v>
      </c>
      <c r="C259" s="141">
        <v>6</v>
      </c>
      <c r="D259" s="141">
        <v>6</v>
      </c>
      <c r="E259" s="141" t="s">
        <v>1153</v>
      </c>
      <c r="F259" s="141" t="s">
        <v>1153</v>
      </c>
      <c r="G259" s="141" t="s">
        <v>1269</v>
      </c>
      <c r="H259" s="141" t="s">
        <v>1269</v>
      </c>
      <c r="I259" s="142" t="s">
        <v>542</v>
      </c>
      <c r="J259" s="142" t="s">
        <v>1154</v>
      </c>
      <c r="K259" s="142" t="s">
        <v>1259</v>
      </c>
    </row>
    <row r="260" spans="1:11" ht="15" customHeight="1" x14ac:dyDescent="0.25">
      <c r="A260" s="141" t="s">
        <v>1274</v>
      </c>
      <c r="B260" s="141">
        <v>263</v>
      </c>
      <c r="C260" s="141">
        <v>6</v>
      </c>
      <c r="D260" s="141">
        <v>6</v>
      </c>
      <c r="E260" s="141" t="s">
        <v>1153</v>
      </c>
      <c r="F260" s="141" t="s">
        <v>1153</v>
      </c>
      <c r="G260" s="141" t="s">
        <v>1273</v>
      </c>
      <c r="H260" s="141" t="s">
        <v>1273</v>
      </c>
      <c r="I260" s="142" t="s">
        <v>542</v>
      </c>
      <c r="J260" s="142" t="s">
        <v>1154</v>
      </c>
      <c r="K260" s="142" t="s">
        <v>1259</v>
      </c>
    </row>
    <row r="261" spans="1:11" ht="15" customHeight="1" x14ac:dyDescent="0.25">
      <c r="A261" s="141" t="s">
        <v>1277</v>
      </c>
      <c r="B261" s="141">
        <v>264</v>
      </c>
      <c r="C261" s="141">
        <v>6</v>
      </c>
      <c r="D261" s="141">
        <v>6</v>
      </c>
      <c r="E261" s="141" t="s">
        <v>1153</v>
      </c>
      <c r="F261" s="141" t="s">
        <v>1153</v>
      </c>
      <c r="G261" s="141" t="s">
        <v>1276</v>
      </c>
      <c r="H261" s="141" t="s">
        <v>1276</v>
      </c>
      <c r="I261" s="142" t="s">
        <v>542</v>
      </c>
      <c r="J261" s="142" t="s">
        <v>1154</v>
      </c>
      <c r="K261" s="142" t="s">
        <v>1259</v>
      </c>
    </row>
    <row r="262" spans="1:11" ht="15" customHeight="1" x14ac:dyDescent="0.25">
      <c r="A262" s="141" t="s">
        <v>1284</v>
      </c>
      <c r="B262" s="141">
        <v>265</v>
      </c>
      <c r="C262" s="141">
        <v>6</v>
      </c>
      <c r="D262" s="141">
        <v>6</v>
      </c>
      <c r="E262" s="141" t="s">
        <v>1278</v>
      </c>
      <c r="F262" s="141" t="s">
        <v>1278</v>
      </c>
      <c r="G262" s="141" t="s">
        <v>1283</v>
      </c>
      <c r="H262" s="141" t="s">
        <v>1283</v>
      </c>
      <c r="I262" s="142" t="s">
        <v>542</v>
      </c>
      <c r="J262" s="142" t="s">
        <v>1279</v>
      </c>
      <c r="K262" s="142" t="s">
        <v>1280</v>
      </c>
    </row>
    <row r="263" spans="1:11" ht="15" customHeight="1" x14ac:dyDescent="0.25">
      <c r="A263" s="141" t="s">
        <v>1289</v>
      </c>
      <c r="B263" s="141">
        <v>266</v>
      </c>
      <c r="C263" s="141">
        <v>6</v>
      </c>
      <c r="D263" s="141">
        <v>6</v>
      </c>
      <c r="E263" s="141" t="s">
        <v>1278</v>
      </c>
      <c r="F263" s="141" t="s">
        <v>1278</v>
      </c>
      <c r="G263" s="141" t="s">
        <v>1288</v>
      </c>
      <c r="H263" s="141" t="s">
        <v>1288</v>
      </c>
      <c r="I263" s="142" t="s">
        <v>542</v>
      </c>
      <c r="J263" s="142" t="s">
        <v>1279</v>
      </c>
      <c r="K263" s="142" t="s">
        <v>1285</v>
      </c>
    </row>
    <row r="264" spans="1:11" ht="15" customHeight="1" x14ac:dyDescent="0.25">
      <c r="A264" s="141" t="s">
        <v>1293</v>
      </c>
      <c r="B264" s="141">
        <v>267</v>
      </c>
      <c r="C264" s="141">
        <v>6</v>
      </c>
      <c r="D264" s="141">
        <v>6</v>
      </c>
      <c r="E264" s="141" t="s">
        <v>1278</v>
      </c>
      <c r="F264" s="141" t="s">
        <v>1278</v>
      </c>
      <c r="G264" s="141" t="s">
        <v>1292</v>
      </c>
      <c r="H264" s="141" t="s">
        <v>1292</v>
      </c>
      <c r="I264" s="142" t="s">
        <v>542</v>
      </c>
      <c r="J264" s="142" t="s">
        <v>1279</v>
      </c>
      <c r="K264" s="142" t="s">
        <v>305</v>
      </c>
    </row>
    <row r="265" spans="1:11" ht="15" customHeight="1" x14ac:dyDescent="0.25">
      <c r="A265" s="141" t="s">
        <v>1298</v>
      </c>
      <c r="B265" s="141">
        <v>268</v>
      </c>
      <c r="C265" s="141">
        <v>6</v>
      </c>
      <c r="D265" s="141">
        <v>6</v>
      </c>
      <c r="E265" s="141" t="s">
        <v>1278</v>
      </c>
      <c r="F265" s="141" t="s">
        <v>1278</v>
      </c>
      <c r="G265" s="141" t="s">
        <v>1297</v>
      </c>
      <c r="H265" s="141" t="s">
        <v>1297</v>
      </c>
      <c r="I265" s="142" t="s">
        <v>542</v>
      </c>
      <c r="J265" s="142" t="s">
        <v>1279</v>
      </c>
      <c r="K265" s="142" t="s">
        <v>1294</v>
      </c>
    </row>
    <row r="266" spans="1:11" ht="15" customHeight="1" x14ac:dyDescent="0.25">
      <c r="A266" s="141" t="s">
        <v>1303</v>
      </c>
      <c r="B266" s="141">
        <v>269</v>
      </c>
      <c r="C266" s="141">
        <v>6</v>
      </c>
      <c r="D266" s="141">
        <v>6</v>
      </c>
      <c r="E266" s="141" t="s">
        <v>1278</v>
      </c>
      <c r="F266" s="141" t="s">
        <v>1278</v>
      </c>
      <c r="G266" s="141" t="s">
        <v>1302</v>
      </c>
      <c r="H266" s="141" t="s">
        <v>1302</v>
      </c>
      <c r="I266" s="142" t="s">
        <v>542</v>
      </c>
      <c r="J266" s="142" t="s">
        <v>1279</v>
      </c>
      <c r="K266" s="142" t="s">
        <v>1299</v>
      </c>
    </row>
    <row r="267" spans="1:11" ht="15" customHeight="1" x14ac:dyDescent="0.25">
      <c r="A267" s="141" t="s">
        <v>1308</v>
      </c>
      <c r="B267" s="141">
        <v>270</v>
      </c>
      <c r="C267" s="141">
        <v>6</v>
      </c>
      <c r="D267" s="141">
        <v>6</v>
      </c>
      <c r="E267" s="141" t="s">
        <v>1278</v>
      </c>
      <c r="F267" s="141" t="s">
        <v>1278</v>
      </c>
      <c r="G267" s="141" t="s">
        <v>1307</v>
      </c>
      <c r="H267" s="141" t="s">
        <v>1307</v>
      </c>
      <c r="I267" s="142" t="s">
        <v>542</v>
      </c>
      <c r="J267" s="142" t="s">
        <v>1279</v>
      </c>
      <c r="K267" s="142" t="s">
        <v>1304</v>
      </c>
    </row>
    <row r="268" spans="1:11" ht="15" customHeight="1" x14ac:dyDescent="0.25">
      <c r="A268" s="141" t="s">
        <v>1312</v>
      </c>
      <c r="B268" s="141">
        <v>271</v>
      </c>
      <c r="C268" s="141">
        <v>6</v>
      </c>
      <c r="D268" s="141">
        <v>6</v>
      </c>
      <c r="E268" s="141" t="s">
        <v>1278</v>
      </c>
      <c r="F268" s="141" t="s">
        <v>1278</v>
      </c>
      <c r="G268" s="141" t="s">
        <v>1311</v>
      </c>
      <c r="H268" s="141" t="s">
        <v>1311</v>
      </c>
      <c r="I268" s="142" t="s">
        <v>542</v>
      </c>
      <c r="J268" s="142" t="s">
        <v>1279</v>
      </c>
      <c r="K268" s="142" t="s">
        <v>1309</v>
      </c>
    </row>
    <row r="269" spans="1:11" ht="15" customHeight="1" x14ac:dyDescent="0.25">
      <c r="A269" s="141" t="s">
        <v>1316</v>
      </c>
      <c r="B269" s="141">
        <v>272</v>
      </c>
      <c r="C269" s="141">
        <v>6</v>
      </c>
      <c r="D269" s="141">
        <v>6</v>
      </c>
      <c r="E269" s="141" t="s">
        <v>1278</v>
      </c>
      <c r="F269" s="141" t="s">
        <v>1278</v>
      </c>
      <c r="G269" s="141" t="s">
        <v>1315</v>
      </c>
      <c r="H269" s="141" t="s">
        <v>1315</v>
      </c>
      <c r="I269" s="142" t="s">
        <v>542</v>
      </c>
      <c r="J269" s="142" t="s">
        <v>1279</v>
      </c>
      <c r="K269" s="142" t="s">
        <v>1313</v>
      </c>
    </row>
    <row r="270" spans="1:11" ht="15" customHeight="1" x14ac:dyDescent="0.25">
      <c r="A270" s="141" t="s">
        <v>1320</v>
      </c>
      <c r="B270" s="141">
        <v>273</v>
      </c>
      <c r="C270" s="141">
        <v>6</v>
      </c>
      <c r="D270" s="141">
        <v>6</v>
      </c>
      <c r="E270" s="141" t="s">
        <v>1278</v>
      </c>
      <c r="F270" s="141" t="s">
        <v>1278</v>
      </c>
      <c r="G270" s="141" t="s">
        <v>1319</v>
      </c>
      <c r="H270" s="141" t="s">
        <v>1319</v>
      </c>
      <c r="I270" s="142" t="s">
        <v>542</v>
      </c>
      <c r="J270" s="142" t="s">
        <v>1279</v>
      </c>
      <c r="K270" s="142" t="s">
        <v>1313</v>
      </c>
    </row>
    <row r="271" spans="1:11" ht="15" customHeight="1" x14ac:dyDescent="0.25">
      <c r="A271" s="141" t="s">
        <v>1324</v>
      </c>
      <c r="B271" s="141">
        <v>274</v>
      </c>
      <c r="C271" s="141">
        <v>6</v>
      </c>
      <c r="D271" s="141">
        <v>6</v>
      </c>
      <c r="E271" s="141" t="s">
        <v>1278</v>
      </c>
      <c r="F271" s="141" t="s">
        <v>1278</v>
      </c>
      <c r="G271" s="141" t="s">
        <v>1323</v>
      </c>
      <c r="H271" s="141" t="s">
        <v>1323</v>
      </c>
      <c r="I271" s="142" t="s">
        <v>542</v>
      </c>
      <c r="J271" s="142" t="s">
        <v>1279</v>
      </c>
      <c r="K271" s="142" t="s">
        <v>1313</v>
      </c>
    </row>
    <row r="272" spans="1:11" ht="15" customHeight="1" x14ac:dyDescent="0.25">
      <c r="A272" s="141" t="s">
        <v>1328</v>
      </c>
      <c r="B272" s="141">
        <v>275</v>
      </c>
      <c r="C272" s="141">
        <v>6</v>
      </c>
      <c r="D272" s="141">
        <v>6</v>
      </c>
      <c r="E272" s="141" t="s">
        <v>1278</v>
      </c>
      <c r="F272" s="141" t="s">
        <v>1278</v>
      </c>
      <c r="G272" s="141" t="s">
        <v>1327</v>
      </c>
      <c r="H272" s="141" t="s">
        <v>1327</v>
      </c>
      <c r="I272" s="142" t="s">
        <v>542</v>
      </c>
      <c r="J272" s="142" t="s">
        <v>1279</v>
      </c>
      <c r="K272" s="142" t="s">
        <v>1325</v>
      </c>
    </row>
    <row r="273" spans="1:11" ht="15" customHeight="1" x14ac:dyDescent="0.25">
      <c r="A273" s="141" t="s">
        <v>1332</v>
      </c>
      <c r="B273" s="141">
        <v>276</v>
      </c>
      <c r="C273" s="141">
        <v>6</v>
      </c>
      <c r="D273" s="141">
        <v>6</v>
      </c>
      <c r="E273" s="141" t="s">
        <v>1278</v>
      </c>
      <c r="F273" s="141" t="s">
        <v>1278</v>
      </c>
      <c r="G273" s="141" t="s">
        <v>1331</v>
      </c>
      <c r="H273" s="141" t="s">
        <v>1331</v>
      </c>
      <c r="I273" s="142" t="s">
        <v>542</v>
      </c>
      <c r="J273" s="142" t="s">
        <v>1279</v>
      </c>
      <c r="K273" s="142" t="s">
        <v>1325</v>
      </c>
    </row>
    <row r="274" spans="1:11" ht="15" customHeight="1" x14ac:dyDescent="0.25">
      <c r="A274" s="141" t="s">
        <v>1336</v>
      </c>
      <c r="B274" s="141">
        <v>277</v>
      </c>
      <c r="C274" s="141">
        <v>6</v>
      </c>
      <c r="D274" s="141">
        <v>6</v>
      </c>
      <c r="E274" s="141" t="s">
        <v>1278</v>
      </c>
      <c r="F274" s="141" t="s">
        <v>1278</v>
      </c>
      <c r="G274" s="141" t="s">
        <v>1335</v>
      </c>
      <c r="H274" s="141" t="s">
        <v>1335</v>
      </c>
      <c r="I274" s="142" t="s">
        <v>542</v>
      </c>
      <c r="J274" s="142" t="s">
        <v>1279</v>
      </c>
      <c r="K274" s="142" t="s">
        <v>1325</v>
      </c>
    </row>
    <row r="275" spans="1:11" ht="15" customHeight="1" x14ac:dyDescent="0.25">
      <c r="A275" s="141" t="s">
        <v>1339</v>
      </c>
      <c r="B275" s="141">
        <v>278</v>
      </c>
      <c r="C275" s="141">
        <v>6</v>
      </c>
      <c r="D275" s="141">
        <v>6</v>
      </c>
      <c r="E275" s="141" t="s">
        <v>1278</v>
      </c>
      <c r="F275" s="141" t="s">
        <v>1278</v>
      </c>
      <c r="G275" s="141" t="s">
        <v>1338</v>
      </c>
      <c r="H275" s="141" t="s">
        <v>1338</v>
      </c>
      <c r="I275" s="142" t="s">
        <v>542</v>
      </c>
      <c r="J275" s="142" t="s">
        <v>1279</v>
      </c>
      <c r="K275" s="142" t="s">
        <v>1325</v>
      </c>
    </row>
    <row r="276" spans="1:11" ht="15" customHeight="1" x14ac:dyDescent="0.25">
      <c r="A276" s="141" t="s">
        <v>1343</v>
      </c>
      <c r="B276" s="141">
        <v>279</v>
      </c>
      <c r="C276" s="141">
        <v>6</v>
      </c>
      <c r="D276" s="141">
        <v>6</v>
      </c>
      <c r="E276" s="141" t="s">
        <v>1278</v>
      </c>
      <c r="F276" s="141" t="s">
        <v>1278</v>
      </c>
      <c r="G276" s="141" t="s">
        <v>1342</v>
      </c>
      <c r="H276" s="141" t="s">
        <v>1342</v>
      </c>
      <c r="I276" s="142" t="s">
        <v>542</v>
      </c>
      <c r="J276" s="142" t="s">
        <v>1279</v>
      </c>
      <c r="K276" s="142" t="s">
        <v>1340</v>
      </c>
    </row>
    <row r="277" spans="1:11" ht="15" customHeight="1" x14ac:dyDescent="0.25">
      <c r="A277" s="141" t="s">
        <v>1347</v>
      </c>
      <c r="B277" s="141">
        <v>280</v>
      </c>
      <c r="C277" s="141">
        <v>6</v>
      </c>
      <c r="D277" s="141">
        <v>6</v>
      </c>
      <c r="E277" s="141" t="s">
        <v>1278</v>
      </c>
      <c r="F277" s="141" t="s">
        <v>1278</v>
      </c>
      <c r="G277" s="141" t="s">
        <v>1346</v>
      </c>
      <c r="H277" s="141" t="s">
        <v>1346</v>
      </c>
      <c r="I277" s="142" t="s">
        <v>542</v>
      </c>
      <c r="J277" s="142" t="s">
        <v>1279</v>
      </c>
      <c r="K277" s="142" t="s">
        <v>1340</v>
      </c>
    </row>
    <row r="278" spans="1:11" ht="15" customHeight="1" x14ac:dyDescent="0.25">
      <c r="A278" s="141" t="s">
        <v>1351</v>
      </c>
      <c r="B278" s="141">
        <v>281</v>
      </c>
      <c r="C278" s="141">
        <v>6</v>
      </c>
      <c r="D278" s="141">
        <v>6</v>
      </c>
      <c r="E278" s="141" t="s">
        <v>1278</v>
      </c>
      <c r="F278" s="141" t="s">
        <v>1278</v>
      </c>
      <c r="G278" s="141" t="s">
        <v>1350</v>
      </c>
      <c r="H278" s="141" t="s">
        <v>1350</v>
      </c>
      <c r="I278" s="142" t="s">
        <v>542</v>
      </c>
      <c r="J278" s="142" t="s">
        <v>1279</v>
      </c>
      <c r="K278" s="142" t="s">
        <v>1340</v>
      </c>
    </row>
    <row r="279" spans="1:11" ht="15" customHeight="1" x14ac:dyDescent="0.25">
      <c r="A279" s="141" t="s">
        <v>1355</v>
      </c>
      <c r="B279" s="141">
        <v>282</v>
      </c>
      <c r="C279" s="141">
        <v>6</v>
      </c>
      <c r="D279" s="141">
        <v>6</v>
      </c>
      <c r="E279" s="141" t="s">
        <v>1278</v>
      </c>
      <c r="F279" s="141" t="s">
        <v>1278</v>
      </c>
      <c r="G279" s="141" t="s">
        <v>1354</v>
      </c>
      <c r="H279" s="141" t="s">
        <v>1354</v>
      </c>
      <c r="I279" s="142" t="s">
        <v>542</v>
      </c>
      <c r="J279" s="142" t="s">
        <v>1279</v>
      </c>
      <c r="K279" s="142" t="s">
        <v>1340</v>
      </c>
    </row>
    <row r="280" spans="1:11" ht="15" customHeight="1" x14ac:dyDescent="0.25">
      <c r="A280" s="141" t="s">
        <v>1360</v>
      </c>
      <c r="B280" s="141">
        <v>283</v>
      </c>
      <c r="C280" s="141">
        <v>6</v>
      </c>
      <c r="D280" s="141">
        <v>6</v>
      </c>
      <c r="E280" s="141" t="s">
        <v>1278</v>
      </c>
      <c r="F280" s="141" t="s">
        <v>1278</v>
      </c>
      <c r="G280" s="141" t="s">
        <v>1359</v>
      </c>
      <c r="H280" s="141" t="s">
        <v>1359</v>
      </c>
      <c r="I280" s="142" t="s">
        <v>542</v>
      </c>
      <c r="J280" s="142" t="s">
        <v>1279</v>
      </c>
      <c r="K280" s="142" t="s">
        <v>1356</v>
      </c>
    </row>
    <row r="281" spans="1:11" ht="15" customHeight="1" x14ac:dyDescent="0.25">
      <c r="A281" s="141" t="s">
        <v>1364</v>
      </c>
      <c r="B281" s="141">
        <v>284</v>
      </c>
      <c r="C281" s="141">
        <v>6</v>
      </c>
      <c r="D281" s="141">
        <v>6</v>
      </c>
      <c r="E281" s="141" t="s">
        <v>1278</v>
      </c>
      <c r="F281" s="141" t="s">
        <v>1278</v>
      </c>
      <c r="G281" s="141" t="s">
        <v>1363</v>
      </c>
      <c r="H281" s="141" t="s">
        <v>1363</v>
      </c>
      <c r="I281" s="142" t="s">
        <v>542</v>
      </c>
      <c r="J281" s="142" t="s">
        <v>1279</v>
      </c>
      <c r="K281" s="142" t="s">
        <v>1356</v>
      </c>
    </row>
    <row r="282" spans="1:11" ht="15" customHeight="1" x14ac:dyDescent="0.25">
      <c r="A282" s="141" t="s">
        <v>1368</v>
      </c>
      <c r="B282" s="141">
        <v>285</v>
      </c>
      <c r="C282" s="141">
        <v>6</v>
      </c>
      <c r="D282" s="141">
        <v>6</v>
      </c>
      <c r="E282" s="141" t="s">
        <v>1278</v>
      </c>
      <c r="F282" s="141" t="s">
        <v>1278</v>
      </c>
      <c r="G282" s="141" t="s">
        <v>1367</v>
      </c>
      <c r="H282" s="141" t="s">
        <v>1367</v>
      </c>
      <c r="I282" s="142" t="s">
        <v>542</v>
      </c>
      <c r="J282" s="142" t="s">
        <v>1279</v>
      </c>
      <c r="K282" s="142" t="s">
        <v>1356</v>
      </c>
    </row>
    <row r="283" spans="1:11" ht="15" customHeight="1" x14ac:dyDescent="0.25">
      <c r="A283" s="141" t="s">
        <v>1371</v>
      </c>
      <c r="B283" s="141">
        <v>286</v>
      </c>
      <c r="C283" s="141">
        <v>6</v>
      </c>
      <c r="D283" s="141">
        <v>6</v>
      </c>
      <c r="E283" s="141" t="s">
        <v>1278</v>
      </c>
      <c r="F283" s="141" t="s">
        <v>1278</v>
      </c>
      <c r="G283" s="141" t="s">
        <v>1370</v>
      </c>
      <c r="H283" s="141" t="s">
        <v>1370</v>
      </c>
      <c r="I283" s="142" t="s">
        <v>542</v>
      </c>
      <c r="J283" s="142" t="s">
        <v>1279</v>
      </c>
      <c r="K283" s="142" t="s">
        <v>1146</v>
      </c>
    </row>
    <row r="284" spans="1:11" ht="15" customHeight="1" x14ac:dyDescent="0.25">
      <c r="A284" s="141" t="s">
        <v>1374</v>
      </c>
      <c r="B284" s="141">
        <v>287</v>
      </c>
      <c r="C284" s="141">
        <v>6</v>
      </c>
      <c r="D284" s="141">
        <v>6</v>
      </c>
      <c r="E284" s="141" t="s">
        <v>1278</v>
      </c>
      <c r="F284" s="141" t="s">
        <v>1278</v>
      </c>
      <c r="G284" s="141" t="s">
        <v>1373</v>
      </c>
      <c r="H284" s="141" t="s">
        <v>1373</v>
      </c>
      <c r="I284" s="142" t="s">
        <v>542</v>
      </c>
      <c r="J284" s="142" t="s">
        <v>1279</v>
      </c>
      <c r="K284" s="142" t="s">
        <v>1146</v>
      </c>
    </row>
    <row r="285" spans="1:11" ht="15" customHeight="1" x14ac:dyDescent="0.25">
      <c r="A285" s="141" t="s">
        <v>1377</v>
      </c>
      <c r="B285" s="141">
        <v>288</v>
      </c>
      <c r="C285" s="141">
        <v>6</v>
      </c>
      <c r="D285" s="141">
        <v>6</v>
      </c>
      <c r="E285" s="141" t="s">
        <v>1278</v>
      </c>
      <c r="F285" s="141" t="s">
        <v>1278</v>
      </c>
      <c r="G285" s="141" t="s">
        <v>1376</v>
      </c>
      <c r="H285" s="141" t="s">
        <v>1376</v>
      </c>
      <c r="I285" s="142" t="s">
        <v>542</v>
      </c>
      <c r="J285" s="142" t="s">
        <v>1279</v>
      </c>
      <c r="K285" s="142" t="s">
        <v>1146</v>
      </c>
    </row>
    <row r="286" spans="1:11" ht="15" customHeight="1" x14ac:dyDescent="0.25">
      <c r="A286" s="141" t="s">
        <v>1384</v>
      </c>
      <c r="B286" s="141">
        <v>289</v>
      </c>
      <c r="C286" s="141">
        <v>6</v>
      </c>
      <c r="D286" s="141">
        <v>6</v>
      </c>
      <c r="E286" s="141" t="s">
        <v>1378</v>
      </c>
      <c r="F286" s="141" t="s">
        <v>1378</v>
      </c>
      <c r="G286" s="141" t="s">
        <v>1383</v>
      </c>
      <c r="H286" s="141" t="s">
        <v>1383</v>
      </c>
      <c r="I286" s="142" t="s">
        <v>542</v>
      </c>
      <c r="J286" s="142" t="s">
        <v>1379</v>
      </c>
      <c r="K286" s="142" t="s">
        <v>1380</v>
      </c>
    </row>
    <row r="287" spans="1:11" ht="15" customHeight="1" x14ac:dyDescent="0.25">
      <c r="A287" s="141" t="s">
        <v>1389</v>
      </c>
      <c r="B287" s="141">
        <v>290</v>
      </c>
      <c r="C287" s="141">
        <v>6</v>
      </c>
      <c r="D287" s="141">
        <v>6</v>
      </c>
      <c r="E287" s="141" t="s">
        <v>1378</v>
      </c>
      <c r="F287" s="141" t="s">
        <v>1378</v>
      </c>
      <c r="G287" s="141" t="s">
        <v>1388</v>
      </c>
      <c r="H287" s="141" t="s">
        <v>1388</v>
      </c>
      <c r="I287" s="142" t="s">
        <v>542</v>
      </c>
      <c r="J287" s="142" t="s">
        <v>1379</v>
      </c>
      <c r="K287" s="142" t="s">
        <v>1385</v>
      </c>
    </row>
    <row r="288" spans="1:11" ht="15" customHeight="1" x14ac:dyDescent="0.25">
      <c r="A288" s="141" t="s">
        <v>1394</v>
      </c>
      <c r="B288" s="141">
        <v>291</v>
      </c>
      <c r="C288" s="141">
        <v>6</v>
      </c>
      <c r="D288" s="141">
        <v>6</v>
      </c>
      <c r="E288" s="141" t="s">
        <v>1378</v>
      </c>
      <c r="F288" s="141" t="s">
        <v>1378</v>
      </c>
      <c r="G288" s="141" t="s">
        <v>1393</v>
      </c>
      <c r="H288" s="141" t="s">
        <v>1393</v>
      </c>
      <c r="I288" s="142" t="s">
        <v>542</v>
      </c>
      <c r="J288" s="142" t="s">
        <v>1379</v>
      </c>
      <c r="K288" s="142" t="s">
        <v>1390</v>
      </c>
    </row>
    <row r="289" spans="1:11" ht="15" customHeight="1" x14ac:dyDescent="0.25">
      <c r="A289" s="141" t="s">
        <v>1398</v>
      </c>
      <c r="B289" s="141">
        <v>292</v>
      </c>
      <c r="C289" s="141">
        <v>6</v>
      </c>
      <c r="D289" s="141">
        <v>6</v>
      </c>
      <c r="E289" s="141" t="s">
        <v>1378</v>
      </c>
      <c r="F289" s="141" t="s">
        <v>1378</v>
      </c>
      <c r="G289" s="141" t="s">
        <v>1397</v>
      </c>
      <c r="H289" s="141" t="s">
        <v>1397</v>
      </c>
      <c r="I289" s="142" t="s">
        <v>542</v>
      </c>
      <c r="J289" s="142" t="s">
        <v>1379</v>
      </c>
      <c r="K289" s="142" t="s">
        <v>1395</v>
      </c>
    </row>
    <row r="290" spans="1:11" ht="15" customHeight="1" x14ac:dyDescent="0.25">
      <c r="A290" s="141" t="s">
        <v>1402</v>
      </c>
      <c r="B290" s="141">
        <v>293</v>
      </c>
      <c r="C290" s="141">
        <v>6</v>
      </c>
      <c r="D290" s="141">
        <v>6</v>
      </c>
      <c r="E290" s="141" t="s">
        <v>1378</v>
      </c>
      <c r="F290" s="141" t="s">
        <v>1378</v>
      </c>
      <c r="G290" s="141" t="s">
        <v>1401</v>
      </c>
      <c r="H290" s="141" t="s">
        <v>1401</v>
      </c>
      <c r="I290" s="142" t="s">
        <v>542</v>
      </c>
      <c r="J290" s="142" t="s">
        <v>1379</v>
      </c>
      <c r="K290" s="142" t="s">
        <v>1395</v>
      </c>
    </row>
    <row r="291" spans="1:11" ht="15" customHeight="1" x14ac:dyDescent="0.25">
      <c r="A291" s="141" t="s">
        <v>1405</v>
      </c>
      <c r="B291" s="141">
        <v>294</v>
      </c>
      <c r="C291" s="141">
        <v>6</v>
      </c>
      <c r="D291" s="141">
        <v>6</v>
      </c>
      <c r="E291" s="141" t="s">
        <v>1378</v>
      </c>
      <c r="F291" s="141" t="s">
        <v>1378</v>
      </c>
      <c r="G291" s="141" t="s">
        <v>1404</v>
      </c>
      <c r="H291" s="141" t="s">
        <v>1404</v>
      </c>
      <c r="I291" s="142" t="s">
        <v>542</v>
      </c>
      <c r="J291" s="142" t="s">
        <v>1379</v>
      </c>
      <c r="K291" s="142" t="s">
        <v>1395</v>
      </c>
    </row>
    <row r="292" spans="1:11" ht="15" customHeight="1" x14ac:dyDescent="0.25">
      <c r="A292" s="141" t="s">
        <v>1408</v>
      </c>
      <c r="B292" s="141">
        <v>295</v>
      </c>
      <c r="C292" s="141">
        <v>6</v>
      </c>
      <c r="D292" s="141">
        <v>6</v>
      </c>
      <c r="E292" s="141" t="s">
        <v>1378</v>
      </c>
      <c r="F292" s="141" t="s">
        <v>1378</v>
      </c>
      <c r="G292" s="141" t="s">
        <v>1407</v>
      </c>
      <c r="H292" s="141" t="s">
        <v>1407</v>
      </c>
      <c r="I292" s="142" t="s">
        <v>542</v>
      </c>
      <c r="J292" s="142" t="s">
        <v>1379</v>
      </c>
      <c r="K292" s="142" t="s">
        <v>1395</v>
      </c>
    </row>
    <row r="293" spans="1:11" ht="15" customHeight="1" x14ac:dyDescent="0.25">
      <c r="A293" s="141" t="s">
        <v>1412</v>
      </c>
      <c r="B293" s="141">
        <v>296</v>
      </c>
      <c r="C293" s="141">
        <v>6</v>
      </c>
      <c r="D293" s="141">
        <v>6</v>
      </c>
      <c r="E293" s="141" t="s">
        <v>1378</v>
      </c>
      <c r="F293" s="141" t="s">
        <v>1378</v>
      </c>
      <c r="G293" s="141" t="s">
        <v>1411</v>
      </c>
      <c r="H293" s="141" t="s">
        <v>1411</v>
      </c>
      <c r="I293" s="142" t="s">
        <v>542</v>
      </c>
      <c r="J293" s="142" t="s">
        <v>1379</v>
      </c>
      <c r="K293" s="142" t="s">
        <v>1395</v>
      </c>
    </row>
    <row r="294" spans="1:11" ht="15" customHeight="1" x14ac:dyDescent="0.25">
      <c r="A294" s="141" t="s">
        <v>1416</v>
      </c>
      <c r="B294" s="141">
        <v>297</v>
      </c>
      <c r="C294" s="141">
        <v>6</v>
      </c>
      <c r="D294" s="141">
        <v>6</v>
      </c>
      <c r="E294" s="141" t="s">
        <v>1378</v>
      </c>
      <c r="F294" s="141" t="s">
        <v>1378</v>
      </c>
      <c r="G294" s="141" t="s">
        <v>1415</v>
      </c>
      <c r="H294" s="141" t="s">
        <v>1415</v>
      </c>
      <c r="I294" s="142" t="s">
        <v>542</v>
      </c>
      <c r="J294" s="142" t="s">
        <v>1379</v>
      </c>
      <c r="K294" s="142" t="s">
        <v>1413</v>
      </c>
    </row>
    <row r="295" spans="1:11" ht="15" customHeight="1" x14ac:dyDescent="0.25">
      <c r="A295" s="141" t="s">
        <v>1420</v>
      </c>
      <c r="B295" s="141">
        <v>298</v>
      </c>
      <c r="C295" s="141">
        <v>6</v>
      </c>
      <c r="D295" s="141">
        <v>6</v>
      </c>
      <c r="E295" s="141" t="s">
        <v>1378</v>
      </c>
      <c r="F295" s="141" t="s">
        <v>1378</v>
      </c>
      <c r="G295" s="141" t="s">
        <v>1419</v>
      </c>
      <c r="H295" s="141" t="s">
        <v>1419</v>
      </c>
      <c r="I295" s="142" t="s">
        <v>542</v>
      </c>
      <c r="J295" s="142" t="s">
        <v>1379</v>
      </c>
      <c r="K295" s="142" t="s">
        <v>1413</v>
      </c>
    </row>
    <row r="296" spans="1:11" ht="15" customHeight="1" x14ac:dyDescent="0.25">
      <c r="A296" s="141" t="s">
        <v>1423</v>
      </c>
      <c r="B296" s="141">
        <v>299</v>
      </c>
      <c r="C296" s="141">
        <v>6</v>
      </c>
      <c r="D296" s="141">
        <v>6</v>
      </c>
      <c r="E296" s="141" t="s">
        <v>1378</v>
      </c>
      <c r="F296" s="141" t="s">
        <v>1378</v>
      </c>
      <c r="G296" s="141" t="s">
        <v>1422</v>
      </c>
      <c r="H296" s="141" t="s">
        <v>1422</v>
      </c>
      <c r="I296" s="142" t="s">
        <v>542</v>
      </c>
      <c r="J296" s="142" t="s">
        <v>1379</v>
      </c>
      <c r="K296" s="142" t="s">
        <v>1413</v>
      </c>
    </row>
    <row r="297" spans="1:11" ht="15" customHeight="1" x14ac:dyDescent="0.25">
      <c r="A297" s="141" t="s">
        <v>1427</v>
      </c>
      <c r="B297" s="141">
        <v>300</v>
      </c>
      <c r="C297" s="141">
        <v>6</v>
      </c>
      <c r="D297" s="141">
        <v>6</v>
      </c>
      <c r="E297" s="141" t="s">
        <v>1378</v>
      </c>
      <c r="F297" s="141" t="s">
        <v>1378</v>
      </c>
      <c r="G297" s="141" t="s">
        <v>1426</v>
      </c>
      <c r="H297" s="141" t="s">
        <v>1426</v>
      </c>
      <c r="I297" s="142" t="s">
        <v>542</v>
      </c>
      <c r="J297" s="142" t="s">
        <v>1379</v>
      </c>
      <c r="K297" s="142" t="s">
        <v>1424</v>
      </c>
    </row>
    <row r="298" spans="1:11" ht="15" customHeight="1" x14ac:dyDescent="0.25">
      <c r="A298" s="141" t="s">
        <v>1431</v>
      </c>
      <c r="B298" s="141">
        <v>301</v>
      </c>
      <c r="C298" s="141">
        <v>6</v>
      </c>
      <c r="D298" s="141">
        <v>6</v>
      </c>
      <c r="E298" s="141" t="s">
        <v>1378</v>
      </c>
      <c r="F298" s="141" t="s">
        <v>1378</v>
      </c>
      <c r="G298" s="141" t="s">
        <v>1430</v>
      </c>
      <c r="H298" s="141" t="s">
        <v>1430</v>
      </c>
      <c r="I298" s="142" t="s">
        <v>542</v>
      </c>
      <c r="J298" s="142" t="s">
        <v>1379</v>
      </c>
      <c r="K298" s="142" t="s">
        <v>1428</v>
      </c>
    </row>
    <row r="299" spans="1:11" ht="15" customHeight="1" x14ac:dyDescent="0.25">
      <c r="A299" s="141" t="s">
        <v>1435</v>
      </c>
      <c r="B299" s="141">
        <v>302</v>
      </c>
      <c r="C299" s="141">
        <v>6</v>
      </c>
      <c r="D299" s="141">
        <v>6</v>
      </c>
      <c r="E299" s="141" t="s">
        <v>1378</v>
      </c>
      <c r="F299" s="141" t="s">
        <v>1378</v>
      </c>
      <c r="G299" s="141" t="s">
        <v>1434</v>
      </c>
      <c r="H299" s="141" t="s">
        <v>1434</v>
      </c>
      <c r="I299" s="142" t="s">
        <v>542</v>
      </c>
      <c r="J299" s="142" t="s">
        <v>1379</v>
      </c>
      <c r="K299" s="142" t="s">
        <v>1432</v>
      </c>
    </row>
    <row r="300" spans="1:11" ht="15" customHeight="1" x14ac:dyDescent="0.25">
      <c r="A300" s="141" t="s">
        <v>1439</v>
      </c>
      <c r="B300" s="141">
        <v>303</v>
      </c>
      <c r="C300" s="141">
        <v>6</v>
      </c>
      <c r="D300" s="141">
        <v>6</v>
      </c>
      <c r="E300" s="141" t="s">
        <v>1378</v>
      </c>
      <c r="F300" s="141" t="s">
        <v>1378</v>
      </c>
      <c r="G300" s="141" t="s">
        <v>1438</v>
      </c>
      <c r="H300" s="141" t="s">
        <v>1438</v>
      </c>
      <c r="I300" s="142" t="s">
        <v>542</v>
      </c>
      <c r="J300" s="142" t="s">
        <v>1379</v>
      </c>
      <c r="K300" s="142" t="s">
        <v>1436</v>
      </c>
    </row>
    <row r="301" spans="1:11" ht="15" customHeight="1" x14ac:dyDescent="0.25">
      <c r="A301" s="141" t="s">
        <v>1446</v>
      </c>
      <c r="B301" s="141">
        <v>304</v>
      </c>
      <c r="C301" s="141">
        <v>6</v>
      </c>
      <c r="D301" s="141">
        <v>6</v>
      </c>
      <c r="E301" s="141" t="s">
        <v>1440</v>
      </c>
      <c r="F301" s="141" t="s">
        <v>1440</v>
      </c>
      <c r="G301" s="141" t="s">
        <v>1445</v>
      </c>
      <c r="H301" s="141" t="s">
        <v>1445</v>
      </c>
      <c r="I301" s="142" t="s">
        <v>542</v>
      </c>
      <c r="J301" s="142" t="s">
        <v>1441</v>
      </c>
      <c r="K301" s="142" t="s">
        <v>1442</v>
      </c>
    </row>
    <row r="302" spans="1:11" ht="15" customHeight="1" x14ac:dyDescent="0.25">
      <c r="A302" s="141" t="s">
        <v>1451</v>
      </c>
      <c r="B302" s="141">
        <v>305</v>
      </c>
      <c r="C302" s="141">
        <v>6</v>
      </c>
      <c r="D302" s="141">
        <v>6</v>
      </c>
      <c r="E302" s="141" t="s">
        <v>1440</v>
      </c>
      <c r="F302" s="141" t="s">
        <v>1440</v>
      </c>
      <c r="G302" s="141" t="s">
        <v>1450</v>
      </c>
      <c r="H302" s="141" t="s">
        <v>1450</v>
      </c>
      <c r="I302" s="142" t="s">
        <v>542</v>
      </c>
      <c r="J302" s="142" t="s">
        <v>1441</v>
      </c>
      <c r="K302" s="142" t="s">
        <v>1447</v>
      </c>
    </row>
    <row r="303" spans="1:11" ht="15" customHeight="1" x14ac:dyDescent="0.25">
      <c r="A303" s="141" t="s">
        <v>1456</v>
      </c>
      <c r="B303" s="141">
        <v>306</v>
      </c>
      <c r="C303" s="141">
        <v>6</v>
      </c>
      <c r="D303" s="141">
        <v>6</v>
      </c>
      <c r="E303" s="141" t="s">
        <v>1440</v>
      </c>
      <c r="F303" s="141" t="s">
        <v>1440</v>
      </c>
      <c r="G303" s="141" t="s">
        <v>1455</v>
      </c>
      <c r="H303" s="141" t="s">
        <v>1455</v>
      </c>
      <c r="I303" s="142" t="s">
        <v>542</v>
      </c>
      <c r="J303" s="142" t="s">
        <v>1441</v>
      </c>
      <c r="K303" s="142" t="s">
        <v>1452</v>
      </c>
    </row>
    <row r="304" spans="1:11" ht="15" customHeight="1" x14ac:dyDescent="0.25">
      <c r="A304" s="141" t="s">
        <v>1461</v>
      </c>
      <c r="B304" s="141">
        <v>307</v>
      </c>
      <c r="C304" s="141">
        <v>6</v>
      </c>
      <c r="D304" s="141">
        <v>6</v>
      </c>
      <c r="E304" s="141" t="s">
        <v>1440</v>
      </c>
      <c r="F304" s="141" t="s">
        <v>1440</v>
      </c>
      <c r="G304" s="141" t="s">
        <v>1460</v>
      </c>
      <c r="H304" s="141" t="s">
        <v>1460</v>
      </c>
      <c r="I304" s="142" t="s">
        <v>542</v>
      </c>
      <c r="J304" s="142" t="s">
        <v>1441</v>
      </c>
      <c r="K304" s="142" t="s">
        <v>1457</v>
      </c>
    </row>
    <row r="305" spans="1:11" ht="21.75" customHeight="1" x14ac:dyDescent="0.25">
      <c r="A305" s="141" t="s">
        <v>1465</v>
      </c>
      <c r="B305" s="141">
        <v>308</v>
      </c>
      <c r="C305" s="141">
        <v>6</v>
      </c>
      <c r="D305" s="141">
        <v>6</v>
      </c>
      <c r="E305" s="141" t="s">
        <v>1440</v>
      </c>
      <c r="F305" s="141" t="s">
        <v>1440</v>
      </c>
      <c r="G305" s="141" t="s">
        <v>1464</v>
      </c>
      <c r="H305" s="141" t="s">
        <v>1464</v>
      </c>
      <c r="I305" s="142" t="s">
        <v>542</v>
      </c>
      <c r="J305" s="142" t="s">
        <v>1441</v>
      </c>
      <c r="K305" s="142" t="s">
        <v>1462</v>
      </c>
    </row>
    <row r="306" spans="1:11" ht="15" customHeight="1" x14ac:dyDescent="0.25">
      <c r="A306" s="141" t="s">
        <v>1469</v>
      </c>
      <c r="B306" s="141">
        <v>309</v>
      </c>
      <c r="C306" s="141">
        <v>6</v>
      </c>
      <c r="D306" s="141">
        <v>6</v>
      </c>
      <c r="E306" s="141" t="s">
        <v>1440</v>
      </c>
      <c r="F306" s="141" t="s">
        <v>1440</v>
      </c>
      <c r="G306" s="141" t="s">
        <v>1468</v>
      </c>
      <c r="H306" s="141" t="s">
        <v>1468</v>
      </c>
      <c r="I306" s="142" t="s">
        <v>542</v>
      </c>
      <c r="J306" s="142" t="s">
        <v>1441</v>
      </c>
      <c r="K306" s="142" t="s">
        <v>1466</v>
      </c>
    </row>
    <row r="307" spans="1:11" ht="15" customHeight="1" x14ac:dyDescent="0.25">
      <c r="A307" s="141" t="s">
        <v>1474</v>
      </c>
      <c r="B307" s="141">
        <v>310</v>
      </c>
      <c r="C307" s="141">
        <v>6</v>
      </c>
      <c r="D307" s="141">
        <v>6</v>
      </c>
      <c r="E307" s="141" t="s">
        <v>1440</v>
      </c>
      <c r="F307" s="141" t="s">
        <v>1440</v>
      </c>
      <c r="G307" s="141" t="s">
        <v>1473</v>
      </c>
      <c r="H307" s="141" t="s">
        <v>1473</v>
      </c>
      <c r="I307" s="142" t="s">
        <v>542</v>
      </c>
      <c r="J307" s="142" t="s">
        <v>1441</v>
      </c>
      <c r="K307" s="142" t="s">
        <v>1470</v>
      </c>
    </row>
    <row r="308" spans="1:11" ht="15" customHeight="1" x14ac:dyDescent="0.25">
      <c r="A308" s="141" t="s">
        <v>1478</v>
      </c>
      <c r="B308" s="141">
        <v>311</v>
      </c>
      <c r="C308" s="141">
        <v>6</v>
      </c>
      <c r="D308" s="141">
        <v>6</v>
      </c>
      <c r="E308" s="141" t="s">
        <v>1440</v>
      </c>
      <c r="F308" s="141" t="s">
        <v>1440</v>
      </c>
      <c r="G308" s="141" t="s">
        <v>1477</v>
      </c>
      <c r="H308" s="141" t="s">
        <v>1477</v>
      </c>
      <c r="I308" s="142" t="s">
        <v>542</v>
      </c>
      <c r="J308" s="142" t="s">
        <v>1441</v>
      </c>
      <c r="K308" s="142" t="s">
        <v>1470</v>
      </c>
    </row>
    <row r="309" spans="1:11" ht="15" customHeight="1" x14ac:dyDescent="0.25">
      <c r="A309" s="141" t="s">
        <v>1482</v>
      </c>
      <c r="B309" s="141">
        <v>312</v>
      </c>
      <c r="C309" s="141">
        <v>6</v>
      </c>
      <c r="D309" s="141">
        <v>6</v>
      </c>
      <c r="E309" s="141" t="s">
        <v>1440</v>
      </c>
      <c r="F309" s="141" t="s">
        <v>1440</v>
      </c>
      <c r="G309" s="141" t="s">
        <v>1481</v>
      </c>
      <c r="H309" s="141" t="s">
        <v>1481</v>
      </c>
      <c r="I309" s="142" t="s">
        <v>542</v>
      </c>
      <c r="J309" s="142" t="s">
        <v>1441</v>
      </c>
      <c r="K309" s="142" t="s">
        <v>1470</v>
      </c>
    </row>
    <row r="310" spans="1:11" ht="15" customHeight="1" x14ac:dyDescent="0.25">
      <c r="A310" s="141" t="s">
        <v>1486</v>
      </c>
      <c r="B310" s="141">
        <v>313</v>
      </c>
      <c r="C310" s="141">
        <v>6</v>
      </c>
      <c r="D310" s="141">
        <v>6</v>
      </c>
      <c r="E310" s="141" t="s">
        <v>1440</v>
      </c>
      <c r="F310" s="141" t="s">
        <v>1440</v>
      </c>
      <c r="G310" s="141" t="s">
        <v>1485</v>
      </c>
      <c r="H310" s="141" t="s">
        <v>1485</v>
      </c>
      <c r="I310" s="142" t="s">
        <v>542</v>
      </c>
      <c r="J310" s="142" t="s">
        <v>1441</v>
      </c>
      <c r="K310" s="142" t="s">
        <v>1483</v>
      </c>
    </row>
    <row r="311" spans="1:11" ht="15" customHeight="1" x14ac:dyDescent="0.25">
      <c r="A311" s="141" t="s">
        <v>1490</v>
      </c>
      <c r="B311" s="141">
        <v>314</v>
      </c>
      <c r="C311" s="141">
        <v>6</v>
      </c>
      <c r="D311" s="141">
        <v>6</v>
      </c>
      <c r="E311" s="141" t="s">
        <v>1440</v>
      </c>
      <c r="F311" s="141" t="s">
        <v>1440</v>
      </c>
      <c r="G311" s="141" t="s">
        <v>1489</v>
      </c>
      <c r="H311" s="141" t="s">
        <v>1489</v>
      </c>
      <c r="I311" s="142" t="s">
        <v>542</v>
      </c>
      <c r="J311" s="142" t="s">
        <v>1441</v>
      </c>
      <c r="K311" s="142" t="s">
        <v>1487</v>
      </c>
    </row>
    <row r="312" spans="1:11" ht="15" customHeight="1" x14ac:dyDescent="0.25">
      <c r="A312" s="141" t="s">
        <v>1494</v>
      </c>
      <c r="B312" s="141">
        <v>315</v>
      </c>
      <c r="C312" s="141">
        <v>6</v>
      </c>
      <c r="D312" s="141">
        <v>6</v>
      </c>
      <c r="E312" s="141" t="s">
        <v>1440</v>
      </c>
      <c r="F312" s="141" t="s">
        <v>1440</v>
      </c>
      <c r="G312" s="141" t="s">
        <v>1493</v>
      </c>
      <c r="H312" s="141" t="s">
        <v>1493</v>
      </c>
      <c r="I312" s="142" t="s">
        <v>542</v>
      </c>
      <c r="J312" s="142" t="s">
        <v>1441</v>
      </c>
      <c r="K312" s="142" t="s">
        <v>1487</v>
      </c>
    </row>
    <row r="313" spans="1:11" ht="15" customHeight="1" x14ac:dyDescent="0.25">
      <c r="A313" s="141" t="s">
        <v>1498</v>
      </c>
      <c r="B313" s="141">
        <v>316</v>
      </c>
      <c r="C313" s="141">
        <v>6</v>
      </c>
      <c r="D313" s="141">
        <v>6</v>
      </c>
      <c r="E313" s="141" t="s">
        <v>1440</v>
      </c>
      <c r="F313" s="141" t="s">
        <v>1440</v>
      </c>
      <c r="G313" s="141" t="s">
        <v>1497</v>
      </c>
      <c r="H313" s="141" t="s">
        <v>1497</v>
      </c>
      <c r="I313" s="142" t="s">
        <v>542</v>
      </c>
      <c r="J313" s="142" t="s">
        <v>1441</v>
      </c>
      <c r="K313" s="142" t="s">
        <v>1487</v>
      </c>
    </row>
    <row r="314" spans="1:11" ht="15" customHeight="1" x14ac:dyDescent="0.25">
      <c r="A314" s="141" t="s">
        <v>1502</v>
      </c>
      <c r="B314" s="141">
        <v>317</v>
      </c>
      <c r="C314" s="141">
        <v>6</v>
      </c>
      <c r="D314" s="141">
        <v>6</v>
      </c>
      <c r="E314" s="141" t="s">
        <v>1440</v>
      </c>
      <c r="F314" s="141" t="s">
        <v>1440</v>
      </c>
      <c r="G314" s="141" t="s">
        <v>1501</v>
      </c>
      <c r="H314" s="141" t="s">
        <v>1501</v>
      </c>
      <c r="I314" s="142" t="s">
        <v>542</v>
      </c>
      <c r="J314" s="142" t="s">
        <v>1441</v>
      </c>
      <c r="K314" s="142" t="s">
        <v>1499</v>
      </c>
    </row>
    <row r="315" spans="1:11" ht="15" customHeight="1" x14ac:dyDescent="0.25">
      <c r="A315" s="141" t="s">
        <v>1506</v>
      </c>
      <c r="B315" s="141">
        <v>318</v>
      </c>
      <c r="C315" s="141">
        <v>6</v>
      </c>
      <c r="D315" s="141">
        <v>6</v>
      </c>
      <c r="E315" s="141" t="s">
        <v>1440</v>
      </c>
      <c r="F315" s="141" t="s">
        <v>1440</v>
      </c>
      <c r="G315" s="141" t="s">
        <v>1505</v>
      </c>
      <c r="H315" s="141" t="s">
        <v>1505</v>
      </c>
      <c r="I315" s="142" t="s">
        <v>542</v>
      </c>
      <c r="J315" s="142" t="s">
        <v>1441</v>
      </c>
      <c r="K315" s="142" t="s">
        <v>1499</v>
      </c>
    </row>
    <row r="316" spans="1:11" ht="15" customHeight="1" x14ac:dyDescent="0.25">
      <c r="A316" s="141" t="s">
        <v>1510</v>
      </c>
      <c r="B316" s="141">
        <v>319</v>
      </c>
      <c r="C316" s="141">
        <v>6</v>
      </c>
      <c r="D316" s="141">
        <v>6</v>
      </c>
      <c r="E316" s="141" t="s">
        <v>1440</v>
      </c>
      <c r="F316" s="141" t="s">
        <v>1440</v>
      </c>
      <c r="G316" s="141" t="s">
        <v>1509</v>
      </c>
      <c r="H316" s="141" t="s">
        <v>1509</v>
      </c>
      <c r="I316" s="142" t="s">
        <v>542</v>
      </c>
      <c r="J316" s="142" t="s">
        <v>1441</v>
      </c>
      <c r="K316" s="142" t="s">
        <v>1499</v>
      </c>
    </row>
    <row r="317" spans="1:11" ht="15" customHeight="1" x14ac:dyDescent="0.25">
      <c r="A317" s="141" t="s">
        <v>1513</v>
      </c>
      <c r="B317" s="141">
        <v>320</v>
      </c>
      <c r="C317" s="141">
        <v>6</v>
      </c>
      <c r="D317" s="141">
        <v>6</v>
      </c>
      <c r="E317" s="141" t="s">
        <v>1440</v>
      </c>
      <c r="F317" s="141" t="s">
        <v>1440</v>
      </c>
      <c r="G317" s="141" t="s">
        <v>1512</v>
      </c>
      <c r="H317" s="141" t="s">
        <v>1512</v>
      </c>
      <c r="I317" s="142" t="s">
        <v>542</v>
      </c>
      <c r="J317" s="142" t="s">
        <v>1441</v>
      </c>
      <c r="K317" s="142" t="s">
        <v>1436</v>
      </c>
    </row>
    <row r="318" spans="1:11" ht="15" customHeight="1" x14ac:dyDescent="0.25">
      <c r="A318" s="141" t="s">
        <v>1520</v>
      </c>
      <c r="B318" s="141">
        <v>321</v>
      </c>
      <c r="C318" s="141">
        <v>6</v>
      </c>
      <c r="D318" s="141">
        <v>6</v>
      </c>
      <c r="E318" s="141" t="s">
        <v>1514</v>
      </c>
      <c r="F318" s="141" t="s">
        <v>1514</v>
      </c>
      <c r="G318" s="141" t="s">
        <v>1519</v>
      </c>
      <c r="H318" s="141" t="s">
        <v>1519</v>
      </c>
      <c r="I318" s="142" t="s">
        <v>542</v>
      </c>
      <c r="J318" s="142" t="s">
        <v>1515</v>
      </c>
      <c r="K318" s="142" t="s">
        <v>1516</v>
      </c>
    </row>
    <row r="319" spans="1:11" ht="15" customHeight="1" x14ac:dyDescent="0.25">
      <c r="A319" s="141" t="s">
        <v>1525</v>
      </c>
      <c r="B319" s="141">
        <v>322</v>
      </c>
      <c r="C319" s="141">
        <v>6</v>
      </c>
      <c r="D319" s="141">
        <v>6</v>
      </c>
      <c r="E319" s="141" t="s">
        <v>1514</v>
      </c>
      <c r="F319" s="141" t="s">
        <v>1514</v>
      </c>
      <c r="G319" s="141" t="s">
        <v>1524</v>
      </c>
      <c r="H319" s="141" t="s">
        <v>1524</v>
      </c>
      <c r="I319" s="142" t="s">
        <v>542</v>
      </c>
      <c r="J319" s="142" t="s">
        <v>1515</v>
      </c>
      <c r="K319" s="142" t="s">
        <v>1521</v>
      </c>
    </row>
    <row r="320" spans="1:11" ht="15" customHeight="1" x14ac:dyDescent="0.25">
      <c r="A320" s="141" t="s">
        <v>1530</v>
      </c>
      <c r="B320" s="141">
        <v>323</v>
      </c>
      <c r="C320" s="141">
        <v>6</v>
      </c>
      <c r="D320" s="141">
        <v>6</v>
      </c>
      <c r="E320" s="141" t="s">
        <v>1514</v>
      </c>
      <c r="F320" s="141" t="s">
        <v>1514</v>
      </c>
      <c r="G320" s="141" t="s">
        <v>1529</v>
      </c>
      <c r="H320" s="141" t="s">
        <v>1529</v>
      </c>
      <c r="I320" s="142" t="s">
        <v>542</v>
      </c>
      <c r="J320" s="142" t="s">
        <v>1515</v>
      </c>
      <c r="K320" s="142" t="s">
        <v>1526</v>
      </c>
    </row>
    <row r="321" spans="1:11" ht="15" customHeight="1" x14ac:dyDescent="0.25">
      <c r="A321" s="141" t="s">
        <v>1535</v>
      </c>
      <c r="B321" s="141">
        <v>324</v>
      </c>
      <c r="C321" s="141">
        <v>6</v>
      </c>
      <c r="D321" s="141">
        <v>6</v>
      </c>
      <c r="E321" s="141" t="s">
        <v>1514</v>
      </c>
      <c r="F321" s="141" t="s">
        <v>1514</v>
      </c>
      <c r="G321" s="141" t="s">
        <v>1534</v>
      </c>
      <c r="H321" s="141" t="s">
        <v>1534</v>
      </c>
      <c r="I321" s="142" t="s">
        <v>542</v>
      </c>
      <c r="J321" s="142" t="s">
        <v>1515</v>
      </c>
      <c r="K321" s="142" t="s">
        <v>1531</v>
      </c>
    </row>
    <row r="322" spans="1:11" ht="15" customHeight="1" x14ac:dyDescent="0.25">
      <c r="A322" s="141" t="s">
        <v>1539</v>
      </c>
      <c r="B322" s="141">
        <v>325</v>
      </c>
      <c r="C322" s="141">
        <v>6</v>
      </c>
      <c r="D322" s="141">
        <v>6</v>
      </c>
      <c r="E322" s="141" t="s">
        <v>1514</v>
      </c>
      <c r="F322" s="141" t="s">
        <v>1514</v>
      </c>
      <c r="G322" s="141" t="s">
        <v>1538</v>
      </c>
      <c r="H322" s="141" t="s">
        <v>1538</v>
      </c>
      <c r="I322" s="142" t="s">
        <v>542</v>
      </c>
      <c r="J322" s="142" t="s">
        <v>1515</v>
      </c>
      <c r="K322" s="142" t="s">
        <v>1536</v>
      </c>
    </row>
    <row r="323" spans="1:11" ht="15" customHeight="1" x14ac:dyDescent="0.25">
      <c r="A323" s="141" t="s">
        <v>1542</v>
      </c>
      <c r="B323" s="141">
        <v>326</v>
      </c>
      <c r="C323" s="141">
        <v>6</v>
      </c>
      <c r="D323" s="141">
        <v>6</v>
      </c>
      <c r="E323" s="141" t="s">
        <v>1514</v>
      </c>
      <c r="F323" s="141" t="s">
        <v>1514</v>
      </c>
      <c r="G323" s="141" t="s">
        <v>1541</v>
      </c>
      <c r="H323" s="141" t="s">
        <v>1541</v>
      </c>
      <c r="I323" s="142" t="s">
        <v>542</v>
      </c>
      <c r="J323" s="142" t="s">
        <v>1515</v>
      </c>
      <c r="K323" s="142" t="s">
        <v>1536</v>
      </c>
    </row>
    <row r="324" spans="1:11" ht="15" customHeight="1" x14ac:dyDescent="0.25">
      <c r="A324" s="141" t="s">
        <v>1546</v>
      </c>
      <c r="B324" s="141">
        <v>327</v>
      </c>
      <c r="C324" s="141">
        <v>6</v>
      </c>
      <c r="D324" s="141">
        <v>6</v>
      </c>
      <c r="E324" s="141" t="s">
        <v>1514</v>
      </c>
      <c r="F324" s="141" t="s">
        <v>1514</v>
      </c>
      <c r="G324" s="141" t="s">
        <v>1545</v>
      </c>
      <c r="H324" s="141" t="s">
        <v>1545</v>
      </c>
      <c r="I324" s="142" t="s">
        <v>542</v>
      </c>
      <c r="J324" s="142" t="s">
        <v>1515</v>
      </c>
      <c r="K324" s="142" t="s">
        <v>1536</v>
      </c>
    </row>
    <row r="325" spans="1:11" ht="15" customHeight="1" x14ac:dyDescent="0.25">
      <c r="A325" s="141" t="s">
        <v>1550</v>
      </c>
      <c r="B325" s="141">
        <v>328</v>
      </c>
      <c r="C325" s="141">
        <v>6</v>
      </c>
      <c r="D325" s="141">
        <v>6</v>
      </c>
      <c r="E325" s="141" t="s">
        <v>1514</v>
      </c>
      <c r="F325" s="141" t="s">
        <v>1514</v>
      </c>
      <c r="G325" s="141" t="s">
        <v>1549</v>
      </c>
      <c r="H325" s="141" t="s">
        <v>1549</v>
      </c>
      <c r="I325" s="142" t="s">
        <v>542</v>
      </c>
      <c r="J325" s="142" t="s">
        <v>1515</v>
      </c>
      <c r="K325" s="142" t="s">
        <v>1547</v>
      </c>
    </row>
    <row r="326" spans="1:11" ht="15" customHeight="1" x14ac:dyDescent="0.25">
      <c r="A326" s="141" t="s">
        <v>1553</v>
      </c>
      <c r="B326" s="141">
        <v>329</v>
      </c>
      <c r="C326" s="141">
        <v>6</v>
      </c>
      <c r="D326" s="141">
        <v>6</v>
      </c>
      <c r="E326" s="141" t="s">
        <v>1514</v>
      </c>
      <c r="F326" s="141" t="s">
        <v>1514</v>
      </c>
      <c r="G326" s="141" t="s">
        <v>1552</v>
      </c>
      <c r="H326" s="141" t="s">
        <v>1552</v>
      </c>
      <c r="I326" s="142" t="s">
        <v>542</v>
      </c>
      <c r="J326" s="142" t="s">
        <v>1515</v>
      </c>
      <c r="K326" s="142" t="s">
        <v>1547</v>
      </c>
    </row>
    <row r="327" spans="1:11" ht="15" customHeight="1" x14ac:dyDescent="0.25">
      <c r="A327" s="141" t="s">
        <v>1556</v>
      </c>
      <c r="B327" s="141">
        <v>330</v>
      </c>
      <c r="C327" s="141">
        <v>6</v>
      </c>
      <c r="D327" s="141">
        <v>6</v>
      </c>
      <c r="E327" s="141" t="s">
        <v>1514</v>
      </c>
      <c r="F327" s="141" t="s">
        <v>1514</v>
      </c>
      <c r="G327" s="141" t="s">
        <v>1555</v>
      </c>
      <c r="H327" s="141" t="s">
        <v>1555</v>
      </c>
      <c r="I327" s="142" t="s">
        <v>542</v>
      </c>
      <c r="J327" s="142" t="s">
        <v>1515</v>
      </c>
      <c r="K327" s="142" t="s">
        <v>1547</v>
      </c>
    </row>
    <row r="328" spans="1:11" ht="15" customHeight="1" x14ac:dyDescent="0.25">
      <c r="A328" s="141" t="s">
        <v>1560</v>
      </c>
      <c r="B328" s="141">
        <v>331</v>
      </c>
      <c r="C328" s="141">
        <v>6</v>
      </c>
      <c r="D328" s="141">
        <v>6</v>
      </c>
      <c r="E328" s="141" t="s">
        <v>1514</v>
      </c>
      <c r="F328" s="141" t="s">
        <v>1514</v>
      </c>
      <c r="G328" s="141" t="s">
        <v>1559</v>
      </c>
      <c r="H328" s="141" t="s">
        <v>1559</v>
      </c>
      <c r="I328" s="142" t="s">
        <v>542</v>
      </c>
      <c r="J328" s="142" t="s">
        <v>1515</v>
      </c>
      <c r="K328" s="142" t="s">
        <v>1557</v>
      </c>
    </row>
    <row r="329" spans="1:11" ht="15" customHeight="1" x14ac:dyDescent="0.25">
      <c r="A329" s="141" t="s">
        <v>1563</v>
      </c>
      <c r="B329" s="141">
        <v>332</v>
      </c>
      <c r="C329" s="141">
        <v>6</v>
      </c>
      <c r="D329" s="141">
        <v>6</v>
      </c>
      <c r="E329" s="141" t="s">
        <v>1514</v>
      </c>
      <c r="F329" s="141" t="s">
        <v>1514</v>
      </c>
      <c r="G329" s="141" t="s">
        <v>1562</v>
      </c>
      <c r="H329" s="141" t="s">
        <v>1562</v>
      </c>
      <c r="I329" s="142" t="s">
        <v>542</v>
      </c>
      <c r="J329" s="142" t="s">
        <v>1515</v>
      </c>
      <c r="K329" s="142" t="s">
        <v>1557</v>
      </c>
    </row>
    <row r="330" spans="1:11" ht="15" customHeight="1" x14ac:dyDescent="0.25">
      <c r="A330" s="141" t="s">
        <v>1567</v>
      </c>
      <c r="B330" s="141">
        <v>333</v>
      </c>
      <c r="C330" s="141">
        <v>6</v>
      </c>
      <c r="D330" s="141">
        <v>6</v>
      </c>
      <c r="E330" s="141" t="s">
        <v>1514</v>
      </c>
      <c r="F330" s="141" t="s">
        <v>1514</v>
      </c>
      <c r="G330" s="141" t="s">
        <v>1566</v>
      </c>
      <c r="H330" s="141" t="s">
        <v>1566</v>
      </c>
      <c r="I330" s="142" t="s">
        <v>542</v>
      </c>
      <c r="J330" s="142" t="s">
        <v>1515</v>
      </c>
      <c r="K330" s="142" t="s">
        <v>1564</v>
      </c>
    </row>
    <row r="331" spans="1:11" ht="15" customHeight="1" x14ac:dyDescent="0.25">
      <c r="A331" s="141" t="s">
        <v>1570</v>
      </c>
      <c r="B331" s="141">
        <v>334</v>
      </c>
      <c r="C331" s="141">
        <v>6</v>
      </c>
      <c r="D331" s="141">
        <v>6</v>
      </c>
      <c r="E331" s="141" t="s">
        <v>1514</v>
      </c>
      <c r="F331" s="141" t="s">
        <v>1514</v>
      </c>
      <c r="G331" s="141" t="s">
        <v>1569</v>
      </c>
      <c r="H331" s="141" t="s">
        <v>1569</v>
      </c>
      <c r="I331" s="142" t="s">
        <v>542</v>
      </c>
      <c r="J331" s="142" t="s">
        <v>1515</v>
      </c>
      <c r="K331" s="142" t="s">
        <v>1564</v>
      </c>
    </row>
    <row r="332" spans="1:11" ht="15" customHeight="1" x14ac:dyDescent="0.25">
      <c r="A332" s="141" t="s">
        <v>1573</v>
      </c>
      <c r="B332" s="141">
        <v>335</v>
      </c>
      <c r="C332" s="141">
        <v>6</v>
      </c>
      <c r="D332" s="141">
        <v>6</v>
      </c>
      <c r="E332" s="141" t="s">
        <v>1514</v>
      </c>
      <c r="F332" s="141" t="s">
        <v>1514</v>
      </c>
      <c r="G332" s="141" t="s">
        <v>1572</v>
      </c>
      <c r="H332" s="141" t="s">
        <v>1572</v>
      </c>
      <c r="I332" s="142" t="s">
        <v>542</v>
      </c>
      <c r="J332" s="142" t="s">
        <v>1515</v>
      </c>
      <c r="K332" s="142" t="s">
        <v>1564</v>
      </c>
    </row>
    <row r="333" spans="1:11" ht="15" customHeight="1" x14ac:dyDescent="0.25">
      <c r="A333" s="141" t="s">
        <v>1577</v>
      </c>
      <c r="B333" s="141">
        <v>336</v>
      </c>
      <c r="C333" s="141">
        <v>6</v>
      </c>
      <c r="D333" s="141">
        <v>6</v>
      </c>
      <c r="E333" s="141" t="s">
        <v>1514</v>
      </c>
      <c r="F333" s="141" t="s">
        <v>1514</v>
      </c>
      <c r="G333" s="141" t="s">
        <v>1576</v>
      </c>
      <c r="H333" s="141" t="s">
        <v>1576</v>
      </c>
      <c r="I333" s="142" t="s">
        <v>542</v>
      </c>
      <c r="J333" s="142" t="s">
        <v>1515</v>
      </c>
      <c r="K333" s="142" t="s">
        <v>1574</v>
      </c>
    </row>
    <row r="334" spans="1:11" ht="15" customHeight="1" x14ac:dyDescent="0.25">
      <c r="A334" s="141" t="s">
        <v>1580</v>
      </c>
      <c r="B334" s="141">
        <v>337</v>
      </c>
      <c r="C334" s="141">
        <v>6</v>
      </c>
      <c r="D334" s="141">
        <v>6</v>
      </c>
      <c r="E334" s="141" t="s">
        <v>1514</v>
      </c>
      <c r="F334" s="141" t="s">
        <v>1514</v>
      </c>
      <c r="G334" s="141" t="s">
        <v>1579</v>
      </c>
      <c r="H334" s="141" t="s">
        <v>1579</v>
      </c>
      <c r="I334" s="142" t="s">
        <v>542</v>
      </c>
      <c r="J334" s="142" t="s">
        <v>1515</v>
      </c>
      <c r="K334" s="142" t="s">
        <v>1574</v>
      </c>
    </row>
    <row r="335" spans="1:11" ht="15" customHeight="1" x14ac:dyDescent="0.25">
      <c r="A335" s="141" t="s">
        <v>1583</v>
      </c>
      <c r="B335" s="141">
        <v>338</v>
      </c>
      <c r="C335" s="141">
        <v>6</v>
      </c>
      <c r="D335" s="141">
        <v>6</v>
      </c>
      <c r="E335" s="141" t="s">
        <v>1514</v>
      </c>
      <c r="F335" s="141" t="s">
        <v>1514</v>
      </c>
      <c r="G335" s="141" t="s">
        <v>1582</v>
      </c>
      <c r="H335" s="141" t="s">
        <v>1582</v>
      </c>
      <c r="I335" s="142" t="s">
        <v>542</v>
      </c>
      <c r="J335" s="142" t="s">
        <v>1515</v>
      </c>
      <c r="K335" s="142" t="s">
        <v>1574</v>
      </c>
    </row>
    <row r="336" spans="1:11" ht="15" customHeight="1" x14ac:dyDescent="0.25">
      <c r="A336" s="141" t="s">
        <v>1586</v>
      </c>
      <c r="B336" s="141">
        <v>339</v>
      </c>
      <c r="C336" s="141">
        <v>6</v>
      </c>
      <c r="D336" s="141">
        <v>6</v>
      </c>
      <c r="E336" s="141" t="s">
        <v>1514</v>
      </c>
      <c r="F336" s="141" t="s">
        <v>1514</v>
      </c>
      <c r="G336" s="141" t="s">
        <v>1585</v>
      </c>
      <c r="H336" s="141" t="s">
        <v>1585</v>
      </c>
      <c r="I336" s="142" t="s">
        <v>542</v>
      </c>
      <c r="J336" s="142" t="s">
        <v>1515</v>
      </c>
      <c r="K336" s="142" t="s">
        <v>1574</v>
      </c>
    </row>
    <row r="337" spans="1:11" ht="15" customHeight="1" x14ac:dyDescent="0.25">
      <c r="A337" s="141" t="s">
        <v>1589</v>
      </c>
      <c r="B337" s="141">
        <v>340</v>
      </c>
      <c r="C337" s="141">
        <v>6</v>
      </c>
      <c r="D337" s="141">
        <v>6</v>
      </c>
      <c r="E337" s="141" t="s">
        <v>1514</v>
      </c>
      <c r="F337" s="141" t="s">
        <v>1514</v>
      </c>
      <c r="G337" s="141" t="s">
        <v>1588</v>
      </c>
      <c r="H337" s="141" t="s">
        <v>1588</v>
      </c>
      <c r="I337" s="142" t="s">
        <v>542</v>
      </c>
      <c r="J337" s="142" t="s">
        <v>1515</v>
      </c>
      <c r="K337" s="142" t="s">
        <v>1574</v>
      </c>
    </row>
    <row r="338" spans="1:11" ht="15" customHeight="1" x14ac:dyDescent="0.25">
      <c r="A338" s="141" t="s">
        <v>1596</v>
      </c>
      <c r="B338" s="141">
        <v>341</v>
      </c>
      <c r="C338" s="141">
        <v>6</v>
      </c>
      <c r="D338" s="141">
        <v>6</v>
      </c>
      <c r="E338" s="141" t="s">
        <v>1590</v>
      </c>
      <c r="F338" s="141" t="s">
        <v>1590</v>
      </c>
      <c r="G338" s="141" t="s">
        <v>1595</v>
      </c>
      <c r="H338" s="141" t="s">
        <v>1595</v>
      </c>
      <c r="I338" s="142" t="s">
        <v>542</v>
      </c>
      <c r="J338" s="142" t="s">
        <v>1591</v>
      </c>
      <c r="K338" s="142" t="s">
        <v>1592</v>
      </c>
    </row>
    <row r="339" spans="1:11" ht="15" customHeight="1" x14ac:dyDescent="0.25">
      <c r="A339" s="141" t="s">
        <v>1600</v>
      </c>
      <c r="B339" s="141">
        <v>342</v>
      </c>
      <c r="C339" s="141">
        <v>6</v>
      </c>
      <c r="D339" s="141">
        <v>6</v>
      </c>
      <c r="E339" s="141" t="s">
        <v>1590</v>
      </c>
      <c r="F339" s="141" t="s">
        <v>1590</v>
      </c>
      <c r="G339" s="141" t="s">
        <v>1599</v>
      </c>
      <c r="H339" s="141" t="s">
        <v>1599</v>
      </c>
      <c r="I339" s="142" t="s">
        <v>542</v>
      </c>
      <c r="J339" s="142" t="s">
        <v>1591</v>
      </c>
      <c r="K339" s="142" t="s">
        <v>1597</v>
      </c>
    </row>
    <row r="340" spans="1:11" ht="15" customHeight="1" x14ac:dyDescent="0.25">
      <c r="A340" s="141" t="s">
        <v>1604</v>
      </c>
      <c r="B340" s="141">
        <v>343</v>
      </c>
      <c r="C340" s="141">
        <v>6</v>
      </c>
      <c r="D340" s="141">
        <v>6</v>
      </c>
      <c r="E340" s="141" t="s">
        <v>1590</v>
      </c>
      <c r="F340" s="141" t="s">
        <v>1590</v>
      </c>
      <c r="G340" s="141" t="s">
        <v>1603</v>
      </c>
      <c r="H340" s="141" t="s">
        <v>1603</v>
      </c>
      <c r="I340" s="142" t="s">
        <v>542</v>
      </c>
      <c r="J340" s="142" t="s">
        <v>1591</v>
      </c>
      <c r="K340" s="142" t="s">
        <v>1601</v>
      </c>
    </row>
    <row r="341" spans="1:11" ht="15" customHeight="1" x14ac:dyDescent="0.25">
      <c r="A341" s="141" t="s">
        <v>1608</v>
      </c>
      <c r="B341" s="141">
        <v>344</v>
      </c>
      <c r="C341" s="141">
        <v>6</v>
      </c>
      <c r="D341" s="141">
        <v>6</v>
      </c>
      <c r="E341" s="141" t="s">
        <v>1590</v>
      </c>
      <c r="F341" s="141" t="s">
        <v>1590</v>
      </c>
      <c r="G341" s="141" t="s">
        <v>1607</v>
      </c>
      <c r="H341" s="141" t="s">
        <v>1607</v>
      </c>
      <c r="I341" s="142" t="s">
        <v>542</v>
      </c>
      <c r="J341" s="142" t="s">
        <v>1591</v>
      </c>
      <c r="K341" s="142" t="s">
        <v>1601</v>
      </c>
    </row>
    <row r="342" spans="1:11" ht="15" customHeight="1" x14ac:dyDescent="0.25">
      <c r="A342" s="141" t="s">
        <v>1612</v>
      </c>
      <c r="B342" s="141">
        <v>345</v>
      </c>
      <c r="C342" s="141">
        <v>6</v>
      </c>
      <c r="D342" s="141">
        <v>6</v>
      </c>
      <c r="E342" s="141" t="s">
        <v>1590</v>
      </c>
      <c r="F342" s="141" t="s">
        <v>1590</v>
      </c>
      <c r="G342" s="141" t="s">
        <v>1611</v>
      </c>
      <c r="H342" s="141" t="s">
        <v>1611</v>
      </c>
      <c r="I342" s="142" t="s">
        <v>542</v>
      </c>
      <c r="J342" s="142" t="s">
        <v>1591</v>
      </c>
      <c r="K342" s="142" t="s">
        <v>1609</v>
      </c>
    </row>
    <row r="343" spans="1:11" ht="15" customHeight="1" x14ac:dyDescent="0.25">
      <c r="A343" s="141" t="s">
        <v>1616</v>
      </c>
      <c r="B343" s="141">
        <v>346</v>
      </c>
      <c r="C343" s="141">
        <v>6</v>
      </c>
      <c r="D343" s="141">
        <v>6</v>
      </c>
      <c r="E343" s="141" t="s">
        <v>1590</v>
      </c>
      <c r="F343" s="141" t="s">
        <v>1590</v>
      </c>
      <c r="G343" s="141" t="s">
        <v>1615</v>
      </c>
      <c r="H343" s="141" t="s">
        <v>1615</v>
      </c>
      <c r="I343" s="142" t="s">
        <v>542</v>
      </c>
      <c r="J343" s="142" t="s">
        <v>1591</v>
      </c>
      <c r="K343" s="142" t="s">
        <v>1613</v>
      </c>
    </row>
    <row r="344" spans="1:11" ht="15" customHeight="1" x14ac:dyDescent="0.25">
      <c r="A344" s="141" t="s">
        <v>1619</v>
      </c>
      <c r="B344" s="141">
        <v>347</v>
      </c>
      <c r="C344" s="141">
        <v>6</v>
      </c>
      <c r="D344" s="141">
        <v>6</v>
      </c>
      <c r="E344" s="141" t="s">
        <v>1590</v>
      </c>
      <c r="F344" s="141" t="s">
        <v>1590</v>
      </c>
      <c r="G344" s="141" t="s">
        <v>1618</v>
      </c>
      <c r="H344" s="141" t="s">
        <v>1618</v>
      </c>
      <c r="I344" s="142" t="s">
        <v>542</v>
      </c>
      <c r="J344" s="142" t="s">
        <v>1591</v>
      </c>
      <c r="K344" s="142" t="s">
        <v>1613</v>
      </c>
    </row>
    <row r="345" spans="1:11" ht="15" customHeight="1" x14ac:dyDescent="0.25">
      <c r="A345" s="141" t="s">
        <v>1622</v>
      </c>
      <c r="B345" s="141">
        <v>348</v>
      </c>
      <c r="C345" s="141">
        <v>6</v>
      </c>
      <c r="D345" s="141">
        <v>6</v>
      </c>
      <c r="E345" s="141" t="s">
        <v>1590</v>
      </c>
      <c r="F345" s="141" t="s">
        <v>1590</v>
      </c>
      <c r="G345" s="141" t="s">
        <v>1621</v>
      </c>
      <c r="H345" s="141" t="s">
        <v>1621</v>
      </c>
      <c r="I345" s="142" t="s">
        <v>542</v>
      </c>
      <c r="J345" s="142" t="s">
        <v>1591</v>
      </c>
      <c r="K345" s="142" t="s">
        <v>1613</v>
      </c>
    </row>
    <row r="346" spans="1:11" ht="15" customHeight="1" x14ac:dyDescent="0.25">
      <c r="A346" s="141" t="s">
        <v>1625</v>
      </c>
      <c r="B346" s="141">
        <v>349</v>
      </c>
      <c r="C346" s="141">
        <v>6</v>
      </c>
      <c r="D346" s="141">
        <v>6</v>
      </c>
      <c r="E346" s="141" t="s">
        <v>1590</v>
      </c>
      <c r="F346" s="141" t="s">
        <v>1590</v>
      </c>
      <c r="G346" s="141" t="s">
        <v>1624</v>
      </c>
      <c r="H346" s="141" t="s">
        <v>1624</v>
      </c>
      <c r="I346" s="142" t="s">
        <v>542</v>
      </c>
      <c r="J346" s="142" t="s">
        <v>1591</v>
      </c>
      <c r="K346" s="142" t="s">
        <v>1613</v>
      </c>
    </row>
    <row r="347" spans="1:11" ht="15" customHeight="1" x14ac:dyDescent="0.25">
      <c r="A347" s="141" t="s">
        <v>1628</v>
      </c>
      <c r="B347" s="141">
        <v>350</v>
      </c>
      <c r="C347" s="141">
        <v>6</v>
      </c>
      <c r="D347" s="141">
        <v>6</v>
      </c>
      <c r="E347" s="141" t="s">
        <v>1590</v>
      </c>
      <c r="F347" s="141" t="s">
        <v>1590</v>
      </c>
      <c r="G347" s="141" t="s">
        <v>1627</v>
      </c>
      <c r="H347" s="141" t="s">
        <v>1627</v>
      </c>
      <c r="I347" s="142" t="s">
        <v>542</v>
      </c>
      <c r="J347" s="142" t="s">
        <v>1591</v>
      </c>
      <c r="K347" s="142" t="s">
        <v>1613</v>
      </c>
    </row>
    <row r="348" spans="1:11" ht="15" customHeight="1" x14ac:dyDescent="0.25">
      <c r="A348" s="141" t="s">
        <v>1631</v>
      </c>
      <c r="B348" s="141">
        <v>351</v>
      </c>
      <c r="C348" s="141">
        <v>6</v>
      </c>
      <c r="D348" s="141">
        <v>6</v>
      </c>
      <c r="E348" s="141" t="s">
        <v>1590</v>
      </c>
      <c r="F348" s="141" t="s">
        <v>1590</v>
      </c>
      <c r="G348" s="141" t="s">
        <v>1630</v>
      </c>
      <c r="H348" s="141" t="s">
        <v>1630</v>
      </c>
      <c r="I348" s="142" t="s">
        <v>542</v>
      </c>
      <c r="J348" s="142" t="s">
        <v>1591</v>
      </c>
      <c r="K348" s="142" t="s">
        <v>1613</v>
      </c>
    </row>
    <row r="349" spans="1:11" ht="21.75" customHeight="1" x14ac:dyDescent="0.25">
      <c r="A349" s="141" t="s">
        <v>1635</v>
      </c>
      <c r="B349" s="141">
        <v>352</v>
      </c>
      <c r="C349" s="141">
        <v>6</v>
      </c>
      <c r="D349" s="141">
        <v>6</v>
      </c>
      <c r="E349" s="141" t="s">
        <v>1590</v>
      </c>
      <c r="F349" s="141" t="s">
        <v>1590</v>
      </c>
      <c r="G349" s="141" t="s">
        <v>1634</v>
      </c>
      <c r="H349" s="141" t="s">
        <v>1634</v>
      </c>
      <c r="I349" s="142" t="s">
        <v>542</v>
      </c>
      <c r="J349" s="142" t="s">
        <v>1591</v>
      </c>
      <c r="K349" s="142" t="s">
        <v>1632</v>
      </c>
    </row>
    <row r="350" spans="1:11" ht="21.75" customHeight="1" x14ac:dyDescent="0.25">
      <c r="A350" s="141" t="s">
        <v>1638</v>
      </c>
      <c r="B350" s="141">
        <v>353</v>
      </c>
      <c r="C350" s="141">
        <v>6</v>
      </c>
      <c r="D350" s="141">
        <v>6</v>
      </c>
      <c r="E350" s="141" t="s">
        <v>1590</v>
      </c>
      <c r="F350" s="141" t="s">
        <v>1590</v>
      </c>
      <c r="G350" s="141" t="s">
        <v>1637</v>
      </c>
      <c r="H350" s="141" t="s">
        <v>1637</v>
      </c>
      <c r="I350" s="142" t="s">
        <v>542</v>
      </c>
      <c r="J350" s="142" t="s">
        <v>1591</v>
      </c>
      <c r="K350" s="142" t="s">
        <v>1632</v>
      </c>
    </row>
    <row r="351" spans="1:11" ht="21.75" customHeight="1" x14ac:dyDescent="0.25">
      <c r="A351" s="141" t="s">
        <v>1641</v>
      </c>
      <c r="B351" s="141">
        <v>354</v>
      </c>
      <c r="C351" s="141">
        <v>6</v>
      </c>
      <c r="D351" s="141">
        <v>6</v>
      </c>
      <c r="E351" s="141" t="s">
        <v>1590</v>
      </c>
      <c r="F351" s="141" t="s">
        <v>1590</v>
      </c>
      <c r="G351" s="141" t="s">
        <v>1640</v>
      </c>
      <c r="H351" s="141" t="s">
        <v>1640</v>
      </c>
      <c r="I351" s="142" t="s">
        <v>542</v>
      </c>
      <c r="J351" s="142" t="s">
        <v>1591</v>
      </c>
      <c r="K351" s="142" t="s">
        <v>1632</v>
      </c>
    </row>
    <row r="352" spans="1:11" ht="21.75" customHeight="1" x14ac:dyDescent="0.25">
      <c r="A352" s="141" t="s">
        <v>1644</v>
      </c>
      <c r="B352" s="141">
        <v>355</v>
      </c>
      <c r="C352" s="141">
        <v>6</v>
      </c>
      <c r="D352" s="141">
        <v>6</v>
      </c>
      <c r="E352" s="141" t="s">
        <v>1590</v>
      </c>
      <c r="F352" s="141" t="s">
        <v>1590</v>
      </c>
      <c r="G352" s="141" t="s">
        <v>1643</v>
      </c>
      <c r="H352" s="141" t="s">
        <v>1643</v>
      </c>
      <c r="I352" s="142" t="s">
        <v>542</v>
      </c>
      <c r="J352" s="142" t="s">
        <v>1591</v>
      </c>
      <c r="K352" s="142" t="s">
        <v>1632</v>
      </c>
    </row>
    <row r="353" spans="1:11" ht="21.75" customHeight="1" x14ac:dyDescent="0.25">
      <c r="A353" s="141" t="s">
        <v>1647</v>
      </c>
      <c r="B353" s="141">
        <v>356</v>
      </c>
      <c r="C353" s="141">
        <v>6</v>
      </c>
      <c r="D353" s="141">
        <v>6</v>
      </c>
      <c r="E353" s="141" t="s">
        <v>1590</v>
      </c>
      <c r="F353" s="141" t="s">
        <v>1590</v>
      </c>
      <c r="G353" s="141" t="s">
        <v>1646</v>
      </c>
      <c r="H353" s="141" t="s">
        <v>1646</v>
      </c>
      <c r="I353" s="142" t="s">
        <v>542</v>
      </c>
      <c r="J353" s="142" t="s">
        <v>1591</v>
      </c>
      <c r="K353" s="142" t="s">
        <v>1632</v>
      </c>
    </row>
    <row r="354" spans="1:11" ht="21.75" customHeight="1" x14ac:dyDescent="0.25">
      <c r="A354" s="141" t="s">
        <v>1650</v>
      </c>
      <c r="B354" s="141">
        <v>357</v>
      </c>
      <c r="C354" s="141">
        <v>6</v>
      </c>
      <c r="D354" s="141">
        <v>6</v>
      </c>
      <c r="E354" s="141" t="s">
        <v>1590</v>
      </c>
      <c r="F354" s="141" t="s">
        <v>1590</v>
      </c>
      <c r="G354" s="141" t="s">
        <v>1649</v>
      </c>
      <c r="H354" s="141" t="s">
        <v>1649</v>
      </c>
      <c r="I354" s="142" t="s">
        <v>542</v>
      </c>
      <c r="J354" s="142" t="s">
        <v>1591</v>
      </c>
      <c r="K354" s="142" t="s">
        <v>1632</v>
      </c>
    </row>
    <row r="355" spans="1:11" ht="21.75" customHeight="1" x14ac:dyDescent="0.25">
      <c r="A355" s="141" t="s">
        <v>1654</v>
      </c>
      <c r="B355" s="141">
        <v>358</v>
      </c>
      <c r="C355" s="141">
        <v>6</v>
      </c>
      <c r="D355" s="141">
        <v>6</v>
      </c>
      <c r="E355" s="141" t="s">
        <v>1590</v>
      </c>
      <c r="F355" s="141" t="s">
        <v>1590</v>
      </c>
      <c r="G355" s="141" t="s">
        <v>1653</v>
      </c>
      <c r="H355" s="141" t="s">
        <v>1653</v>
      </c>
      <c r="I355" s="142" t="s">
        <v>542</v>
      </c>
      <c r="J355" s="142" t="s">
        <v>1591</v>
      </c>
      <c r="K355" s="142" t="s">
        <v>1651</v>
      </c>
    </row>
    <row r="356" spans="1:11" ht="21.75" customHeight="1" x14ac:dyDescent="0.25">
      <c r="A356" s="141" t="s">
        <v>1657</v>
      </c>
      <c r="B356" s="141">
        <v>359</v>
      </c>
      <c r="C356" s="141">
        <v>6</v>
      </c>
      <c r="D356" s="141">
        <v>6</v>
      </c>
      <c r="E356" s="141" t="s">
        <v>1590</v>
      </c>
      <c r="F356" s="141" t="s">
        <v>1590</v>
      </c>
      <c r="G356" s="141" t="s">
        <v>1656</v>
      </c>
      <c r="H356" s="141" t="s">
        <v>1656</v>
      </c>
      <c r="I356" s="142" t="s">
        <v>542</v>
      </c>
      <c r="J356" s="142" t="s">
        <v>1591</v>
      </c>
      <c r="K356" s="142" t="s">
        <v>1651</v>
      </c>
    </row>
    <row r="357" spans="1:11" ht="21.75" customHeight="1" x14ac:dyDescent="0.25">
      <c r="A357" s="141" t="s">
        <v>1660</v>
      </c>
      <c r="B357" s="141">
        <v>360</v>
      </c>
      <c r="C357" s="141">
        <v>6</v>
      </c>
      <c r="D357" s="141">
        <v>6</v>
      </c>
      <c r="E357" s="141" t="s">
        <v>1590</v>
      </c>
      <c r="F357" s="141" t="s">
        <v>1590</v>
      </c>
      <c r="G357" s="141" t="s">
        <v>1659</v>
      </c>
      <c r="H357" s="141" t="s">
        <v>1659</v>
      </c>
      <c r="I357" s="142" t="s">
        <v>542</v>
      </c>
      <c r="J357" s="142" t="s">
        <v>1591</v>
      </c>
      <c r="K357" s="142" t="s">
        <v>1651</v>
      </c>
    </row>
    <row r="358" spans="1:11" ht="21.75" customHeight="1" x14ac:dyDescent="0.25">
      <c r="A358" s="141" t="s">
        <v>1663</v>
      </c>
      <c r="B358" s="141">
        <v>361</v>
      </c>
      <c r="C358" s="141">
        <v>6</v>
      </c>
      <c r="D358" s="141">
        <v>6</v>
      </c>
      <c r="E358" s="141" t="s">
        <v>1590</v>
      </c>
      <c r="F358" s="141" t="s">
        <v>1590</v>
      </c>
      <c r="G358" s="141" t="s">
        <v>1662</v>
      </c>
      <c r="H358" s="141" t="s">
        <v>1662</v>
      </c>
      <c r="I358" s="142" t="s">
        <v>542</v>
      </c>
      <c r="J358" s="142" t="s">
        <v>1591</v>
      </c>
      <c r="K358" s="142" t="s">
        <v>1651</v>
      </c>
    </row>
    <row r="359" spans="1:11" ht="21.75" customHeight="1" x14ac:dyDescent="0.25">
      <c r="A359" s="141" t="s">
        <v>1666</v>
      </c>
      <c r="B359" s="141">
        <v>362</v>
      </c>
      <c r="C359" s="141">
        <v>6</v>
      </c>
      <c r="D359" s="141">
        <v>6</v>
      </c>
      <c r="E359" s="141" t="s">
        <v>1590</v>
      </c>
      <c r="F359" s="141" t="s">
        <v>1590</v>
      </c>
      <c r="G359" s="141" t="s">
        <v>1665</v>
      </c>
      <c r="H359" s="141" t="s">
        <v>1665</v>
      </c>
      <c r="I359" s="142" t="s">
        <v>542</v>
      </c>
      <c r="J359" s="142" t="s">
        <v>1591</v>
      </c>
      <c r="K359" s="142" t="s">
        <v>1651</v>
      </c>
    </row>
    <row r="360" spans="1:11" ht="21.75" customHeight="1" x14ac:dyDescent="0.25">
      <c r="A360" s="141" t="s">
        <v>1669</v>
      </c>
      <c r="B360" s="141">
        <v>363</v>
      </c>
      <c r="C360" s="141">
        <v>6</v>
      </c>
      <c r="D360" s="141">
        <v>6</v>
      </c>
      <c r="E360" s="141" t="s">
        <v>1590</v>
      </c>
      <c r="F360" s="141" t="s">
        <v>1590</v>
      </c>
      <c r="G360" s="141" t="s">
        <v>1668</v>
      </c>
      <c r="H360" s="141" t="s">
        <v>1668</v>
      </c>
      <c r="I360" s="142" t="s">
        <v>542</v>
      </c>
      <c r="J360" s="142" t="s">
        <v>1591</v>
      </c>
      <c r="K360" s="142" t="s">
        <v>1651</v>
      </c>
    </row>
    <row r="361" spans="1:11" ht="15" customHeight="1" x14ac:dyDescent="0.25">
      <c r="A361" s="141" t="s">
        <v>1673</v>
      </c>
      <c r="B361" s="141">
        <v>364</v>
      </c>
      <c r="C361" s="141">
        <v>6</v>
      </c>
      <c r="D361" s="141">
        <v>6</v>
      </c>
      <c r="E361" s="141" t="s">
        <v>1590</v>
      </c>
      <c r="F361" s="141" t="s">
        <v>1590</v>
      </c>
      <c r="G361" s="141" t="s">
        <v>1672</v>
      </c>
      <c r="H361" s="141" t="s">
        <v>1672</v>
      </c>
      <c r="I361" s="142" t="s">
        <v>542</v>
      </c>
      <c r="J361" s="142" t="s">
        <v>1591</v>
      </c>
      <c r="K361" s="142" t="s">
        <v>1670</v>
      </c>
    </row>
    <row r="362" spans="1:11" ht="15" customHeight="1" x14ac:dyDescent="0.25">
      <c r="A362" s="141" t="s">
        <v>1676</v>
      </c>
      <c r="B362" s="141">
        <v>365</v>
      </c>
      <c r="C362" s="141">
        <v>6</v>
      </c>
      <c r="D362" s="141">
        <v>6</v>
      </c>
      <c r="E362" s="141" t="s">
        <v>1590</v>
      </c>
      <c r="F362" s="141" t="s">
        <v>1590</v>
      </c>
      <c r="G362" s="141" t="s">
        <v>1675</v>
      </c>
      <c r="H362" s="141" t="s">
        <v>1675</v>
      </c>
      <c r="I362" s="142" t="s">
        <v>542</v>
      </c>
      <c r="J362" s="142" t="s">
        <v>1591</v>
      </c>
      <c r="K362" s="142" t="s">
        <v>1670</v>
      </c>
    </row>
    <row r="363" spans="1:11" ht="15" customHeight="1" x14ac:dyDescent="0.25">
      <c r="A363" s="141" t="s">
        <v>1679</v>
      </c>
      <c r="B363" s="141">
        <v>366</v>
      </c>
      <c r="C363" s="141">
        <v>6</v>
      </c>
      <c r="D363" s="141">
        <v>6</v>
      </c>
      <c r="E363" s="141" t="s">
        <v>1590</v>
      </c>
      <c r="F363" s="141" t="s">
        <v>1590</v>
      </c>
      <c r="G363" s="141" t="s">
        <v>1678</v>
      </c>
      <c r="H363" s="141" t="s">
        <v>1678</v>
      </c>
      <c r="I363" s="142" t="s">
        <v>542</v>
      </c>
      <c r="J363" s="142" t="s">
        <v>1591</v>
      </c>
      <c r="K363" s="142" t="s">
        <v>1670</v>
      </c>
    </row>
    <row r="364" spans="1:11" ht="15" customHeight="1" x14ac:dyDescent="0.25">
      <c r="A364" s="141" t="s">
        <v>1682</v>
      </c>
      <c r="B364" s="141">
        <v>367</v>
      </c>
      <c r="C364" s="141">
        <v>6</v>
      </c>
      <c r="D364" s="141">
        <v>6</v>
      </c>
      <c r="E364" s="141" t="s">
        <v>1590</v>
      </c>
      <c r="F364" s="141" t="s">
        <v>1590</v>
      </c>
      <c r="G364" s="141" t="s">
        <v>1681</v>
      </c>
      <c r="H364" s="141" t="s">
        <v>1681</v>
      </c>
      <c r="I364" s="142" t="s">
        <v>542</v>
      </c>
      <c r="J364" s="142" t="s">
        <v>1591</v>
      </c>
      <c r="K364" s="142" t="s">
        <v>1670</v>
      </c>
    </row>
    <row r="365" spans="1:11" ht="15" customHeight="1" x14ac:dyDescent="0.25">
      <c r="A365" s="141" t="s">
        <v>1685</v>
      </c>
      <c r="B365" s="141">
        <v>368</v>
      </c>
      <c r="C365" s="141">
        <v>6</v>
      </c>
      <c r="D365" s="141">
        <v>6</v>
      </c>
      <c r="E365" s="141" t="s">
        <v>1590</v>
      </c>
      <c r="F365" s="141" t="s">
        <v>1590</v>
      </c>
      <c r="G365" s="141" t="s">
        <v>1684</v>
      </c>
      <c r="H365" s="141" t="s">
        <v>1684</v>
      </c>
      <c r="I365" s="142" t="s">
        <v>542</v>
      </c>
      <c r="J365" s="142" t="s">
        <v>1591</v>
      </c>
      <c r="K365" s="142" t="s">
        <v>1670</v>
      </c>
    </row>
    <row r="366" spans="1:11" ht="15" customHeight="1" x14ac:dyDescent="0.25">
      <c r="A366" s="141" t="s">
        <v>1688</v>
      </c>
      <c r="B366" s="141">
        <v>369</v>
      </c>
      <c r="C366" s="141">
        <v>6</v>
      </c>
      <c r="D366" s="141">
        <v>6</v>
      </c>
      <c r="E366" s="141" t="s">
        <v>1590</v>
      </c>
      <c r="F366" s="141" t="s">
        <v>1590</v>
      </c>
      <c r="G366" s="141" t="s">
        <v>1687</v>
      </c>
      <c r="H366" s="141" t="s">
        <v>1687</v>
      </c>
      <c r="I366" s="142" t="s">
        <v>542</v>
      </c>
      <c r="J366" s="142" t="s">
        <v>1591</v>
      </c>
      <c r="K366" s="142" t="s">
        <v>1670</v>
      </c>
    </row>
    <row r="367" spans="1:11" ht="15" customHeight="1" x14ac:dyDescent="0.25">
      <c r="A367" s="141" t="s">
        <v>1692</v>
      </c>
      <c r="B367" s="141">
        <v>370</v>
      </c>
      <c r="C367" s="141">
        <v>6</v>
      </c>
      <c r="D367" s="141">
        <v>6</v>
      </c>
      <c r="E367" s="141" t="s">
        <v>1590</v>
      </c>
      <c r="F367" s="141" t="s">
        <v>1590</v>
      </c>
      <c r="G367" s="141" t="s">
        <v>1691</v>
      </c>
      <c r="H367" s="141" t="s">
        <v>1691</v>
      </c>
      <c r="I367" s="142" t="s">
        <v>542</v>
      </c>
      <c r="J367" s="142" t="s">
        <v>1591</v>
      </c>
      <c r="K367" s="142" t="s">
        <v>1689</v>
      </c>
    </row>
    <row r="368" spans="1:11" ht="15" customHeight="1" x14ac:dyDescent="0.25">
      <c r="A368" s="141" t="s">
        <v>1695</v>
      </c>
      <c r="B368" s="141">
        <v>371</v>
      </c>
      <c r="C368" s="141">
        <v>6</v>
      </c>
      <c r="D368" s="141">
        <v>6</v>
      </c>
      <c r="E368" s="141" t="s">
        <v>1590</v>
      </c>
      <c r="F368" s="141" t="s">
        <v>1590</v>
      </c>
      <c r="G368" s="141" t="s">
        <v>1694</v>
      </c>
      <c r="H368" s="141" t="s">
        <v>1694</v>
      </c>
      <c r="I368" s="142" t="s">
        <v>542</v>
      </c>
      <c r="J368" s="142" t="s">
        <v>1591</v>
      </c>
      <c r="K368" s="142" t="s">
        <v>1689</v>
      </c>
    </row>
    <row r="369" spans="1:11" ht="15" customHeight="1" x14ac:dyDescent="0.25">
      <c r="A369" s="141" t="s">
        <v>1698</v>
      </c>
      <c r="B369" s="141">
        <v>372</v>
      </c>
      <c r="C369" s="141">
        <v>6</v>
      </c>
      <c r="D369" s="141">
        <v>6</v>
      </c>
      <c r="E369" s="141" t="s">
        <v>1590</v>
      </c>
      <c r="F369" s="141" t="s">
        <v>1590</v>
      </c>
      <c r="G369" s="141" t="s">
        <v>1697</v>
      </c>
      <c r="H369" s="141" t="s">
        <v>1697</v>
      </c>
      <c r="I369" s="142" t="s">
        <v>542</v>
      </c>
      <c r="J369" s="142" t="s">
        <v>1591</v>
      </c>
      <c r="K369" s="142" t="s">
        <v>1689</v>
      </c>
    </row>
    <row r="370" spans="1:11" ht="15" customHeight="1" x14ac:dyDescent="0.25">
      <c r="A370" s="141" t="s">
        <v>1701</v>
      </c>
      <c r="B370" s="141">
        <v>373</v>
      </c>
      <c r="C370" s="141">
        <v>6</v>
      </c>
      <c r="D370" s="141">
        <v>6</v>
      </c>
      <c r="E370" s="141" t="s">
        <v>1590</v>
      </c>
      <c r="F370" s="141" t="s">
        <v>1590</v>
      </c>
      <c r="G370" s="141" t="s">
        <v>1700</v>
      </c>
      <c r="H370" s="141" t="s">
        <v>1700</v>
      </c>
      <c r="I370" s="142" t="s">
        <v>542</v>
      </c>
      <c r="J370" s="142" t="s">
        <v>1591</v>
      </c>
      <c r="K370" s="142" t="s">
        <v>1689</v>
      </c>
    </row>
    <row r="371" spans="1:11" ht="15" customHeight="1" x14ac:dyDescent="0.25">
      <c r="A371" s="141" t="s">
        <v>1704</v>
      </c>
      <c r="B371" s="141">
        <v>374</v>
      </c>
      <c r="C371" s="141">
        <v>6</v>
      </c>
      <c r="D371" s="141">
        <v>6</v>
      </c>
      <c r="E371" s="141" t="s">
        <v>1590</v>
      </c>
      <c r="F371" s="141" t="s">
        <v>1590</v>
      </c>
      <c r="G371" s="141" t="s">
        <v>1703</v>
      </c>
      <c r="H371" s="141" t="s">
        <v>1703</v>
      </c>
      <c r="I371" s="142" t="s">
        <v>542</v>
      </c>
      <c r="J371" s="142" t="s">
        <v>1591</v>
      </c>
      <c r="K371" s="142" t="s">
        <v>1689</v>
      </c>
    </row>
    <row r="372" spans="1:11" ht="15" customHeight="1" x14ac:dyDescent="0.25">
      <c r="A372" s="141" t="s">
        <v>1707</v>
      </c>
      <c r="B372" s="141">
        <v>375</v>
      </c>
      <c r="C372" s="141">
        <v>6</v>
      </c>
      <c r="D372" s="141">
        <v>6</v>
      </c>
      <c r="E372" s="141" t="s">
        <v>1590</v>
      </c>
      <c r="F372" s="141" t="s">
        <v>1590</v>
      </c>
      <c r="G372" s="141" t="s">
        <v>1706</v>
      </c>
      <c r="H372" s="141" t="s">
        <v>1706</v>
      </c>
      <c r="I372" s="142" t="s">
        <v>542</v>
      </c>
      <c r="J372" s="142" t="s">
        <v>1591</v>
      </c>
      <c r="K372" s="142" t="s">
        <v>1689</v>
      </c>
    </row>
    <row r="373" spans="1:11" ht="21.75" customHeight="1" x14ac:dyDescent="0.25">
      <c r="A373" s="141" t="s">
        <v>1711</v>
      </c>
      <c r="B373" s="141">
        <v>376</v>
      </c>
      <c r="C373" s="141">
        <v>6</v>
      </c>
      <c r="D373" s="141">
        <v>6</v>
      </c>
      <c r="E373" s="141" t="s">
        <v>1590</v>
      </c>
      <c r="F373" s="141" t="s">
        <v>1590</v>
      </c>
      <c r="G373" s="141" t="s">
        <v>1710</v>
      </c>
      <c r="H373" s="141" t="s">
        <v>1710</v>
      </c>
      <c r="I373" s="142" t="s">
        <v>542</v>
      </c>
      <c r="J373" s="142" t="s">
        <v>1591</v>
      </c>
      <c r="K373" s="142" t="s">
        <v>1708</v>
      </c>
    </row>
    <row r="374" spans="1:11" ht="21.75" customHeight="1" x14ac:dyDescent="0.25">
      <c r="A374" s="141" t="s">
        <v>1714</v>
      </c>
      <c r="B374" s="141">
        <v>377</v>
      </c>
      <c r="C374" s="141">
        <v>6</v>
      </c>
      <c r="D374" s="141">
        <v>6</v>
      </c>
      <c r="E374" s="141" t="s">
        <v>1590</v>
      </c>
      <c r="F374" s="141" t="s">
        <v>1590</v>
      </c>
      <c r="G374" s="141" t="s">
        <v>1713</v>
      </c>
      <c r="H374" s="141" t="s">
        <v>1713</v>
      </c>
      <c r="I374" s="142" t="s">
        <v>542</v>
      </c>
      <c r="J374" s="142" t="s">
        <v>1591</v>
      </c>
      <c r="K374" s="142" t="s">
        <v>1708</v>
      </c>
    </row>
    <row r="375" spans="1:11" ht="21.75" customHeight="1" x14ac:dyDescent="0.25">
      <c r="A375" s="141" t="s">
        <v>1717</v>
      </c>
      <c r="B375" s="141">
        <v>378</v>
      </c>
      <c r="C375" s="141">
        <v>6</v>
      </c>
      <c r="D375" s="141">
        <v>6</v>
      </c>
      <c r="E375" s="141" t="s">
        <v>1590</v>
      </c>
      <c r="F375" s="141" t="s">
        <v>1590</v>
      </c>
      <c r="G375" s="141" t="s">
        <v>1716</v>
      </c>
      <c r="H375" s="141" t="s">
        <v>1716</v>
      </c>
      <c r="I375" s="142" t="s">
        <v>542</v>
      </c>
      <c r="J375" s="142" t="s">
        <v>1591</v>
      </c>
      <c r="K375" s="142" t="s">
        <v>1708</v>
      </c>
    </row>
    <row r="376" spans="1:11" ht="21.75" customHeight="1" x14ac:dyDescent="0.25">
      <c r="A376" s="141" t="s">
        <v>1720</v>
      </c>
      <c r="B376" s="141">
        <v>379</v>
      </c>
      <c r="C376" s="141">
        <v>6</v>
      </c>
      <c r="D376" s="141">
        <v>6</v>
      </c>
      <c r="E376" s="141" t="s">
        <v>1590</v>
      </c>
      <c r="F376" s="141" t="s">
        <v>1590</v>
      </c>
      <c r="G376" s="141" t="s">
        <v>1719</v>
      </c>
      <c r="H376" s="141" t="s">
        <v>1719</v>
      </c>
      <c r="I376" s="142" t="s">
        <v>542</v>
      </c>
      <c r="J376" s="142" t="s">
        <v>1591</v>
      </c>
      <c r="K376" s="142" t="s">
        <v>1708</v>
      </c>
    </row>
    <row r="377" spans="1:11" ht="21.75" customHeight="1" x14ac:dyDescent="0.25">
      <c r="A377" s="141" t="s">
        <v>1723</v>
      </c>
      <c r="B377" s="141">
        <v>380</v>
      </c>
      <c r="C377" s="141">
        <v>6</v>
      </c>
      <c r="D377" s="141">
        <v>6</v>
      </c>
      <c r="E377" s="141" t="s">
        <v>1590</v>
      </c>
      <c r="F377" s="141" t="s">
        <v>1590</v>
      </c>
      <c r="G377" s="141" t="s">
        <v>1722</v>
      </c>
      <c r="H377" s="141" t="s">
        <v>1722</v>
      </c>
      <c r="I377" s="142" t="s">
        <v>542</v>
      </c>
      <c r="J377" s="142" t="s">
        <v>1591</v>
      </c>
      <c r="K377" s="142" t="s">
        <v>1708</v>
      </c>
    </row>
    <row r="378" spans="1:11" ht="21.75" customHeight="1" x14ac:dyDescent="0.25">
      <c r="A378" s="141" t="s">
        <v>1726</v>
      </c>
      <c r="B378" s="141">
        <v>381</v>
      </c>
      <c r="C378" s="141">
        <v>6</v>
      </c>
      <c r="D378" s="141">
        <v>6</v>
      </c>
      <c r="E378" s="141" t="s">
        <v>1590</v>
      </c>
      <c r="F378" s="141" t="s">
        <v>1590</v>
      </c>
      <c r="G378" s="141" t="s">
        <v>1725</v>
      </c>
      <c r="H378" s="141" t="s">
        <v>1725</v>
      </c>
      <c r="I378" s="142" t="s">
        <v>542</v>
      </c>
      <c r="J378" s="142" t="s">
        <v>1591</v>
      </c>
      <c r="K378" s="142" t="s">
        <v>1708</v>
      </c>
    </row>
    <row r="379" spans="1:11" ht="21.75" customHeight="1" x14ac:dyDescent="0.25">
      <c r="A379" s="141" t="s">
        <v>1730</v>
      </c>
      <c r="B379" s="141">
        <v>382</v>
      </c>
      <c r="C379" s="141">
        <v>6</v>
      </c>
      <c r="D379" s="141">
        <v>6</v>
      </c>
      <c r="E379" s="141" t="s">
        <v>1590</v>
      </c>
      <c r="F379" s="141" t="s">
        <v>1590</v>
      </c>
      <c r="G379" s="141" t="s">
        <v>1729</v>
      </c>
      <c r="H379" s="141" t="s">
        <v>1729</v>
      </c>
      <c r="I379" s="142" t="s">
        <v>542</v>
      </c>
      <c r="J379" s="142" t="s">
        <v>1591</v>
      </c>
      <c r="K379" s="142" t="s">
        <v>1727</v>
      </c>
    </row>
    <row r="380" spans="1:11" ht="21.75" customHeight="1" x14ac:dyDescent="0.25">
      <c r="A380" s="141" t="s">
        <v>1733</v>
      </c>
      <c r="B380" s="141">
        <v>383</v>
      </c>
      <c r="C380" s="141">
        <v>6</v>
      </c>
      <c r="D380" s="141">
        <v>6</v>
      </c>
      <c r="E380" s="141" t="s">
        <v>1590</v>
      </c>
      <c r="F380" s="141" t="s">
        <v>1590</v>
      </c>
      <c r="G380" s="141" t="s">
        <v>1732</v>
      </c>
      <c r="H380" s="141" t="s">
        <v>1732</v>
      </c>
      <c r="I380" s="142" t="s">
        <v>542</v>
      </c>
      <c r="J380" s="142" t="s">
        <v>1591</v>
      </c>
      <c r="K380" s="142" t="s">
        <v>1727</v>
      </c>
    </row>
    <row r="381" spans="1:11" ht="21.75" customHeight="1" x14ac:dyDescent="0.25">
      <c r="A381" s="141" t="s">
        <v>1736</v>
      </c>
      <c r="B381" s="141">
        <v>384</v>
      </c>
      <c r="C381" s="141">
        <v>6</v>
      </c>
      <c r="D381" s="141">
        <v>6</v>
      </c>
      <c r="E381" s="141" t="s">
        <v>1590</v>
      </c>
      <c r="F381" s="141" t="s">
        <v>1590</v>
      </c>
      <c r="G381" s="141" t="s">
        <v>1735</v>
      </c>
      <c r="H381" s="141" t="s">
        <v>1735</v>
      </c>
      <c r="I381" s="142" t="s">
        <v>542</v>
      </c>
      <c r="J381" s="142" t="s">
        <v>1591</v>
      </c>
      <c r="K381" s="142" t="s">
        <v>1727</v>
      </c>
    </row>
    <row r="382" spans="1:11" ht="21.75" customHeight="1" x14ac:dyDescent="0.25">
      <c r="A382" s="141" t="s">
        <v>1739</v>
      </c>
      <c r="B382" s="141">
        <v>385</v>
      </c>
      <c r="C382" s="141">
        <v>6</v>
      </c>
      <c r="D382" s="141">
        <v>6</v>
      </c>
      <c r="E382" s="141" t="s">
        <v>1590</v>
      </c>
      <c r="F382" s="141" t="s">
        <v>1590</v>
      </c>
      <c r="G382" s="141" t="s">
        <v>1738</v>
      </c>
      <c r="H382" s="141" t="s">
        <v>1738</v>
      </c>
      <c r="I382" s="142" t="s">
        <v>542</v>
      </c>
      <c r="J382" s="142" t="s">
        <v>1591</v>
      </c>
      <c r="K382" s="142" t="s">
        <v>1727</v>
      </c>
    </row>
    <row r="383" spans="1:11" ht="21.75" customHeight="1" x14ac:dyDescent="0.25">
      <c r="A383" s="141" t="s">
        <v>1742</v>
      </c>
      <c r="B383" s="141">
        <v>386</v>
      </c>
      <c r="C383" s="141">
        <v>6</v>
      </c>
      <c r="D383" s="141">
        <v>6</v>
      </c>
      <c r="E383" s="141" t="s">
        <v>1590</v>
      </c>
      <c r="F383" s="141" t="s">
        <v>1590</v>
      </c>
      <c r="G383" s="141" t="s">
        <v>1741</v>
      </c>
      <c r="H383" s="141" t="s">
        <v>1741</v>
      </c>
      <c r="I383" s="142" t="s">
        <v>542</v>
      </c>
      <c r="J383" s="142" t="s">
        <v>1591</v>
      </c>
      <c r="K383" s="142" t="s">
        <v>1727</v>
      </c>
    </row>
    <row r="384" spans="1:11" ht="21.75" customHeight="1" x14ac:dyDescent="0.25">
      <c r="A384" s="141" t="s">
        <v>1745</v>
      </c>
      <c r="B384" s="141">
        <v>387</v>
      </c>
      <c r="C384" s="141">
        <v>6</v>
      </c>
      <c r="D384" s="141">
        <v>6</v>
      </c>
      <c r="E384" s="141" t="s">
        <v>1590</v>
      </c>
      <c r="F384" s="141" t="s">
        <v>1590</v>
      </c>
      <c r="G384" s="141" t="s">
        <v>1744</v>
      </c>
      <c r="H384" s="141" t="s">
        <v>1744</v>
      </c>
      <c r="I384" s="142" t="s">
        <v>542</v>
      </c>
      <c r="J384" s="142" t="s">
        <v>1591</v>
      </c>
      <c r="K384" s="142" t="s">
        <v>1727</v>
      </c>
    </row>
    <row r="385" spans="1:11" ht="21.75" customHeight="1" x14ac:dyDescent="0.25">
      <c r="A385" s="141" t="s">
        <v>1749</v>
      </c>
      <c r="B385" s="141">
        <v>388</v>
      </c>
      <c r="C385" s="141">
        <v>6</v>
      </c>
      <c r="D385" s="141">
        <v>6</v>
      </c>
      <c r="E385" s="141" t="s">
        <v>1590</v>
      </c>
      <c r="F385" s="141" t="s">
        <v>1590</v>
      </c>
      <c r="G385" s="141" t="s">
        <v>1748</v>
      </c>
      <c r="H385" s="141" t="s">
        <v>1748</v>
      </c>
      <c r="I385" s="142" t="s">
        <v>542</v>
      </c>
      <c r="J385" s="142" t="s">
        <v>1591</v>
      </c>
      <c r="K385" s="142" t="s">
        <v>1746</v>
      </c>
    </row>
    <row r="386" spans="1:11" ht="21.75" customHeight="1" x14ac:dyDescent="0.25">
      <c r="A386" s="141" t="s">
        <v>1752</v>
      </c>
      <c r="B386" s="141">
        <v>389</v>
      </c>
      <c r="C386" s="141">
        <v>6</v>
      </c>
      <c r="D386" s="141">
        <v>6</v>
      </c>
      <c r="E386" s="141" t="s">
        <v>1590</v>
      </c>
      <c r="F386" s="141" t="s">
        <v>1590</v>
      </c>
      <c r="G386" s="141" t="s">
        <v>1751</v>
      </c>
      <c r="H386" s="141" t="s">
        <v>1751</v>
      </c>
      <c r="I386" s="142" t="s">
        <v>542</v>
      </c>
      <c r="J386" s="142" t="s">
        <v>1591</v>
      </c>
      <c r="K386" s="142" t="s">
        <v>1746</v>
      </c>
    </row>
    <row r="387" spans="1:11" ht="21.75" customHeight="1" x14ac:dyDescent="0.25">
      <c r="A387" s="141" t="s">
        <v>1755</v>
      </c>
      <c r="B387" s="141">
        <v>390</v>
      </c>
      <c r="C387" s="141">
        <v>6</v>
      </c>
      <c r="D387" s="141">
        <v>6</v>
      </c>
      <c r="E387" s="141" t="s">
        <v>1590</v>
      </c>
      <c r="F387" s="141" t="s">
        <v>1590</v>
      </c>
      <c r="G387" s="141" t="s">
        <v>1754</v>
      </c>
      <c r="H387" s="141" t="s">
        <v>1754</v>
      </c>
      <c r="I387" s="142" t="s">
        <v>542</v>
      </c>
      <c r="J387" s="142" t="s">
        <v>1591</v>
      </c>
      <c r="K387" s="142" t="s">
        <v>1746</v>
      </c>
    </row>
    <row r="388" spans="1:11" ht="21.75" customHeight="1" x14ac:dyDescent="0.25">
      <c r="A388" s="141" t="s">
        <v>1758</v>
      </c>
      <c r="B388" s="141">
        <v>391</v>
      </c>
      <c r="C388" s="141">
        <v>6</v>
      </c>
      <c r="D388" s="141">
        <v>6</v>
      </c>
      <c r="E388" s="141" t="s">
        <v>1590</v>
      </c>
      <c r="F388" s="141" t="s">
        <v>1590</v>
      </c>
      <c r="G388" s="141" t="s">
        <v>1757</v>
      </c>
      <c r="H388" s="141" t="s">
        <v>1757</v>
      </c>
      <c r="I388" s="142" t="s">
        <v>542</v>
      </c>
      <c r="J388" s="142" t="s">
        <v>1591</v>
      </c>
      <c r="K388" s="142" t="s">
        <v>1746</v>
      </c>
    </row>
    <row r="389" spans="1:11" ht="21.75" customHeight="1" x14ac:dyDescent="0.25">
      <c r="A389" s="141" t="s">
        <v>1761</v>
      </c>
      <c r="B389" s="141">
        <v>392</v>
      </c>
      <c r="C389" s="141">
        <v>6</v>
      </c>
      <c r="D389" s="141">
        <v>6</v>
      </c>
      <c r="E389" s="141" t="s">
        <v>1590</v>
      </c>
      <c r="F389" s="141" t="s">
        <v>1590</v>
      </c>
      <c r="G389" s="141" t="s">
        <v>1760</v>
      </c>
      <c r="H389" s="141" t="s">
        <v>1760</v>
      </c>
      <c r="I389" s="142" t="s">
        <v>542</v>
      </c>
      <c r="J389" s="142" t="s">
        <v>1591</v>
      </c>
      <c r="K389" s="142" t="s">
        <v>1746</v>
      </c>
    </row>
    <row r="390" spans="1:11" ht="21.75" customHeight="1" x14ac:dyDescent="0.25">
      <c r="A390" s="141" t="s">
        <v>1764</v>
      </c>
      <c r="B390" s="141">
        <v>393</v>
      </c>
      <c r="C390" s="141">
        <v>6</v>
      </c>
      <c r="D390" s="141">
        <v>6</v>
      </c>
      <c r="E390" s="141" t="s">
        <v>1590</v>
      </c>
      <c r="F390" s="141" t="s">
        <v>1590</v>
      </c>
      <c r="G390" s="141" t="s">
        <v>1763</v>
      </c>
      <c r="H390" s="141" t="s">
        <v>1763</v>
      </c>
      <c r="I390" s="142" t="s">
        <v>542</v>
      </c>
      <c r="J390" s="142" t="s">
        <v>1591</v>
      </c>
      <c r="K390" s="142" t="s">
        <v>1746</v>
      </c>
    </row>
    <row r="391" spans="1:11" ht="21.75" customHeight="1" x14ac:dyDescent="0.25">
      <c r="A391" s="141" t="s">
        <v>1768</v>
      </c>
      <c r="B391" s="141">
        <v>394</v>
      </c>
      <c r="C391" s="141">
        <v>6</v>
      </c>
      <c r="D391" s="141">
        <v>6</v>
      </c>
      <c r="E391" s="141" t="s">
        <v>1590</v>
      </c>
      <c r="F391" s="141" t="s">
        <v>1590</v>
      </c>
      <c r="G391" s="141" t="s">
        <v>1767</v>
      </c>
      <c r="H391" s="141" t="s">
        <v>1767</v>
      </c>
      <c r="I391" s="142" t="s">
        <v>542</v>
      </c>
      <c r="J391" s="142" t="s">
        <v>1591</v>
      </c>
      <c r="K391" s="142" t="s">
        <v>1765</v>
      </c>
    </row>
    <row r="392" spans="1:11" ht="21.75" customHeight="1" x14ac:dyDescent="0.25">
      <c r="A392" s="141" t="s">
        <v>1771</v>
      </c>
      <c r="B392" s="141">
        <v>395</v>
      </c>
      <c r="C392" s="141">
        <v>6</v>
      </c>
      <c r="D392" s="141">
        <v>6</v>
      </c>
      <c r="E392" s="141" t="s">
        <v>1590</v>
      </c>
      <c r="F392" s="141" t="s">
        <v>1590</v>
      </c>
      <c r="G392" s="141" t="s">
        <v>1770</v>
      </c>
      <c r="H392" s="141" t="s">
        <v>1770</v>
      </c>
      <c r="I392" s="142" t="s">
        <v>542</v>
      </c>
      <c r="J392" s="142" t="s">
        <v>1591</v>
      </c>
      <c r="K392" s="142" t="s">
        <v>1765</v>
      </c>
    </row>
    <row r="393" spans="1:11" ht="21.75" customHeight="1" x14ac:dyDescent="0.25">
      <c r="A393" s="141" t="s">
        <v>1774</v>
      </c>
      <c r="B393" s="141">
        <v>396</v>
      </c>
      <c r="C393" s="141">
        <v>6</v>
      </c>
      <c r="D393" s="141">
        <v>6</v>
      </c>
      <c r="E393" s="141" t="s">
        <v>1590</v>
      </c>
      <c r="F393" s="141" t="s">
        <v>1590</v>
      </c>
      <c r="G393" s="141" t="s">
        <v>1773</v>
      </c>
      <c r="H393" s="141" t="s">
        <v>1773</v>
      </c>
      <c r="I393" s="142" t="s">
        <v>542</v>
      </c>
      <c r="J393" s="142" t="s">
        <v>1591</v>
      </c>
      <c r="K393" s="142" t="s">
        <v>1765</v>
      </c>
    </row>
    <row r="394" spans="1:11" ht="21.75" customHeight="1" x14ac:dyDescent="0.25">
      <c r="A394" s="141" t="s">
        <v>1777</v>
      </c>
      <c r="B394" s="141">
        <v>397</v>
      </c>
      <c r="C394" s="141">
        <v>6</v>
      </c>
      <c r="D394" s="141">
        <v>6</v>
      </c>
      <c r="E394" s="141" t="s">
        <v>1590</v>
      </c>
      <c r="F394" s="141" t="s">
        <v>1590</v>
      </c>
      <c r="G394" s="141" t="s">
        <v>1776</v>
      </c>
      <c r="H394" s="141" t="s">
        <v>1776</v>
      </c>
      <c r="I394" s="142" t="s">
        <v>542</v>
      </c>
      <c r="J394" s="142" t="s">
        <v>1591</v>
      </c>
      <c r="K394" s="142" t="s">
        <v>1765</v>
      </c>
    </row>
    <row r="395" spans="1:11" ht="21.75" customHeight="1" x14ac:dyDescent="0.25">
      <c r="A395" s="141" t="s">
        <v>1780</v>
      </c>
      <c r="B395" s="141">
        <v>398</v>
      </c>
      <c r="C395" s="141">
        <v>6</v>
      </c>
      <c r="D395" s="141">
        <v>6</v>
      </c>
      <c r="E395" s="141" t="s">
        <v>1590</v>
      </c>
      <c r="F395" s="141" t="s">
        <v>1590</v>
      </c>
      <c r="G395" s="141" t="s">
        <v>1779</v>
      </c>
      <c r="H395" s="141" t="s">
        <v>1779</v>
      </c>
      <c r="I395" s="142" t="s">
        <v>542</v>
      </c>
      <c r="J395" s="142" t="s">
        <v>1591</v>
      </c>
      <c r="K395" s="142" t="s">
        <v>1765</v>
      </c>
    </row>
    <row r="396" spans="1:11" ht="21.75" customHeight="1" x14ac:dyDescent="0.25">
      <c r="A396" s="141" t="s">
        <v>1783</v>
      </c>
      <c r="B396" s="141">
        <v>399</v>
      </c>
      <c r="C396" s="141">
        <v>6</v>
      </c>
      <c r="D396" s="141">
        <v>6</v>
      </c>
      <c r="E396" s="141" t="s">
        <v>1590</v>
      </c>
      <c r="F396" s="141" t="s">
        <v>1590</v>
      </c>
      <c r="G396" s="141" t="s">
        <v>1782</v>
      </c>
      <c r="H396" s="141" t="s">
        <v>1782</v>
      </c>
      <c r="I396" s="142" t="s">
        <v>542</v>
      </c>
      <c r="J396" s="142" t="s">
        <v>1591</v>
      </c>
      <c r="K396" s="142" t="s">
        <v>1765</v>
      </c>
    </row>
    <row r="397" spans="1:11" ht="15" customHeight="1" x14ac:dyDescent="0.25">
      <c r="A397" s="141" t="s">
        <v>1787</v>
      </c>
      <c r="B397" s="141">
        <v>400</v>
      </c>
      <c r="C397" s="141">
        <v>6</v>
      </c>
      <c r="D397" s="141">
        <v>6</v>
      </c>
      <c r="E397" s="141" t="s">
        <v>1590</v>
      </c>
      <c r="F397" s="141" t="s">
        <v>1590</v>
      </c>
      <c r="G397" s="141" t="s">
        <v>1786</v>
      </c>
      <c r="H397" s="141" t="s">
        <v>1786</v>
      </c>
      <c r="I397" s="142" t="s">
        <v>542</v>
      </c>
      <c r="J397" s="142" t="s">
        <v>1591</v>
      </c>
      <c r="K397" s="142" t="s">
        <v>1784</v>
      </c>
    </row>
    <row r="398" spans="1:11" ht="15" customHeight="1" x14ac:dyDescent="0.25">
      <c r="A398" s="141" t="s">
        <v>1790</v>
      </c>
      <c r="B398" s="141">
        <v>401</v>
      </c>
      <c r="C398" s="141">
        <v>6</v>
      </c>
      <c r="D398" s="141">
        <v>6</v>
      </c>
      <c r="E398" s="141" t="s">
        <v>1590</v>
      </c>
      <c r="F398" s="141" t="s">
        <v>1590</v>
      </c>
      <c r="G398" s="141" t="s">
        <v>1789</v>
      </c>
      <c r="H398" s="141" t="s">
        <v>1789</v>
      </c>
      <c r="I398" s="142" t="s">
        <v>542</v>
      </c>
      <c r="J398" s="142" t="s">
        <v>1591</v>
      </c>
      <c r="K398" s="142" t="s">
        <v>1784</v>
      </c>
    </row>
    <row r="399" spans="1:11" ht="15" customHeight="1" x14ac:dyDescent="0.25">
      <c r="A399" s="141" t="s">
        <v>1793</v>
      </c>
      <c r="B399" s="141">
        <v>402</v>
      </c>
      <c r="C399" s="141">
        <v>6</v>
      </c>
      <c r="D399" s="141">
        <v>6</v>
      </c>
      <c r="E399" s="141" t="s">
        <v>1590</v>
      </c>
      <c r="F399" s="141" t="s">
        <v>1590</v>
      </c>
      <c r="G399" s="141" t="s">
        <v>1792</v>
      </c>
      <c r="H399" s="141" t="s">
        <v>1792</v>
      </c>
      <c r="I399" s="142" t="s">
        <v>542</v>
      </c>
      <c r="J399" s="142" t="s">
        <v>1591</v>
      </c>
      <c r="K399" s="142" t="s">
        <v>1784</v>
      </c>
    </row>
    <row r="400" spans="1:11" ht="15" customHeight="1" x14ac:dyDescent="0.25">
      <c r="A400" s="141" t="s">
        <v>1796</v>
      </c>
      <c r="B400" s="141">
        <v>403</v>
      </c>
      <c r="C400" s="141">
        <v>6</v>
      </c>
      <c r="D400" s="141">
        <v>6</v>
      </c>
      <c r="E400" s="141" t="s">
        <v>1590</v>
      </c>
      <c r="F400" s="141" t="s">
        <v>1590</v>
      </c>
      <c r="G400" s="141" t="s">
        <v>1795</v>
      </c>
      <c r="H400" s="141" t="s">
        <v>1795</v>
      </c>
      <c r="I400" s="142" t="s">
        <v>542</v>
      </c>
      <c r="J400" s="142" t="s">
        <v>1591</v>
      </c>
      <c r="K400" s="142" t="s">
        <v>1784</v>
      </c>
    </row>
    <row r="401" spans="1:11" ht="15" customHeight="1" x14ac:dyDescent="0.25">
      <c r="A401" s="141" t="s">
        <v>1799</v>
      </c>
      <c r="B401" s="141">
        <v>404</v>
      </c>
      <c r="C401" s="141">
        <v>6</v>
      </c>
      <c r="D401" s="141">
        <v>6</v>
      </c>
      <c r="E401" s="141" t="s">
        <v>1590</v>
      </c>
      <c r="F401" s="141" t="s">
        <v>1590</v>
      </c>
      <c r="G401" s="141" t="s">
        <v>1798</v>
      </c>
      <c r="H401" s="141" t="s">
        <v>1798</v>
      </c>
      <c r="I401" s="142" t="s">
        <v>542</v>
      </c>
      <c r="J401" s="142" t="s">
        <v>1591</v>
      </c>
      <c r="K401" s="142" t="s">
        <v>1784</v>
      </c>
    </row>
    <row r="402" spans="1:11" ht="15" customHeight="1" x14ac:dyDescent="0.25">
      <c r="A402" s="141" t="s">
        <v>1802</v>
      </c>
      <c r="B402" s="141">
        <v>405</v>
      </c>
      <c r="C402" s="141">
        <v>6</v>
      </c>
      <c r="D402" s="141">
        <v>6</v>
      </c>
      <c r="E402" s="141" t="s">
        <v>1590</v>
      </c>
      <c r="F402" s="141" t="s">
        <v>1590</v>
      </c>
      <c r="G402" s="141" t="s">
        <v>1801</v>
      </c>
      <c r="H402" s="141" t="s">
        <v>1801</v>
      </c>
      <c r="I402" s="142" t="s">
        <v>542</v>
      </c>
      <c r="J402" s="142" t="s">
        <v>1591</v>
      </c>
      <c r="K402" s="142" t="s">
        <v>1784</v>
      </c>
    </row>
    <row r="403" spans="1:11" ht="15" customHeight="1" x14ac:dyDescent="0.25">
      <c r="A403" s="141" t="s">
        <v>1806</v>
      </c>
      <c r="B403" s="141">
        <v>406</v>
      </c>
      <c r="C403" s="141">
        <v>6</v>
      </c>
      <c r="D403" s="141">
        <v>6</v>
      </c>
      <c r="E403" s="141" t="s">
        <v>1590</v>
      </c>
      <c r="F403" s="141" t="s">
        <v>1590</v>
      </c>
      <c r="G403" s="141" t="s">
        <v>1805</v>
      </c>
      <c r="H403" s="141" t="s">
        <v>1805</v>
      </c>
      <c r="I403" s="142" t="s">
        <v>542</v>
      </c>
      <c r="J403" s="142" t="s">
        <v>1591</v>
      </c>
      <c r="K403" s="142" t="s">
        <v>1803</v>
      </c>
    </row>
    <row r="404" spans="1:11" ht="15" customHeight="1" x14ac:dyDescent="0.25">
      <c r="A404" s="141" t="s">
        <v>1809</v>
      </c>
      <c r="B404" s="141">
        <v>407</v>
      </c>
      <c r="C404" s="141">
        <v>6</v>
      </c>
      <c r="D404" s="141">
        <v>6</v>
      </c>
      <c r="E404" s="141" t="s">
        <v>1590</v>
      </c>
      <c r="F404" s="141" t="s">
        <v>1590</v>
      </c>
      <c r="G404" s="141" t="s">
        <v>1808</v>
      </c>
      <c r="H404" s="141" t="s">
        <v>1808</v>
      </c>
      <c r="I404" s="142" t="s">
        <v>542</v>
      </c>
      <c r="J404" s="142" t="s">
        <v>1591</v>
      </c>
      <c r="K404" s="142" t="s">
        <v>1803</v>
      </c>
    </row>
    <row r="405" spans="1:11" ht="15" customHeight="1" x14ac:dyDescent="0.25">
      <c r="A405" s="141" t="s">
        <v>1812</v>
      </c>
      <c r="B405" s="141">
        <v>408</v>
      </c>
      <c r="C405" s="141">
        <v>6</v>
      </c>
      <c r="D405" s="141">
        <v>6</v>
      </c>
      <c r="E405" s="141" t="s">
        <v>1590</v>
      </c>
      <c r="F405" s="141" t="s">
        <v>1590</v>
      </c>
      <c r="G405" s="141" t="s">
        <v>1811</v>
      </c>
      <c r="H405" s="141" t="s">
        <v>1811</v>
      </c>
      <c r="I405" s="142" t="s">
        <v>542</v>
      </c>
      <c r="J405" s="142" t="s">
        <v>1591</v>
      </c>
      <c r="K405" s="142" t="s">
        <v>1803</v>
      </c>
    </row>
    <row r="406" spans="1:11" ht="15" customHeight="1" x14ac:dyDescent="0.25">
      <c r="A406" s="141" t="s">
        <v>1815</v>
      </c>
      <c r="B406" s="141">
        <v>409</v>
      </c>
      <c r="C406" s="141">
        <v>6</v>
      </c>
      <c r="D406" s="141">
        <v>6</v>
      </c>
      <c r="E406" s="141" t="s">
        <v>1590</v>
      </c>
      <c r="F406" s="141" t="s">
        <v>1590</v>
      </c>
      <c r="G406" s="141" t="s">
        <v>1814</v>
      </c>
      <c r="H406" s="141" t="s">
        <v>1814</v>
      </c>
      <c r="I406" s="142" t="s">
        <v>542</v>
      </c>
      <c r="J406" s="142" t="s">
        <v>1591</v>
      </c>
      <c r="K406" s="142" t="s">
        <v>1803</v>
      </c>
    </row>
    <row r="407" spans="1:11" ht="15" customHeight="1" x14ac:dyDescent="0.25">
      <c r="A407" s="141" t="s">
        <v>1818</v>
      </c>
      <c r="B407" s="141">
        <v>410</v>
      </c>
      <c r="C407" s="141">
        <v>6</v>
      </c>
      <c r="D407" s="141">
        <v>6</v>
      </c>
      <c r="E407" s="141" t="s">
        <v>1590</v>
      </c>
      <c r="F407" s="141" t="s">
        <v>1590</v>
      </c>
      <c r="G407" s="141" t="s">
        <v>1817</v>
      </c>
      <c r="H407" s="141" t="s">
        <v>1817</v>
      </c>
      <c r="I407" s="142" t="s">
        <v>542</v>
      </c>
      <c r="J407" s="142" t="s">
        <v>1591</v>
      </c>
      <c r="K407" s="142" t="s">
        <v>1803</v>
      </c>
    </row>
    <row r="408" spans="1:11" ht="15" customHeight="1" x14ac:dyDescent="0.25">
      <c r="A408" s="141" t="s">
        <v>1821</v>
      </c>
      <c r="B408" s="141">
        <v>411</v>
      </c>
      <c r="C408" s="141">
        <v>6</v>
      </c>
      <c r="D408" s="141">
        <v>6</v>
      </c>
      <c r="E408" s="141" t="s">
        <v>1590</v>
      </c>
      <c r="F408" s="141" t="s">
        <v>1590</v>
      </c>
      <c r="G408" s="141" t="s">
        <v>1820</v>
      </c>
      <c r="H408" s="141" t="s">
        <v>1820</v>
      </c>
      <c r="I408" s="142" t="s">
        <v>542</v>
      </c>
      <c r="J408" s="142" t="s">
        <v>1591</v>
      </c>
      <c r="K408" s="142" t="s">
        <v>1803</v>
      </c>
    </row>
    <row r="409" spans="1:11" ht="15" customHeight="1" x14ac:dyDescent="0.25">
      <c r="A409" s="141" t="s">
        <v>1825</v>
      </c>
      <c r="B409" s="141">
        <v>412</v>
      </c>
      <c r="C409" s="141">
        <v>6</v>
      </c>
      <c r="D409" s="141">
        <v>6</v>
      </c>
      <c r="E409" s="141" t="s">
        <v>1590</v>
      </c>
      <c r="F409" s="141" t="s">
        <v>1590</v>
      </c>
      <c r="G409" s="141" t="s">
        <v>1824</v>
      </c>
      <c r="H409" s="141" t="s">
        <v>1824</v>
      </c>
      <c r="I409" s="142" t="s">
        <v>542</v>
      </c>
      <c r="J409" s="142" t="s">
        <v>1591</v>
      </c>
      <c r="K409" s="142" t="s">
        <v>1822</v>
      </c>
    </row>
    <row r="410" spans="1:11" ht="15" customHeight="1" x14ac:dyDescent="0.25">
      <c r="A410" s="141" t="s">
        <v>1828</v>
      </c>
      <c r="B410" s="141">
        <v>413</v>
      </c>
      <c r="C410" s="141">
        <v>6</v>
      </c>
      <c r="D410" s="141">
        <v>6</v>
      </c>
      <c r="E410" s="141" t="s">
        <v>1590</v>
      </c>
      <c r="F410" s="141" t="s">
        <v>1590</v>
      </c>
      <c r="G410" s="141" t="s">
        <v>1827</v>
      </c>
      <c r="H410" s="141" t="s">
        <v>1827</v>
      </c>
      <c r="I410" s="142" t="s">
        <v>542</v>
      </c>
      <c r="J410" s="142" t="s">
        <v>1591</v>
      </c>
      <c r="K410" s="142" t="s">
        <v>1822</v>
      </c>
    </row>
    <row r="411" spans="1:11" ht="15" customHeight="1" x14ac:dyDescent="0.25">
      <c r="A411" s="141" t="s">
        <v>1832</v>
      </c>
      <c r="B411" s="141">
        <v>414</v>
      </c>
      <c r="C411" s="141">
        <v>6</v>
      </c>
      <c r="D411" s="141">
        <v>6</v>
      </c>
      <c r="E411" s="141" t="s">
        <v>1590</v>
      </c>
      <c r="F411" s="141" t="s">
        <v>1590</v>
      </c>
      <c r="G411" s="141" t="s">
        <v>1831</v>
      </c>
      <c r="H411" s="141" t="s">
        <v>1831</v>
      </c>
      <c r="I411" s="142" t="s">
        <v>542</v>
      </c>
      <c r="J411" s="142" t="s">
        <v>1591</v>
      </c>
      <c r="K411" s="142" t="s">
        <v>1829</v>
      </c>
    </row>
    <row r="412" spans="1:11" ht="15" customHeight="1" x14ac:dyDescent="0.25">
      <c r="A412" s="141" t="s">
        <v>1835</v>
      </c>
      <c r="B412" s="141">
        <v>415</v>
      </c>
      <c r="C412" s="141">
        <v>6</v>
      </c>
      <c r="D412" s="141">
        <v>6</v>
      </c>
      <c r="E412" s="141" t="s">
        <v>1590</v>
      </c>
      <c r="F412" s="141" t="s">
        <v>1590</v>
      </c>
      <c r="G412" s="141" t="s">
        <v>1834</v>
      </c>
      <c r="H412" s="141" t="s">
        <v>1834</v>
      </c>
      <c r="I412" s="142" t="s">
        <v>542</v>
      </c>
      <c r="J412" s="142" t="s">
        <v>1591</v>
      </c>
      <c r="K412" s="142" t="s">
        <v>1829</v>
      </c>
    </row>
    <row r="413" spans="1:11" ht="15" customHeight="1" x14ac:dyDescent="0.25">
      <c r="A413" s="141" t="s">
        <v>1838</v>
      </c>
      <c r="B413" s="141">
        <v>416</v>
      </c>
      <c r="C413" s="141">
        <v>6</v>
      </c>
      <c r="D413" s="141">
        <v>6</v>
      </c>
      <c r="E413" s="141" t="s">
        <v>1590</v>
      </c>
      <c r="F413" s="141" t="s">
        <v>1590</v>
      </c>
      <c r="G413" s="141" t="s">
        <v>1837</v>
      </c>
      <c r="H413" s="141" t="s">
        <v>1837</v>
      </c>
      <c r="I413" s="142" t="s">
        <v>542</v>
      </c>
      <c r="J413" s="142" t="s">
        <v>1591</v>
      </c>
      <c r="K413" s="142" t="s">
        <v>1829</v>
      </c>
    </row>
    <row r="414" spans="1:11" ht="15" customHeight="1" x14ac:dyDescent="0.25">
      <c r="A414" s="141" t="s">
        <v>1845</v>
      </c>
      <c r="B414" s="141">
        <v>417</v>
      </c>
      <c r="C414" s="141">
        <v>6</v>
      </c>
      <c r="D414" s="141">
        <v>6</v>
      </c>
      <c r="E414" s="141" t="s">
        <v>1839</v>
      </c>
      <c r="F414" s="141" t="s">
        <v>1839</v>
      </c>
      <c r="G414" s="141" t="s">
        <v>1844</v>
      </c>
      <c r="H414" s="141" t="s">
        <v>1844</v>
      </c>
      <c r="I414" s="142" t="s">
        <v>542</v>
      </c>
      <c r="J414" s="142" t="s">
        <v>1840</v>
      </c>
      <c r="K414" s="142" t="s">
        <v>1841</v>
      </c>
    </row>
    <row r="415" spans="1:11" ht="15" customHeight="1" x14ac:dyDescent="0.25">
      <c r="A415" s="141" t="s">
        <v>1849</v>
      </c>
      <c r="B415" s="141">
        <v>418</v>
      </c>
      <c r="C415" s="141">
        <v>6</v>
      </c>
      <c r="D415" s="141">
        <v>6</v>
      </c>
      <c r="E415" s="141" t="s">
        <v>1839</v>
      </c>
      <c r="F415" s="141" t="s">
        <v>1839</v>
      </c>
      <c r="G415" s="141" t="s">
        <v>1848</v>
      </c>
      <c r="H415" s="141" t="s">
        <v>1848</v>
      </c>
      <c r="I415" s="142" t="s">
        <v>542</v>
      </c>
      <c r="J415" s="142" t="s">
        <v>1840</v>
      </c>
      <c r="K415" s="142" t="s">
        <v>1846</v>
      </c>
    </row>
    <row r="416" spans="1:11" ht="21.75" customHeight="1" x14ac:dyDescent="0.25">
      <c r="A416" s="141" t="s">
        <v>1853</v>
      </c>
      <c r="B416" s="141">
        <v>419</v>
      </c>
      <c r="C416" s="141">
        <v>6</v>
      </c>
      <c r="D416" s="141">
        <v>6</v>
      </c>
      <c r="E416" s="141" t="s">
        <v>1839</v>
      </c>
      <c r="F416" s="141" t="s">
        <v>1839</v>
      </c>
      <c r="G416" s="141" t="s">
        <v>1852</v>
      </c>
      <c r="H416" s="141" t="s">
        <v>1852</v>
      </c>
      <c r="I416" s="142" t="s">
        <v>542</v>
      </c>
      <c r="J416" s="142" t="s">
        <v>1840</v>
      </c>
      <c r="K416" s="142" t="s">
        <v>1850</v>
      </c>
    </row>
    <row r="417" spans="1:11" ht="15" customHeight="1" x14ac:dyDescent="0.25">
      <c r="A417" s="141" t="s">
        <v>1857</v>
      </c>
      <c r="B417" s="141">
        <v>420</v>
      </c>
      <c r="C417" s="141">
        <v>6</v>
      </c>
      <c r="D417" s="141">
        <v>6</v>
      </c>
      <c r="E417" s="141" t="s">
        <v>1839</v>
      </c>
      <c r="F417" s="141" t="s">
        <v>1839</v>
      </c>
      <c r="G417" s="141" t="s">
        <v>1856</v>
      </c>
      <c r="H417" s="141" t="s">
        <v>1856</v>
      </c>
      <c r="I417" s="142" t="s">
        <v>542</v>
      </c>
      <c r="J417" s="142" t="s">
        <v>1840</v>
      </c>
      <c r="K417" s="142" t="s">
        <v>1854</v>
      </c>
    </row>
    <row r="418" spans="1:11" ht="15" customHeight="1" x14ac:dyDescent="0.25">
      <c r="A418" s="141" t="s">
        <v>1861</v>
      </c>
      <c r="B418" s="141">
        <v>421</v>
      </c>
      <c r="C418" s="141">
        <v>6</v>
      </c>
      <c r="D418" s="141">
        <v>6</v>
      </c>
      <c r="E418" s="141" t="s">
        <v>1839</v>
      </c>
      <c r="F418" s="141" t="s">
        <v>1839</v>
      </c>
      <c r="G418" s="141" t="s">
        <v>1860</v>
      </c>
      <c r="H418" s="141" t="s">
        <v>1860</v>
      </c>
      <c r="I418" s="142" t="s">
        <v>542</v>
      </c>
      <c r="J418" s="142" t="s">
        <v>1840</v>
      </c>
      <c r="K418" s="142" t="s">
        <v>1858</v>
      </c>
    </row>
    <row r="419" spans="1:11" ht="15" customHeight="1" x14ac:dyDescent="0.25">
      <c r="A419" s="141" t="s">
        <v>1865</v>
      </c>
      <c r="B419" s="141">
        <v>422</v>
      </c>
      <c r="C419" s="141">
        <v>6</v>
      </c>
      <c r="D419" s="141">
        <v>6</v>
      </c>
      <c r="E419" s="141" t="s">
        <v>1839</v>
      </c>
      <c r="F419" s="141" t="s">
        <v>1839</v>
      </c>
      <c r="G419" s="141" t="s">
        <v>1864</v>
      </c>
      <c r="H419" s="141" t="s">
        <v>1864</v>
      </c>
      <c r="I419" s="142" t="s">
        <v>542</v>
      </c>
      <c r="J419" s="142" t="s">
        <v>1840</v>
      </c>
      <c r="K419" s="142" t="s">
        <v>1862</v>
      </c>
    </row>
    <row r="420" spans="1:11" ht="15" customHeight="1" x14ac:dyDescent="0.25">
      <c r="A420" s="141" t="s">
        <v>1869</v>
      </c>
      <c r="B420" s="141">
        <v>423</v>
      </c>
      <c r="C420" s="141">
        <v>6</v>
      </c>
      <c r="D420" s="141">
        <v>6</v>
      </c>
      <c r="E420" s="141" t="s">
        <v>1839</v>
      </c>
      <c r="F420" s="141" t="s">
        <v>1839</v>
      </c>
      <c r="G420" s="141" t="s">
        <v>1868</v>
      </c>
      <c r="H420" s="141" t="s">
        <v>1868</v>
      </c>
      <c r="I420" s="142" t="s">
        <v>542</v>
      </c>
      <c r="J420" s="142" t="s">
        <v>1840</v>
      </c>
      <c r="K420" s="142" t="s">
        <v>1866</v>
      </c>
    </row>
    <row r="421" spans="1:11" ht="15" customHeight="1" x14ac:dyDescent="0.25">
      <c r="A421" s="141" t="s">
        <v>1873</v>
      </c>
      <c r="B421" s="141">
        <v>424</v>
      </c>
      <c r="C421" s="141">
        <v>6</v>
      </c>
      <c r="D421" s="141">
        <v>6</v>
      </c>
      <c r="E421" s="141" t="s">
        <v>1839</v>
      </c>
      <c r="F421" s="141" t="s">
        <v>1839</v>
      </c>
      <c r="G421" s="141" t="s">
        <v>1872</v>
      </c>
      <c r="H421" s="141" t="s">
        <v>1872</v>
      </c>
      <c r="I421" s="142" t="s">
        <v>542</v>
      </c>
      <c r="J421" s="142" t="s">
        <v>1840</v>
      </c>
      <c r="K421" s="142" t="s">
        <v>1870</v>
      </c>
    </row>
    <row r="422" spans="1:11" ht="15" customHeight="1" x14ac:dyDescent="0.25">
      <c r="A422" s="141" t="s">
        <v>1877</v>
      </c>
      <c r="B422" s="141">
        <v>425</v>
      </c>
      <c r="C422" s="141">
        <v>6</v>
      </c>
      <c r="D422" s="141">
        <v>6</v>
      </c>
      <c r="E422" s="141" t="s">
        <v>1839</v>
      </c>
      <c r="F422" s="141" t="s">
        <v>1839</v>
      </c>
      <c r="G422" s="141" t="s">
        <v>1876</v>
      </c>
      <c r="H422" s="141" t="s">
        <v>1876</v>
      </c>
      <c r="I422" s="142" t="s">
        <v>542</v>
      </c>
      <c r="J422" s="142" t="s">
        <v>1840</v>
      </c>
      <c r="K422" s="142" t="s">
        <v>1874</v>
      </c>
    </row>
    <row r="423" spans="1:11" ht="15" customHeight="1" x14ac:dyDescent="0.25">
      <c r="A423" s="141" t="s">
        <v>1884</v>
      </c>
      <c r="B423" s="141">
        <v>426</v>
      </c>
      <c r="C423" s="141">
        <v>6</v>
      </c>
      <c r="D423" s="141">
        <v>6</v>
      </c>
      <c r="E423" s="141" t="s">
        <v>1878</v>
      </c>
      <c r="F423" s="141" t="s">
        <v>1878</v>
      </c>
      <c r="G423" s="141" t="s">
        <v>1883</v>
      </c>
      <c r="H423" s="141" t="s">
        <v>1883</v>
      </c>
      <c r="I423" s="142" t="s">
        <v>542</v>
      </c>
      <c r="J423" s="142" t="s">
        <v>1879</v>
      </c>
      <c r="K423" s="142" t="s">
        <v>1880</v>
      </c>
    </row>
    <row r="424" spans="1:11" ht="15" customHeight="1" x14ac:dyDescent="0.25">
      <c r="A424" s="141" t="s">
        <v>1889</v>
      </c>
      <c r="B424" s="141">
        <v>427</v>
      </c>
      <c r="C424" s="141">
        <v>6</v>
      </c>
      <c r="D424" s="141">
        <v>6</v>
      </c>
      <c r="E424" s="141" t="s">
        <v>1878</v>
      </c>
      <c r="F424" s="141" t="s">
        <v>1878</v>
      </c>
      <c r="G424" s="141" t="s">
        <v>1888</v>
      </c>
      <c r="H424" s="141" t="s">
        <v>1888</v>
      </c>
      <c r="I424" s="142" t="s">
        <v>542</v>
      </c>
      <c r="J424" s="142" t="s">
        <v>1879</v>
      </c>
      <c r="K424" s="142" t="s">
        <v>1885</v>
      </c>
    </row>
    <row r="425" spans="1:11" ht="15" customHeight="1" x14ac:dyDescent="0.25">
      <c r="A425" s="141" t="s">
        <v>1894</v>
      </c>
      <c r="B425" s="141">
        <v>428</v>
      </c>
      <c r="C425" s="141">
        <v>6</v>
      </c>
      <c r="D425" s="141">
        <v>6</v>
      </c>
      <c r="E425" s="141" t="s">
        <v>1878</v>
      </c>
      <c r="F425" s="141" t="s">
        <v>1878</v>
      </c>
      <c r="G425" s="141" t="s">
        <v>1893</v>
      </c>
      <c r="H425" s="141" t="s">
        <v>1893</v>
      </c>
      <c r="I425" s="142" t="s">
        <v>542</v>
      </c>
      <c r="J425" s="142" t="s">
        <v>1879</v>
      </c>
      <c r="K425" s="142" t="s">
        <v>1890</v>
      </c>
    </row>
    <row r="426" spans="1:11" ht="21.75" customHeight="1" x14ac:dyDescent="0.25">
      <c r="A426" s="141" t="s">
        <v>1899</v>
      </c>
      <c r="B426" s="141">
        <v>429</v>
      </c>
      <c r="C426" s="141">
        <v>6</v>
      </c>
      <c r="D426" s="141">
        <v>6</v>
      </c>
      <c r="E426" s="141" t="s">
        <v>1878</v>
      </c>
      <c r="F426" s="141" t="s">
        <v>1878</v>
      </c>
      <c r="G426" s="141" t="s">
        <v>1898</v>
      </c>
      <c r="H426" s="141" t="s">
        <v>1898</v>
      </c>
      <c r="I426" s="142" t="s">
        <v>542</v>
      </c>
      <c r="J426" s="142" t="s">
        <v>1879</v>
      </c>
      <c r="K426" s="142" t="s">
        <v>1895</v>
      </c>
    </row>
    <row r="427" spans="1:11" ht="21.75" customHeight="1" x14ac:dyDescent="0.25">
      <c r="A427" s="141" t="s">
        <v>1903</v>
      </c>
      <c r="B427" s="141">
        <v>430</v>
      </c>
      <c r="C427" s="141">
        <v>6</v>
      </c>
      <c r="D427" s="141">
        <v>6</v>
      </c>
      <c r="E427" s="141" t="s">
        <v>1878</v>
      </c>
      <c r="F427" s="141" t="s">
        <v>1878</v>
      </c>
      <c r="G427" s="141" t="s">
        <v>1902</v>
      </c>
      <c r="H427" s="141" t="s">
        <v>1902</v>
      </c>
      <c r="I427" s="142" t="s">
        <v>542</v>
      </c>
      <c r="J427" s="142" t="s">
        <v>1879</v>
      </c>
      <c r="K427" s="142" t="s">
        <v>1900</v>
      </c>
    </row>
    <row r="428" spans="1:11" ht="21.75" customHeight="1" x14ac:dyDescent="0.25">
      <c r="A428" s="141" t="s">
        <v>1906</v>
      </c>
      <c r="B428" s="141">
        <v>431</v>
      </c>
      <c r="C428" s="141">
        <v>6</v>
      </c>
      <c r="D428" s="141">
        <v>6</v>
      </c>
      <c r="E428" s="141" t="s">
        <v>1878</v>
      </c>
      <c r="F428" s="141" t="s">
        <v>1878</v>
      </c>
      <c r="G428" s="141" t="s">
        <v>1905</v>
      </c>
      <c r="H428" s="141" t="s">
        <v>1905</v>
      </c>
      <c r="I428" s="142" t="s">
        <v>542</v>
      </c>
      <c r="J428" s="142" t="s">
        <v>1879</v>
      </c>
      <c r="K428" s="142" t="s">
        <v>1900</v>
      </c>
    </row>
    <row r="429" spans="1:11" ht="21.75" customHeight="1" x14ac:dyDescent="0.25">
      <c r="A429" s="141" t="s">
        <v>1909</v>
      </c>
      <c r="B429" s="141">
        <v>432</v>
      </c>
      <c r="C429" s="141">
        <v>6</v>
      </c>
      <c r="D429" s="141">
        <v>6</v>
      </c>
      <c r="E429" s="141" t="s">
        <v>1878</v>
      </c>
      <c r="F429" s="141" t="s">
        <v>1878</v>
      </c>
      <c r="G429" s="141" t="s">
        <v>1908</v>
      </c>
      <c r="H429" s="141" t="s">
        <v>1908</v>
      </c>
      <c r="I429" s="142" t="s">
        <v>542</v>
      </c>
      <c r="J429" s="142" t="s">
        <v>1879</v>
      </c>
      <c r="K429" s="142" t="s">
        <v>1900</v>
      </c>
    </row>
    <row r="430" spans="1:11" ht="21.75" customHeight="1" x14ac:dyDescent="0.25">
      <c r="A430" s="141" t="s">
        <v>1912</v>
      </c>
      <c r="B430" s="141">
        <v>433</v>
      </c>
      <c r="C430" s="141">
        <v>6</v>
      </c>
      <c r="D430" s="141">
        <v>6</v>
      </c>
      <c r="E430" s="141" t="s">
        <v>1878</v>
      </c>
      <c r="F430" s="141" t="s">
        <v>1878</v>
      </c>
      <c r="G430" s="141" t="s">
        <v>1911</v>
      </c>
      <c r="H430" s="141" t="s">
        <v>1911</v>
      </c>
      <c r="I430" s="142" t="s">
        <v>542</v>
      </c>
      <c r="J430" s="142" t="s">
        <v>1879</v>
      </c>
      <c r="K430" s="142" t="s">
        <v>1900</v>
      </c>
    </row>
    <row r="431" spans="1:11" ht="21.75" customHeight="1" x14ac:dyDescent="0.25">
      <c r="A431" s="141" t="s">
        <v>1915</v>
      </c>
      <c r="B431" s="141">
        <v>434</v>
      </c>
      <c r="C431" s="141">
        <v>6</v>
      </c>
      <c r="D431" s="141">
        <v>6</v>
      </c>
      <c r="E431" s="141" t="s">
        <v>1878</v>
      </c>
      <c r="F431" s="141" t="s">
        <v>1878</v>
      </c>
      <c r="G431" s="141" t="s">
        <v>1914</v>
      </c>
      <c r="H431" s="141" t="s">
        <v>1914</v>
      </c>
      <c r="I431" s="142" t="s">
        <v>542</v>
      </c>
      <c r="J431" s="142" t="s">
        <v>1879</v>
      </c>
      <c r="K431" s="142" t="s">
        <v>1900</v>
      </c>
    </row>
    <row r="432" spans="1:11" ht="21.75" customHeight="1" x14ac:dyDescent="0.25">
      <c r="A432" s="141" t="s">
        <v>1919</v>
      </c>
      <c r="B432" s="141">
        <v>435</v>
      </c>
      <c r="C432" s="141">
        <v>6</v>
      </c>
      <c r="D432" s="141">
        <v>6</v>
      </c>
      <c r="E432" s="141" t="s">
        <v>1878</v>
      </c>
      <c r="F432" s="141" t="s">
        <v>1878</v>
      </c>
      <c r="G432" s="141" t="s">
        <v>1918</v>
      </c>
      <c r="H432" s="141" t="s">
        <v>1918</v>
      </c>
      <c r="I432" s="142" t="s">
        <v>542</v>
      </c>
      <c r="J432" s="142" t="s">
        <v>1879</v>
      </c>
      <c r="K432" s="142" t="s">
        <v>1916</v>
      </c>
    </row>
    <row r="433" spans="1:11" ht="21.75" customHeight="1" x14ac:dyDescent="0.25">
      <c r="A433" s="141" t="s">
        <v>1922</v>
      </c>
      <c r="B433" s="141">
        <v>436</v>
      </c>
      <c r="C433" s="141">
        <v>6</v>
      </c>
      <c r="D433" s="141">
        <v>6</v>
      </c>
      <c r="E433" s="141" t="s">
        <v>1878</v>
      </c>
      <c r="F433" s="141" t="s">
        <v>1878</v>
      </c>
      <c r="G433" s="141" t="s">
        <v>1921</v>
      </c>
      <c r="H433" s="141" t="s">
        <v>1921</v>
      </c>
      <c r="I433" s="142" t="s">
        <v>542</v>
      </c>
      <c r="J433" s="142" t="s">
        <v>1879</v>
      </c>
      <c r="K433" s="142" t="s">
        <v>1916</v>
      </c>
    </row>
    <row r="434" spans="1:11" ht="21.75" customHeight="1" x14ac:dyDescent="0.25">
      <c r="A434" s="141" t="s">
        <v>1925</v>
      </c>
      <c r="B434" s="141">
        <v>437</v>
      </c>
      <c r="C434" s="141">
        <v>6</v>
      </c>
      <c r="D434" s="141">
        <v>6</v>
      </c>
      <c r="E434" s="141" t="s">
        <v>1878</v>
      </c>
      <c r="F434" s="141" t="s">
        <v>1878</v>
      </c>
      <c r="G434" s="141" t="s">
        <v>1924</v>
      </c>
      <c r="H434" s="141" t="s">
        <v>1924</v>
      </c>
      <c r="I434" s="142" t="s">
        <v>542</v>
      </c>
      <c r="J434" s="142" t="s">
        <v>1879</v>
      </c>
      <c r="K434" s="142" t="s">
        <v>1916</v>
      </c>
    </row>
    <row r="435" spans="1:11" ht="21.75" customHeight="1" x14ac:dyDescent="0.25">
      <c r="A435" s="141" t="s">
        <v>1928</v>
      </c>
      <c r="B435" s="141">
        <v>438</v>
      </c>
      <c r="C435" s="141">
        <v>6</v>
      </c>
      <c r="D435" s="141">
        <v>6</v>
      </c>
      <c r="E435" s="141" t="s">
        <v>1878</v>
      </c>
      <c r="F435" s="141" t="s">
        <v>1878</v>
      </c>
      <c r="G435" s="141" t="s">
        <v>1927</v>
      </c>
      <c r="H435" s="141" t="s">
        <v>1927</v>
      </c>
      <c r="I435" s="142" t="s">
        <v>542</v>
      </c>
      <c r="J435" s="142" t="s">
        <v>1879</v>
      </c>
      <c r="K435" s="142" t="s">
        <v>1916</v>
      </c>
    </row>
    <row r="436" spans="1:11" ht="21.75" customHeight="1" x14ac:dyDescent="0.25">
      <c r="A436" s="141" t="s">
        <v>1931</v>
      </c>
      <c r="B436" s="141">
        <v>439</v>
      </c>
      <c r="C436" s="141">
        <v>6</v>
      </c>
      <c r="D436" s="141">
        <v>6</v>
      </c>
      <c r="E436" s="141" t="s">
        <v>1878</v>
      </c>
      <c r="F436" s="141" t="s">
        <v>1878</v>
      </c>
      <c r="G436" s="141" t="s">
        <v>1930</v>
      </c>
      <c r="H436" s="141" t="s">
        <v>1930</v>
      </c>
      <c r="I436" s="142" t="s">
        <v>542</v>
      </c>
      <c r="J436" s="142" t="s">
        <v>1879</v>
      </c>
      <c r="K436" s="142" t="s">
        <v>1916</v>
      </c>
    </row>
    <row r="437" spans="1:11" ht="21.75" customHeight="1" x14ac:dyDescent="0.25">
      <c r="A437" s="141" t="s">
        <v>1935</v>
      </c>
      <c r="B437" s="141">
        <v>440</v>
      </c>
      <c r="C437" s="141">
        <v>6</v>
      </c>
      <c r="D437" s="141">
        <v>6</v>
      </c>
      <c r="E437" s="141" t="s">
        <v>1878</v>
      </c>
      <c r="F437" s="141" t="s">
        <v>1878</v>
      </c>
      <c r="G437" s="141" t="s">
        <v>1934</v>
      </c>
      <c r="H437" s="141" t="s">
        <v>1934</v>
      </c>
      <c r="I437" s="142" t="s">
        <v>542</v>
      </c>
      <c r="J437" s="142" t="s">
        <v>1879</v>
      </c>
      <c r="K437" s="142" t="s">
        <v>1932</v>
      </c>
    </row>
    <row r="438" spans="1:11" ht="21.75" customHeight="1" x14ac:dyDescent="0.25">
      <c r="A438" s="141" t="s">
        <v>1938</v>
      </c>
      <c r="B438" s="141">
        <v>441</v>
      </c>
      <c r="C438" s="141">
        <v>6</v>
      </c>
      <c r="D438" s="141">
        <v>6</v>
      </c>
      <c r="E438" s="141" t="s">
        <v>1878</v>
      </c>
      <c r="F438" s="141" t="s">
        <v>1878</v>
      </c>
      <c r="G438" s="141" t="s">
        <v>1937</v>
      </c>
      <c r="H438" s="141" t="s">
        <v>1937</v>
      </c>
      <c r="I438" s="142" t="s">
        <v>542</v>
      </c>
      <c r="J438" s="142" t="s">
        <v>1879</v>
      </c>
      <c r="K438" s="142" t="s">
        <v>1932</v>
      </c>
    </row>
    <row r="439" spans="1:11" ht="21.75" customHeight="1" x14ac:dyDescent="0.25">
      <c r="A439" s="141" t="s">
        <v>1941</v>
      </c>
      <c r="B439" s="141">
        <v>442</v>
      </c>
      <c r="C439" s="141">
        <v>6</v>
      </c>
      <c r="D439" s="141">
        <v>6</v>
      </c>
      <c r="E439" s="141" t="s">
        <v>1878</v>
      </c>
      <c r="F439" s="141" t="s">
        <v>1878</v>
      </c>
      <c r="G439" s="141" t="s">
        <v>1940</v>
      </c>
      <c r="H439" s="141" t="s">
        <v>1940</v>
      </c>
      <c r="I439" s="142" t="s">
        <v>542</v>
      </c>
      <c r="J439" s="142" t="s">
        <v>1879</v>
      </c>
      <c r="K439" s="142" t="s">
        <v>1932</v>
      </c>
    </row>
    <row r="440" spans="1:11" ht="21.75" customHeight="1" x14ac:dyDescent="0.25">
      <c r="A440" s="141" t="s">
        <v>1944</v>
      </c>
      <c r="B440" s="141">
        <v>443</v>
      </c>
      <c r="C440" s="141">
        <v>6</v>
      </c>
      <c r="D440" s="141">
        <v>6</v>
      </c>
      <c r="E440" s="141" t="s">
        <v>1878</v>
      </c>
      <c r="F440" s="141" t="s">
        <v>1878</v>
      </c>
      <c r="G440" s="141" t="s">
        <v>1943</v>
      </c>
      <c r="H440" s="141" t="s">
        <v>1943</v>
      </c>
      <c r="I440" s="142" t="s">
        <v>542</v>
      </c>
      <c r="J440" s="142" t="s">
        <v>1879</v>
      </c>
      <c r="K440" s="142" t="s">
        <v>1932</v>
      </c>
    </row>
    <row r="441" spans="1:11" ht="21.75" customHeight="1" x14ac:dyDescent="0.25">
      <c r="A441" s="141" t="s">
        <v>1947</v>
      </c>
      <c r="B441" s="141">
        <v>444</v>
      </c>
      <c r="C441" s="141">
        <v>6</v>
      </c>
      <c r="D441" s="141">
        <v>6</v>
      </c>
      <c r="E441" s="141" t="s">
        <v>1878</v>
      </c>
      <c r="F441" s="141" t="s">
        <v>1878</v>
      </c>
      <c r="G441" s="141" t="s">
        <v>1946</v>
      </c>
      <c r="H441" s="141" t="s">
        <v>1946</v>
      </c>
      <c r="I441" s="142" t="s">
        <v>542</v>
      </c>
      <c r="J441" s="142" t="s">
        <v>1879</v>
      </c>
      <c r="K441" s="142" t="s">
        <v>1932</v>
      </c>
    </row>
    <row r="442" spans="1:11" ht="21.75" customHeight="1" x14ac:dyDescent="0.25">
      <c r="A442" s="141" t="s">
        <v>1951</v>
      </c>
      <c r="B442" s="141">
        <v>445</v>
      </c>
      <c r="C442" s="141">
        <v>6</v>
      </c>
      <c r="D442" s="141">
        <v>6</v>
      </c>
      <c r="E442" s="141" t="s">
        <v>1878</v>
      </c>
      <c r="F442" s="141" t="s">
        <v>1878</v>
      </c>
      <c r="G442" s="141" t="s">
        <v>1950</v>
      </c>
      <c r="H442" s="141" t="s">
        <v>1950</v>
      </c>
      <c r="I442" s="142" t="s">
        <v>542</v>
      </c>
      <c r="J442" s="142" t="s">
        <v>1879</v>
      </c>
      <c r="K442" s="142" t="s">
        <v>1948</v>
      </c>
    </row>
    <row r="443" spans="1:11" ht="21.75" customHeight="1" x14ac:dyDescent="0.25">
      <c r="A443" s="141" t="s">
        <v>1954</v>
      </c>
      <c r="B443" s="141">
        <v>446</v>
      </c>
      <c r="C443" s="141">
        <v>6</v>
      </c>
      <c r="D443" s="141">
        <v>6</v>
      </c>
      <c r="E443" s="141" t="s">
        <v>1878</v>
      </c>
      <c r="F443" s="141" t="s">
        <v>1878</v>
      </c>
      <c r="G443" s="141" t="s">
        <v>1953</v>
      </c>
      <c r="H443" s="141" t="s">
        <v>1953</v>
      </c>
      <c r="I443" s="142" t="s">
        <v>542</v>
      </c>
      <c r="J443" s="142" t="s">
        <v>1879</v>
      </c>
      <c r="K443" s="142" t="s">
        <v>1948</v>
      </c>
    </row>
    <row r="444" spans="1:11" ht="21.75" customHeight="1" x14ac:dyDescent="0.25">
      <c r="A444" s="141" t="s">
        <v>1957</v>
      </c>
      <c r="B444" s="141">
        <v>447</v>
      </c>
      <c r="C444" s="141">
        <v>6</v>
      </c>
      <c r="D444" s="141">
        <v>6</v>
      </c>
      <c r="E444" s="141" t="s">
        <v>1878</v>
      </c>
      <c r="F444" s="141" t="s">
        <v>1878</v>
      </c>
      <c r="G444" s="141" t="s">
        <v>1956</v>
      </c>
      <c r="H444" s="141" t="s">
        <v>1956</v>
      </c>
      <c r="I444" s="142" t="s">
        <v>542</v>
      </c>
      <c r="J444" s="142" t="s">
        <v>1879</v>
      </c>
      <c r="K444" s="142" t="s">
        <v>1948</v>
      </c>
    </row>
    <row r="445" spans="1:11" ht="21.75" customHeight="1" x14ac:dyDescent="0.25">
      <c r="A445" s="141" t="s">
        <v>1960</v>
      </c>
      <c r="B445" s="141">
        <v>448</v>
      </c>
      <c r="C445" s="141">
        <v>6</v>
      </c>
      <c r="D445" s="141">
        <v>6</v>
      </c>
      <c r="E445" s="141" t="s">
        <v>1878</v>
      </c>
      <c r="F445" s="141" t="s">
        <v>1878</v>
      </c>
      <c r="G445" s="141" t="s">
        <v>1959</v>
      </c>
      <c r="H445" s="141" t="s">
        <v>1959</v>
      </c>
      <c r="I445" s="142" t="s">
        <v>542</v>
      </c>
      <c r="J445" s="142" t="s">
        <v>1879</v>
      </c>
      <c r="K445" s="142" t="s">
        <v>1948</v>
      </c>
    </row>
    <row r="446" spans="1:11" ht="21.75" customHeight="1" x14ac:dyDescent="0.25">
      <c r="A446" s="141" t="s">
        <v>1963</v>
      </c>
      <c r="B446" s="141">
        <v>449</v>
      </c>
      <c r="C446" s="141">
        <v>6</v>
      </c>
      <c r="D446" s="141">
        <v>6</v>
      </c>
      <c r="E446" s="141" t="s">
        <v>1878</v>
      </c>
      <c r="F446" s="141" t="s">
        <v>1878</v>
      </c>
      <c r="G446" s="141" t="s">
        <v>1962</v>
      </c>
      <c r="H446" s="141" t="s">
        <v>1962</v>
      </c>
      <c r="I446" s="142" t="s">
        <v>542</v>
      </c>
      <c r="J446" s="142" t="s">
        <v>1879</v>
      </c>
      <c r="K446" s="142" t="s">
        <v>1948</v>
      </c>
    </row>
    <row r="447" spans="1:11" ht="15" customHeight="1" x14ac:dyDescent="0.25">
      <c r="A447" s="141" t="s">
        <v>1967</v>
      </c>
      <c r="B447" s="141">
        <v>450</v>
      </c>
      <c r="C447" s="141">
        <v>6</v>
      </c>
      <c r="D447" s="141">
        <v>6</v>
      </c>
      <c r="E447" s="141" t="s">
        <v>1878</v>
      </c>
      <c r="F447" s="141" t="s">
        <v>1878</v>
      </c>
      <c r="G447" s="141" t="s">
        <v>1966</v>
      </c>
      <c r="H447" s="141" t="s">
        <v>1966</v>
      </c>
      <c r="I447" s="142" t="s">
        <v>542</v>
      </c>
      <c r="J447" s="142" t="s">
        <v>1879</v>
      </c>
      <c r="K447" s="142" t="s">
        <v>1964</v>
      </c>
    </row>
    <row r="448" spans="1:11" ht="15" customHeight="1" x14ac:dyDescent="0.25">
      <c r="A448" s="141" t="s">
        <v>1970</v>
      </c>
      <c r="B448" s="141">
        <v>451</v>
      </c>
      <c r="C448" s="141">
        <v>6</v>
      </c>
      <c r="D448" s="141">
        <v>6</v>
      </c>
      <c r="E448" s="141" t="s">
        <v>1878</v>
      </c>
      <c r="F448" s="141" t="s">
        <v>1878</v>
      </c>
      <c r="G448" s="141" t="s">
        <v>1969</v>
      </c>
      <c r="H448" s="141" t="s">
        <v>1969</v>
      </c>
      <c r="I448" s="142" t="s">
        <v>542</v>
      </c>
      <c r="J448" s="142" t="s">
        <v>1879</v>
      </c>
      <c r="K448" s="142" t="s">
        <v>1964</v>
      </c>
    </row>
    <row r="449" spans="1:11" ht="15" customHeight="1" x14ac:dyDescent="0.25">
      <c r="A449" s="141" t="s">
        <v>1973</v>
      </c>
      <c r="B449" s="141">
        <v>452</v>
      </c>
      <c r="C449" s="141">
        <v>6</v>
      </c>
      <c r="D449" s="141">
        <v>6</v>
      </c>
      <c r="E449" s="141" t="s">
        <v>1878</v>
      </c>
      <c r="F449" s="141" t="s">
        <v>1878</v>
      </c>
      <c r="G449" s="141" t="s">
        <v>1972</v>
      </c>
      <c r="H449" s="141" t="s">
        <v>1972</v>
      </c>
      <c r="I449" s="142" t="s">
        <v>542</v>
      </c>
      <c r="J449" s="142" t="s">
        <v>1879</v>
      </c>
      <c r="K449" s="142" t="s">
        <v>1964</v>
      </c>
    </row>
    <row r="450" spans="1:11" ht="15" customHeight="1" x14ac:dyDescent="0.25">
      <c r="A450" s="141" t="s">
        <v>1976</v>
      </c>
      <c r="B450" s="141">
        <v>453</v>
      </c>
      <c r="C450" s="141">
        <v>6</v>
      </c>
      <c r="D450" s="141">
        <v>6</v>
      </c>
      <c r="E450" s="141" t="s">
        <v>1878</v>
      </c>
      <c r="F450" s="141" t="s">
        <v>1878</v>
      </c>
      <c r="G450" s="141" t="s">
        <v>1975</v>
      </c>
      <c r="H450" s="141" t="s">
        <v>1975</v>
      </c>
      <c r="I450" s="142" t="s">
        <v>542</v>
      </c>
      <c r="J450" s="142" t="s">
        <v>1879</v>
      </c>
      <c r="K450" s="142" t="s">
        <v>1964</v>
      </c>
    </row>
    <row r="451" spans="1:11" ht="15" customHeight="1" x14ac:dyDescent="0.25">
      <c r="A451" s="141" t="s">
        <v>1980</v>
      </c>
      <c r="B451" s="141">
        <v>454</v>
      </c>
      <c r="C451" s="141">
        <v>6</v>
      </c>
      <c r="D451" s="141">
        <v>6</v>
      </c>
      <c r="E451" s="141" t="s">
        <v>1878</v>
      </c>
      <c r="F451" s="141" t="s">
        <v>1878</v>
      </c>
      <c r="G451" s="141" t="s">
        <v>1979</v>
      </c>
      <c r="H451" s="141" t="s">
        <v>1979</v>
      </c>
      <c r="I451" s="142" t="s">
        <v>542</v>
      </c>
      <c r="J451" s="142" t="s">
        <v>1879</v>
      </c>
      <c r="K451" s="142" t="s">
        <v>1977</v>
      </c>
    </row>
    <row r="452" spans="1:11" ht="15" customHeight="1" x14ac:dyDescent="0.25">
      <c r="A452" s="141" t="s">
        <v>1983</v>
      </c>
      <c r="B452" s="141">
        <v>455</v>
      </c>
      <c r="C452" s="141">
        <v>6</v>
      </c>
      <c r="D452" s="141">
        <v>6</v>
      </c>
      <c r="E452" s="141" t="s">
        <v>1878</v>
      </c>
      <c r="F452" s="141" t="s">
        <v>1878</v>
      </c>
      <c r="G452" s="141" t="s">
        <v>1982</v>
      </c>
      <c r="H452" s="141" t="s">
        <v>1982</v>
      </c>
      <c r="I452" s="142" t="s">
        <v>542</v>
      </c>
      <c r="J452" s="142" t="s">
        <v>1879</v>
      </c>
      <c r="K452" s="142" t="s">
        <v>1977</v>
      </c>
    </row>
    <row r="453" spans="1:11" ht="15" customHeight="1" x14ac:dyDescent="0.25">
      <c r="A453" s="141" t="s">
        <v>1986</v>
      </c>
      <c r="B453" s="141">
        <v>456</v>
      </c>
      <c r="C453" s="141">
        <v>6</v>
      </c>
      <c r="D453" s="141">
        <v>6</v>
      </c>
      <c r="E453" s="141" t="s">
        <v>1878</v>
      </c>
      <c r="F453" s="141" t="s">
        <v>1878</v>
      </c>
      <c r="G453" s="141" t="s">
        <v>1985</v>
      </c>
      <c r="H453" s="141" t="s">
        <v>1985</v>
      </c>
      <c r="I453" s="142" t="s">
        <v>542</v>
      </c>
      <c r="J453" s="142" t="s">
        <v>1879</v>
      </c>
      <c r="K453" s="142" t="s">
        <v>1977</v>
      </c>
    </row>
    <row r="454" spans="1:11" ht="15" customHeight="1" x14ac:dyDescent="0.25">
      <c r="A454" s="141" t="s">
        <v>1989</v>
      </c>
      <c r="B454" s="141">
        <v>457</v>
      </c>
      <c r="C454" s="141">
        <v>6</v>
      </c>
      <c r="D454" s="141">
        <v>6</v>
      </c>
      <c r="E454" s="141" t="s">
        <v>1878</v>
      </c>
      <c r="F454" s="141" t="s">
        <v>1878</v>
      </c>
      <c r="G454" s="141" t="s">
        <v>1988</v>
      </c>
      <c r="H454" s="141" t="s">
        <v>1988</v>
      </c>
      <c r="I454" s="142" t="s">
        <v>542</v>
      </c>
      <c r="J454" s="142" t="s">
        <v>1879</v>
      </c>
      <c r="K454" s="142" t="s">
        <v>1977</v>
      </c>
    </row>
    <row r="455" spans="1:11" ht="15" customHeight="1" x14ac:dyDescent="0.25">
      <c r="A455" s="141" t="s">
        <v>1993</v>
      </c>
      <c r="B455" s="141">
        <v>458</v>
      </c>
      <c r="C455" s="141">
        <v>6</v>
      </c>
      <c r="D455" s="141">
        <v>6</v>
      </c>
      <c r="E455" s="141" t="s">
        <v>1878</v>
      </c>
      <c r="F455" s="141" t="s">
        <v>1878</v>
      </c>
      <c r="G455" s="141" t="s">
        <v>1992</v>
      </c>
      <c r="H455" s="141" t="s">
        <v>1992</v>
      </c>
      <c r="I455" s="142" t="s">
        <v>542</v>
      </c>
      <c r="J455" s="142" t="s">
        <v>1879</v>
      </c>
      <c r="K455" s="142" t="s">
        <v>1990</v>
      </c>
    </row>
    <row r="456" spans="1:11" ht="15" customHeight="1" x14ac:dyDescent="0.25">
      <c r="A456" s="141" t="s">
        <v>1996</v>
      </c>
      <c r="B456" s="141">
        <v>459</v>
      </c>
      <c r="C456" s="141">
        <v>6</v>
      </c>
      <c r="D456" s="141">
        <v>6</v>
      </c>
      <c r="E456" s="141" t="s">
        <v>1878</v>
      </c>
      <c r="F456" s="141" t="s">
        <v>1878</v>
      </c>
      <c r="G456" s="141" t="s">
        <v>1995</v>
      </c>
      <c r="H456" s="141" t="s">
        <v>1995</v>
      </c>
      <c r="I456" s="142" t="s">
        <v>542</v>
      </c>
      <c r="J456" s="142" t="s">
        <v>1879</v>
      </c>
      <c r="K456" s="142" t="s">
        <v>1990</v>
      </c>
    </row>
    <row r="457" spans="1:11" ht="15" customHeight="1" x14ac:dyDescent="0.25">
      <c r="A457" s="141" t="s">
        <v>1999</v>
      </c>
      <c r="B457" s="141">
        <v>460</v>
      </c>
      <c r="C457" s="141">
        <v>6</v>
      </c>
      <c r="D457" s="141">
        <v>6</v>
      </c>
      <c r="E457" s="141" t="s">
        <v>1878</v>
      </c>
      <c r="F457" s="141" t="s">
        <v>1878</v>
      </c>
      <c r="G457" s="141" t="s">
        <v>1998</v>
      </c>
      <c r="H457" s="141" t="s">
        <v>1998</v>
      </c>
      <c r="I457" s="142" t="s">
        <v>542</v>
      </c>
      <c r="J457" s="142" t="s">
        <v>1879</v>
      </c>
      <c r="K457" s="142" t="s">
        <v>1990</v>
      </c>
    </row>
    <row r="458" spans="1:11" ht="15" customHeight="1" x14ac:dyDescent="0.25">
      <c r="A458" s="141" t="s">
        <v>2003</v>
      </c>
      <c r="B458" s="141">
        <v>461</v>
      </c>
      <c r="C458" s="141">
        <v>6</v>
      </c>
      <c r="D458" s="141">
        <v>6</v>
      </c>
      <c r="E458" s="141" t="s">
        <v>1878</v>
      </c>
      <c r="F458" s="141" t="s">
        <v>1878</v>
      </c>
      <c r="G458" s="141" t="s">
        <v>2002</v>
      </c>
      <c r="H458" s="141" t="s">
        <v>2002</v>
      </c>
      <c r="I458" s="142" t="s">
        <v>542</v>
      </c>
      <c r="J458" s="142" t="s">
        <v>1879</v>
      </c>
      <c r="K458" s="142" t="s">
        <v>2000</v>
      </c>
    </row>
    <row r="459" spans="1:11" ht="15" customHeight="1" x14ac:dyDescent="0.25">
      <c r="A459" s="141" t="s">
        <v>2006</v>
      </c>
      <c r="B459" s="141">
        <v>462</v>
      </c>
      <c r="C459" s="141">
        <v>6</v>
      </c>
      <c r="D459" s="141">
        <v>6</v>
      </c>
      <c r="E459" s="141" t="s">
        <v>1878</v>
      </c>
      <c r="F459" s="141" t="s">
        <v>1878</v>
      </c>
      <c r="G459" s="141" t="s">
        <v>2005</v>
      </c>
      <c r="H459" s="141" t="s">
        <v>2005</v>
      </c>
      <c r="I459" s="142" t="s">
        <v>542</v>
      </c>
      <c r="J459" s="142" t="s">
        <v>1879</v>
      </c>
      <c r="K459" s="142" t="s">
        <v>2000</v>
      </c>
    </row>
    <row r="460" spans="1:11" ht="15" customHeight="1" x14ac:dyDescent="0.25">
      <c r="A460" s="141" t="s">
        <v>2009</v>
      </c>
      <c r="B460" s="141">
        <v>463</v>
      </c>
      <c r="C460" s="141">
        <v>6</v>
      </c>
      <c r="D460" s="141">
        <v>6</v>
      </c>
      <c r="E460" s="141" t="s">
        <v>1878</v>
      </c>
      <c r="F460" s="141" t="s">
        <v>1878</v>
      </c>
      <c r="G460" s="141" t="s">
        <v>2008</v>
      </c>
      <c r="H460" s="141" t="s">
        <v>2008</v>
      </c>
      <c r="I460" s="142" t="s">
        <v>542</v>
      </c>
      <c r="J460" s="142" t="s">
        <v>1879</v>
      </c>
      <c r="K460" s="142" t="s">
        <v>2000</v>
      </c>
    </row>
    <row r="461" spans="1:11" ht="15" customHeight="1" x14ac:dyDescent="0.25">
      <c r="A461" s="141" t="s">
        <v>2013</v>
      </c>
      <c r="B461" s="141">
        <v>464</v>
      </c>
      <c r="C461" s="141">
        <v>6</v>
      </c>
      <c r="D461" s="141">
        <v>6</v>
      </c>
      <c r="E461" s="141" t="s">
        <v>1878</v>
      </c>
      <c r="F461" s="141" t="s">
        <v>1878</v>
      </c>
      <c r="G461" s="141" t="s">
        <v>2012</v>
      </c>
      <c r="H461" s="141" t="s">
        <v>2012</v>
      </c>
      <c r="I461" s="142" t="s">
        <v>542</v>
      </c>
      <c r="J461" s="142" t="s">
        <v>1879</v>
      </c>
      <c r="K461" s="142" t="s">
        <v>2010</v>
      </c>
    </row>
    <row r="462" spans="1:11" ht="15" customHeight="1" x14ac:dyDescent="0.25">
      <c r="A462" s="141" t="s">
        <v>2016</v>
      </c>
      <c r="B462" s="141">
        <v>465</v>
      </c>
      <c r="C462" s="141">
        <v>6</v>
      </c>
      <c r="D462" s="141">
        <v>6</v>
      </c>
      <c r="E462" s="141" t="s">
        <v>1878</v>
      </c>
      <c r="F462" s="141" t="s">
        <v>1878</v>
      </c>
      <c r="G462" s="141" t="s">
        <v>2015</v>
      </c>
      <c r="H462" s="141" t="s">
        <v>2015</v>
      </c>
      <c r="I462" s="142" t="s">
        <v>542</v>
      </c>
      <c r="J462" s="142" t="s">
        <v>1879</v>
      </c>
      <c r="K462" s="142" t="s">
        <v>2010</v>
      </c>
    </row>
    <row r="463" spans="1:11" ht="15" customHeight="1" x14ac:dyDescent="0.25">
      <c r="A463" s="141" t="s">
        <v>2019</v>
      </c>
      <c r="B463" s="141">
        <v>466</v>
      </c>
      <c r="C463" s="141">
        <v>6</v>
      </c>
      <c r="D463" s="141">
        <v>6</v>
      </c>
      <c r="E463" s="141" t="s">
        <v>1878</v>
      </c>
      <c r="F463" s="141" t="s">
        <v>1878</v>
      </c>
      <c r="G463" s="141" t="s">
        <v>2018</v>
      </c>
      <c r="H463" s="141" t="s">
        <v>2018</v>
      </c>
      <c r="I463" s="142" t="s">
        <v>542</v>
      </c>
      <c r="J463" s="142" t="s">
        <v>1879</v>
      </c>
      <c r="K463" s="142" t="s">
        <v>2010</v>
      </c>
    </row>
    <row r="464" spans="1:11" ht="15" customHeight="1" x14ac:dyDescent="0.25">
      <c r="A464" s="141" t="s">
        <v>2022</v>
      </c>
      <c r="B464" s="141">
        <v>467</v>
      </c>
      <c r="C464" s="141">
        <v>6</v>
      </c>
      <c r="D464" s="141">
        <v>6</v>
      </c>
      <c r="E464" s="141" t="s">
        <v>1878</v>
      </c>
      <c r="F464" s="141" t="s">
        <v>1878</v>
      </c>
      <c r="G464" s="141" t="s">
        <v>2021</v>
      </c>
      <c r="H464" s="141" t="s">
        <v>2021</v>
      </c>
      <c r="I464" s="142" t="s">
        <v>542</v>
      </c>
      <c r="J464" s="142" t="s">
        <v>1879</v>
      </c>
      <c r="K464" s="142" t="s">
        <v>2010</v>
      </c>
    </row>
    <row r="465" spans="1:11" ht="15" customHeight="1" x14ac:dyDescent="0.25">
      <c r="A465" s="141" t="s">
        <v>2028</v>
      </c>
      <c r="B465" s="141">
        <v>468</v>
      </c>
      <c r="C465" s="141">
        <v>6</v>
      </c>
      <c r="D465" s="141">
        <v>6</v>
      </c>
      <c r="E465" s="141" t="s">
        <v>2023</v>
      </c>
      <c r="F465" s="141" t="s">
        <v>2023</v>
      </c>
      <c r="G465" s="141" t="s">
        <v>2027</v>
      </c>
      <c r="H465" s="141" t="s">
        <v>2027</v>
      </c>
      <c r="I465" s="142" t="s">
        <v>542</v>
      </c>
      <c r="J465" s="142" t="s">
        <v>2024</v>
      </c>
      <c r="K465" s="142" t="s">
        <v>2025</v>
      </c>
    </row>
    <row r="466" spans="1:11" ht="15" customHeight="1" x14ac:dyDescent="0.25">
      <c r="A466" s="141" t="s">
        <v>2032</v>
      </c>
      <c r="B466" s="141">
        <v>469</v>
      </c>
      <c r="C466" s="141">
        <v>6</v>
      </c>
      <c r="D466" s="141">
        <v>6</v>
      </c>
      <c r="E466" s="141" t="s">
        <v>2023</v>
      </c>
      <c r="F466" s="141" t="s">
        <v>2023</v>
      </c>
      <c r="G466" s="141" t="s">
        <v>2031</v>
      </c>
      <c r="H466" s="141" t="s">
        <v>2031</v>
      </c>
      <c r="I466" s="142" t="s">
        <v>542</v>
      </c>
      <c r="J466" s="142" t="s">
        <v>2024</v>
      </c>
      <c r="K466" s="142" t="s">
        <v>2029</v>
      </c>
    </row>
    <row r="467" spans="1:11" ht="21.75" customHeight="1" x14ac:dyDescent="0.25">
      <c r="A467" s="141" t="s">
        <v>2036</v>
      </c>
      <c r="B467" s="141">
        <v>470</v>
      </c>
      <c r="C467" s="141">
        <v>6</v>
      </c>
      <c r="D467" s="141">
        <v>6</v>
      </c>
      <c r="E467" s="141" t="s">
        <v>2023</v>
      </c>
      <c r="F467" s="141" t="s">
        <v>2023</v>
      </c>
      <c r="G467" s="141" t="s">
        <v>2035</v>
      </c>
      <c r="H467" s="141" t="s">
        <v>2035</v>
      </c>
      <c r="I467" s="142" t="s">
        <v>542</v>
      </c>
      <c r="J467" s="142" t="s">
        <v>2024</v>
      </c>
      <c r="K467" s="142" t="s">
        <v>2033</v>
      </c>
    </row>
    <row r="468" spans="1:11" ht="21.75" customHeight="1" x14ac:dyDescent="0.25">
      <c r="A468" s="141" t="s">
        <v>2040</v>
      </c>
      <c r="B468" s="141">
        <v>471</v>
      </c>
      <c r="C468" s="141">
        <v>6</v>
      </c>
      <c r="D468" s="141">
        <v>6</v>
      </c>
      <c r="E468" s="141" t="s">
        <v>2023</v>
      </c>
      <c r="F468" s="141" t="s">
        <v>2023</v>
      </c>
      <c r="G468" s="141" t="s">
        <v>2039</v>
      </c>
      <c r="H468" s="141" t="s">
        <v>2039</v>
      </c>
      <c r="I468" s="142" t="s">
        <v>542</v>
      </c>
      <c r="J468" s="142" t="s">
        <v>2024</v>
      </c>
      <c r="K468" s="142" t="s">
        <v>2037</v>
      </c>
    </row>
    <row r="469" spans="1:11" ht="15" customHeight="1" x14ac:dyDescent="0.25">
      <c r="A469" s="141" t="s">
        <v>2047</v>
      </c>
      <c r="B469" s="141">
        <v>472</v>
      </c>
      <c r="C469" s="141">
        <v>6</v>
      </c>
      <c r="D469" s="141">
        <v>6</v>
      </c>
      <c r="E469" s="141" t="s">
        <v>2041</v>
      </c>
      <c r="F469" s="141" t="s">
        <v>2041</v>
      </c>
      <c r="G469" s="141" t="s">
        <v>2046</v>
      </c>
      <c r="H469" s="141" t="s">
        <v>2046</v>
      </c>
      <c r="I469" s="142" t="s">
        <v>542</v>
      </c>
      <c r="J469" s="142" t="s">
        <v>2042</v>
      </c>
      <c r="K469" s="142" t="s">
        <v>2043</v>
      </c>
    </row>
    <row r="470" spans="1:11" ht="15" customHeight="1" x14ac:dyDescent="0.25">
      <c r="A470" s="141" t="s">
        <v>2052</v>
      </c>
      <c r="B470" s="141">
        <v>473</v>
      </c>
      <c r="C470" s="141">
        <v>6</v>
      </c>
      <c r="D470" s="141">
        <v>6</v>
      </c>
      <c r="E470" s="141" t="s">
        <v>2041</v>
      </c>
      <c r="F470" s="141" t="s">
        <v>2041</v>
      </c>
      <c r="G470" s="141" t="s">
        <v>2051</v>
      </c>
      <c r="H470" s="141" t="s">
        <v>2051</v>
      </c>
      <c r="I470" s="142" t="s">
        <v>542</v>
      </c>
      <c r="J470" s="142" t="s">
        <v>2042</v>
      </c>
      <c r="K470" s="142" t="s">
        <v>2048</v>
      </c>
    </row>
    <row r="471" spans="1:11" ht="15" customHeight="1" x14ac:dyDescent="0.25">
      <c r="A471" s="141" t="s">
        <v>2056</v>
      </c>
      <c r="B471" s="141">
        <v>474</v>
      </c>
      <c r="C471" s="141">
        <v>6</v>
      </c>
      <c r="D471" s="141">
        <v>6</v>
      </c>
      <c r="E471" s="141" t="s">
        <v>2041</v>
      </c>
      <c r="F471" s="141" t="s">
        <v>2041</v>
      </c>
      <c r="G471" s="141" t="s">
        <v>2055</v>
      </c>
      <c r="H471" s="141" t="s">
        <v>2055</v>
      </c>
      <c r="I471" s="142" t="s">
        <v>542</v>
      </c>
      <c r="J471" s="142" t="s">
        <v>2042</v>
      </c>
      <c r="K471" s="142" t="s">
        <v>2053</v>
      </c>
    </row>
    <row r="472" spans="1:11" ht="15" customHeight="1" x14ac:dyDescent="0.25">
      <c r="A472" s="141" t="s">
        <v>2060</v>
      </c>
      <c r="B472" s="141">
        <v>475</v>
      </c>
      <c r="C472" s="141">
        <v>6</v>
      </c>
      <c r="D472" s="141">
        <v>6</v>
      </c>
      <c r="E472" s="141" t="s">
        <v>2041</v>
      </c>
      <c r="F472" s="141" t="s">
        <v>2041</v>
      </c>
      <c r="G472" s="141" t="s">
        <v>2059</v>
      </c>
      <c r="H472" s="141" t="s">
        <v>2059</v>
      </c>
      <c r="I472" s="142" t="s">
        <v>542</v>
      </c>
      <c r="J472" s="142" t="s">
        <v>2042</v>
      </c>
      <c r="K472" s="142" t="s">
        <v>2057</v>
      </c>
    </row>
    <row r="473" spans="1:11" ht="21.75" customHeight="1" x14ac:dyDescent="0.25">
      <c r="A473" s="141" t="s">
        <v>2064</v>
      </c>
      <c r="B473" s="141">
        <v>476</v>
      </c>
      <c r="C473" s="141">
        <v>6</v>
      </c>
      <c r="D473" s="141">
        <v>6</v>
      </c>
      <c r="E473" s="141" t="s">
        <v>2041</v>
      </c>
      <c r="F473" s="141" t="s">
        <v>2041</v>
      </c>
      <c r="G473" s="141" t="s">
        <v>2063</v>
      </c>
      <c r="H473" s="141" t="s">
        <v>2063</v>
      </c>
      <c r="I473" s="142" t="s">
        <v>542</v>
      </c>
      <c r="J473" s="142" t="s">
        <v>2042</v>
      </c>
      <c r="K473" s="142" t="s">
        <v>2061</v>
      </c>
    </row>
    <row r="474" spans="1:11" ht="21.75" customHeight="1" x14ac:dyDescent="0.25">
      <c r="A474" s="141" t="s">
        <v>2067</v>
      </c>
      <c r="B474" s="141">
        <v>477</v>
      </c>
      <c r="C474" s="141">
        <v>6</v>
      </c>
      <c r="D474" s="141">
        <v>6</v>
      </c>
      <c r="E474" s="141" t="s">
        <v>2041</v>
      </c>
      <c r="F474" s="141" t="s">
        <v>2041</v>
      </c>
      <c r="G474" s="141" t="s">
        <v>2066</v>
      </c>
      <c r="H474" s="141" t="s">
        <v>2066</v>
      </c>
      <c r="I474" s="142" t="s">
        <v>542</v>
      </c>
      <c r="J474" s="142" t="s">
        <v>2042</v>
      </c>
      <c r="K474" s="142" t="s">
        <v>2061</v>
      </c>
    </row>
    <row r="475" spans="1:11" ht="21.75" customHeight="1" x14ac:dyDescent="0.25">
      <c r="A475" s="141" t="s">
        <v>2070</v>
      </c>
      <c r="B475" s="141">
        <v>478</v>
      </c>
      <c r="C475" s="141">
        <v>6</v>
      </c>
      <c r="D475" s="141">
        <v>6</v>
      </c>
      <c r="E475" s="141" t="s">
        <v>2041</v>
      </c>
      <c r="F475" s="141" t="s">
        <v>2041</v>
      </c>
      <c r="G475" s="141" t="s">
        <v>2069</v>
      </c>
      <c r="H475" s="141" t="s">
        <v>2069</v>
      </c>
      <c r="I475" s="142" t="s">
        <v>542</v>
      </c>
      <c r="J475" s="142" t="s">
        <v>2042</v>
      </c>
      <c r="K475" s="142" t="s">
        <v>2061</v>
      </c>
    </row>
    <row r="476" spans="1:11" ht="21.75" customHeight="1" x14ac:dyDescent="0.25">
      <c r="A476" s="141" t="s">
        <v>2073</v>
      </c>
      <c r="B476" s="141">
        <v>479</v>
      </c>
      <c r="C476" s="141">
        <v>6</v>
      </c>
      <c r="D476" s="141">
        <v>6</v>
      </c>
      <c r="E476" s="141" t="s">
        <v>2041</v>
      </c>
      <c r="F476" s="141" t="s">
        <v>2041</v>
      </c>
      <c r="G476" s="141" t="s">
        <v>2072</v>
      </c>
      <c r="H476" s="141" t="s">
        <v>2072</v>
      </c>
      <c r="I476" s="142" t="s">
        <v>542</v>
      </c>
      <c r="J476" s="142" t="s">
        <v>2042</v>
      </c>
      <c r="K476" s="142" t="s">
        <v>2061</v>
      </c>
    </row>
    <row r="477" spans="1:11" ht="21.75" customHeight="1" x14ac:dyDescent="0.25">
      <c r="A477" s="141" t="s">
        <v>2076</v>
      </c>
      <c r="B477" s="141">
        <v>480</v>
      </c>
      <c r="C477" s="141">
        <v>6</v>
      </c>
      <c r="D477" s="141">
        <v>6</v>
      </c>
      <c r="E477" s="141" t="s">
        <v>2041</v>
      </c>
      <c r="F477" s="141" t="s">
        <v>2041</v>
      </c>
      <c r="G477" s="141" t="s">
        <v>2075</v>
      </c>
      <c r="H477" s="141" t="s">
        <v>2075</v>
      </c>
      <c r="I477" s="142" t="s">
        <v>542</v>
      </c>
      <c r="J477" s="142" t="s">
        <v>2042</v>
      </c>
      <c r="K477" s="142" t="s">
        <v>2061</v>
      </c>
    </row>
    <row r="478" spans="1:11" ht="42.75" customHeight="1" x14ac:dyDescent="0.25">
      <c r="A478" s="141" t="s">
        <v>2080</v>
      </c>
      <c r="B478" s="141">
        <v>481</v>
      </c>
      <c r="C478" s="141">
        <v>6</v>
      </c>
      <c r="D478" s="141">
        <v>6</v>
      </c>
      <c r="E478" s="141" t="s">
        <v>2041</v>
      </c>
      <c r="F478" s="141" t="s">
        <v>2041</v>
      </c>
      <c r="G478" s="141" t="s">
        <v>2079</v>
      </c>
      <c r="H478" s="141" t="s">
        <v>2079</v>
      </c>
      <c r="I478" s="142" t="s">
        <v>542</v>
      </c>
      <c r="J478" s="142" t="s">
        <v>2042</v>
      </c>
      <c r="K478" s="142" t="s">
        <v>2077</v>
      </c>
    </row>
    <row r="479" spans="1:11" ht="42.75" customHeight="1" x14ac:dyDescent="0.25">
      <c r="A479" s="141" t="s">
        <v>2083</v>
      </c>
      <c r="B479" s="141">
        <v>482</v>
      </c>
      <c r="C479" s="141">
        <v>6</v>
      </c>
      <c r="D479" s="141">
        <v>6</v>
      </c>
      <c r="E479" s="141" t="s">
        <v>2041</v>
      </c>
      <c r="F479" s="141" t="s">
        <v>2041</v>
      </c>
      <c r="G479" s="141" t="s">
        <v>2082</v>
      </c>
      <c r="H479" s="141" t="s">
        <v>2082</v>
      </c>
      <c r="I479" s="142" t="s">
        <v>542</v>
      </c>
      <c r="J479" s="142" t="s">
        <v>2042</v>
      </c>
      <c r="K479" s="142" t="s">
        <v>2077</v>
      </c>
    </row>
    <row r="480" spans="1:11" ht="42.75" customHeight="1" x14ac:dyDescent="0.25">
      <c r="A480" s="141" t="s">
        <v>2086</v>
      </c>
      <c r="B480" s="141">
        <v>483</v>
      </c>
      <c r="C480" s="141">
        <v>6</v>
      </c>
      <c r="D480" s="141">
        <v>6</v>
      </c>
      <c r="E480" s="141" t="s">
        <v>2041</v>
      </c>
      <c r="F480" s="141" t="s">
        <v>2041</v>
      </c>
      <c r="G480" s="141" t="s">
        <v>2085</v>
      </c>
      <c r="H480" s="141" t="s">
        <v>2085</v>
      </c>
      <c r="I480" s="142" t="s">
        <v>542</v>
      </c>
      <c r="J480" s="142" t="s">
        <v>2042</v>
      </c>
      <c r="K480" s="142" t="s">
        <v>2077</v>
      </c>
    </row>
    <row r="481" spans="1:11" ht="42.75" customHeight="1" x14ac:dyDescent="0.25">
      <c r="A481" s="141" t="s">
        <v>2089</v>
      </c>
      <c r="B481" s="141">
        <v>484</v>
      </c>
      <c r="C481" s="141">
        <v>6</v>
      </c>
      <c r="D481" s="141">
        <v>6</v>
      </c>
      <c r="E481" s="141" t="s">
        <v>2041</v>
      </c>
      <c r="F481" s="141" t="s">
        <v>2041</v>
      </c>
      <c r="G481" s="141" t="s">
        <v>2088</v>
      </c>
      <c r="H481" s="141" t="s">
        <v>2088</v>
      </c>
      <c r="I481" s="142" t="s">
        <v>542</v>
      </c>
      <c r="J481" s="142" t="s">
        <v>2042</v>
      </c>
      <c r="K481" s="142" t="s">
        <v>2077</v>
      </c>
    </row>
    <row r="482" spans="1:11" ht="42.75" customHeight="1" x14ac:dyDescent="0.25">
      <c r="A482" s="141" t="s">
        <v>2092</v>
      </c>
      <c r="B482" s="141">
        <v>485</v>
      </c>
      <c r="C482" s="141">
        <v>6</v>
      </c>
      <c r="D482" s="141">
        <v>6</v>
      </c>
      <c r="E482" s="141" t="s">
        <v>2041</v>
      </c>
      <c r="F482" s="141" t="s">
        <v>2041</v>
      </c>
      <c r="G482" s="141" t="s">
        <v>2091</v>
      </c>
      <c r="H482" s="141" t="s">
        <v>2091</v>
      </c>
      <c r="I482" s="142" t="s">
        <v>542</v>
      </c>
      <c r="J482" s="142" t="s">
        <v>2042</v>
      </c>
      <c r="K482" s="142" t="s">
        <v>2077</v>
      </c>
    </row>
    <row r="483" spans="1:11" ht="15" customHeight="1" x14ac:dyDescent="0.25">
      <c r="A483" s="141" t="s">
        <v>2096</v>
      </c>
      <c r="B483" s="141">
        <v>486</v>
      </c>
      <c r="C483" s="141">
        <v>6</v>
      </c>
      <c r="D483" s="141">
        <v>6</v>
      </c>
      <c r="E483" s="141" t="s">
        <v>2041</v>
      </c>
      <c r="F483" s="141" t="s">
        <v>2041</v>
      </c>
      <c r="G483" s="141" t="s">
        <v>2095</v>
      </c>
      <c r="H483" s="141" t="s">
        <v>2095</v>
      </c>
      <c r="I483" s="142" t="s">
        <v>542</v>
      </c>
      <c r="J483" s="142" t="s">
        <v>2042</v>
      </c>
      <c r="K483" s="142" t="s">
        <v>2093</v>
      </c>
    </row>
    <row r="484" spans="1:11" ht="15" customHeight="1" x14ac:dyDescent="0.25">
      <c r="A484" s="141" t="s">
        <v>2099</v>
      </c>
      <c r="B484" s="141">
        <v>487</v>
      </c>
      <c r="C484" s="141">
        <v>6</v>
      </c>
      <c r="D484" s="141">
        <v>6</v>
      </c>
      <c r="E484" s="141" t="s">
        <v>2041</v>
      </c>
      <c r="F484" s="141" t="s">
        <v>2041</v>
      </c>
      <c r="G484" s="141" t="s">
        <v>2098</v>
      </c>
      <c r="H484" s="141" t="s">
        <v>2098</v>
      </c>
      <c r="I484" s="142" t="s">
        <v>542</v>
      </c>
      <c r="J484" s="142" t="s">
        <v>2042</v>
      </c>
      <c r="K484" s="142" t="s">
        <v>2093</v>
      </c>
    </row>
    <row r="485" spans="1:11" ht="15" customHeight="1" x14ac:dyDescent="0.25">
      <c r="A485" s="141" t="s">
        <v>2102</v>
      </c>
      <c r="B485" s="141">
        <v>488</v>
      </c>
      <c r="C485" s="141">
        <v>6</v>
      </c>
      <c r="D485" s="141">
        <v>6</v>
      </c>
      <c r="E485" s="141" t="s">
        <v>2041</v>
      </c>
      <c r="F485" s="141" t="s">
        <v>2041</v>
      </c>
      <c r="G485" s="141" t="s">
        <v>2101</v>
      </c>
      <c r="H485" s="141" t="s">
        <v>2101</v>
      </c>
      <c r="I485" s="142" t="s">
        <v>542</v>
      </c>
      <c r="J485" s="142" t="s">
        <v>2042</v>
      </c>
      <c r="K485" s="142" t="s">
        <v>2093</v>
      </c>
    </row>
    <row r="486" spans="1:11" ht="15" customHeight="1" x14ac:dyDescent="0.25">
      <c r="A486" s="141" t="s">
        <v>2105</v>
      </c>
      <c r="B486" s="141">
        <v>489</v>
      </c>
      <c r="C486" s="141">
        <v>6</v>
      </c>
      <c r="D486" s="141">
        <v>6</v>
      </c>
      <c r="E486" s="141" t="s">
        <v>2041</v>
      </c>
      <c r="F486" s="141" t="s">
        <v>2041</v>
      </c>
      <c r="G486" s="141" t="s">
        <v>2104</v>
      </c>
      <c r="H486" s="141" t="s">
        <v>2104</v>
      </c>
      <c r="I486" s="142" t="s">
        <v>542</v>
      </c>
      <c r="J486" s="142" t="s">
        <v>2042</v>
      </c>
      <c r="K486" s="142" t="s">
        <v>2093</v>
      </c>
    </row>
    <row r="487" spans="1:11" ht="15" customHeight="1" x14ac:dyDescent="0.25">
      <c r="A487" s="141" t="s">
        <v>2108</v>
      </c>
      <c r="B487" s="141">
        <v>490</v>
      </c>
      <c r="C487" s="141">
        <v>6</v>
      </c>
      <c r="D487" s="141">
        <v>6</v>
      </c>
      <c r="E487" s="141" t="s">
        <v>2041</v>
      </c>
      <c r="F487" s="141" t="s">
        <v>2041</v>
      </c>
      <c r="G487" s="141" t="s">
        <v>2107</v>
      </c>
      <c r="H487" s="141" t="s">
        <v>2107</v>
      </c>
      <c r="I487" s="142" t="s">
        <v>542</v>
      </c>
      <c r="J487" s="142" t="s">
        <v>2042</v>
      </c>
      <c r="K487" s="142" t="s">
        <v>2093</v>
      </c>
    </row>
    <row r="488" spans="1:11" ht="21.75" customHeight="1" x14ac:dyDescent="0.25">
      <c r="A488" s="141" t="s">
        <v>2112</v>
      </c>
      <c r="B488" s="141">
        <v>491</v>
      </c>
      <c r="C488" s="141">
        <v>6</v>
      </c>
      <c r="D488" s="141">
        <v>6</v>
      </c>
      <c r="E488" s="141" t="s">
        <v>2041</v>
      </c>
      <c r="F488" s="141" t="s">
        <v>2041</v>
      </c>
      <c r="G488" s="141" t="s">
        <v>2111</v>
      </c>
      <c r="H488" s="141" t="s">
        <v>2111</v>
      </c>
      <c r="I488" s="142" t="s">
        <v>542</v>
      </c>
      <c r="J488" s="142" t="s">
        <v>2042</v>
      </c>
      <c r="K488" s="142" t="s">
        <v>2109</v>
      </c>
    </row>
    <row r="489" spans="1:11" ht="21.75" customHeight="1" x14ac:dyDescent="0.25">
      <c r="A489" s="141" t="s">
        <v>2115</v>
      </c>
      <c r="B489" s="141">
        <v>492</v>
      </c>
      <c r="C489" s="141">
        <v>6</v>
      </c>
      <c r="D489" s="141">
        <v>6</v>
      </c>
      <c r="E489" s="141" t="s">
        <v>2041</v>
      </c>
      <c r="F489" s="141" t="s">
        <v>2041</v>
      </c>
      <c r="G489" s="141" t="s">
        <v>2114</v>
      </c>
      <c r="H489" s="141" t="s">
        <v>2114</v>
      </c>
      <c r="I489" s="142" t="s">
        <v>542</v>
      </c>
      <c r="J489" s="142" t="s">
        <v>2042</v>
      </c>
      <c r="K489" s="142" t="s">
        <v>2109</v>
      </c>
    </row>
    <row r="490" spans="1:11" ht="21.75" customHeight="1" x14ac:dyDescent="0.25">
      <c r="A490" s="141" t="s">
        <v>2118</v>
      </c>
      <c r="B490" s="141">
        <v>493</v>
      </c>
      <c r="C490" s="141">
        <v>6</v>
      </c>
      <c r="D490" s="141">
        <v>6</v>
      </c>
      <c r="E490" s="141" t="s">
        <v>2041</v>
      </c>
      <c r="F490" s="141" t="s">
        <v>2041</v>
      </c>
      <c r="G490" s="141" t="s">
        <v>2117</v>
      </c>
      <c r="H490" s="141" t="s">
        <v>2117</v>
      </c>
      <c r="I490" s="142" t="s">
        <v>542</v>
      </c>
      <c r="J490" s="142" t="s">
        <v>2042</v>
      </c>
      <c r="K490" s="142" t="s">
        <v>2109</v>
      </c>
    </row>
    <row r="491" spans="1:11" ht="21.75" customHeight="1" x14ac:dyDescent="0.25">
      <c r="A491" s="141" t="s">
        <v>2121</v>
      </c>
      <c r="B491" s="141">
        <v>494</v>
      </c>
      <c r="C491" s="141">
        <v>6</v>
      </c>
      <c r="D491" s="141">
        <v>6</v>
      </c>
      <c r="E491" s="141" t="s">
        <v>2041</v>
      </c>
      <c r="F491" s="141" t="s">
        <v>2041</v>
      </c>
      <c r="G491" s="141" t="s">
        <v>2120</v>
      </c>
      <c r="H491" s="141" t="s">
        <v>2120</v>
      </c>
      <c r="I491" s="142" t="s">
        <v>542</v>
      </c>
      <c r="J491" s="142" t="s">
        <v>2042</v>
      </c>
      <c r="K491" s="142" t="s">
        <v>2109</v>
      </c>
    </row>
    <row r="492" spans="1:11" ht="21.75" customHeight="1" x14ac:dyDescent="0.25">
      <c r="A492" s="141" t="s">
        <v>2124</v>
      </c>
      <c r="B492" s="141">
        <v>495</v>
      </c>
      <c r="C492" s="141">
        <v>6</v>
      </c>
      <c r="D492" s="141">
        <v>6</v>
      </c>
      <c r="E492" s="141" t="s">
        <v>2041</v>
      </c>
      <c r="F492" s="141" t="s">
        <v>2041</v>
      </c>
      <c r="G492" s="141" t="s">
        <v>2123</v>
      </c>
      <c r="H492" s="141" t="s">
        <v>2123</v>
      </c>
      <c r="I492" s="142" t="s">
        <v>542</v>
      </c>
      <c r="J492" s="142" t="s">
        <v>2042</v>
      </c>
      <c r="K492" s="142" t="s">
        <v>2109</v>
      </c>
    </row>
    <row r="493" spans="1:11" ht="21.75" customHeight="1" x14ac:dyDescent="0.25">
      <c r="A493" s="141" t="s">
        <v>2128</v>
      </c>
      <c r="B493" s="141">
        <v>496</v>
      </c>
      <c r="C493" s="141">
        <v>6</v>
      </c>
      <c r="D493" s="141">
        <v>6</v>
      </c>
      <c r="E493" s="141" t="s">
        <v>2041</v>
      </c>
      <c r="F493" s="141" t="s">
        <v>2041</v>
      </c>
      <c r="G493" s="141" t="s">
        <v>2127</v>
      </c>
      <c r="H493" s="141" t="s">
        <v>2127</v>
      </c>
      <c r="I493" s="142" t="s">
        <v>542</v>
      </c>
      <c r="J493" s="142" t="s">
        <v>2042</v>
      </c>
      <c r="K493" s="142" t="s">
        <v>2125</v>
      </c>
    </row>
    <row r="494" spans="1:11" ht="21.75" customHeight="1" x14ac:dyDescent="0.25">
      <c r="A494" s="141" t="s">
        <v>2131</v>
      </c>
      <c r="B494" s="141">
        <v>497</v>
      </c>
      <c r="C494" s="141">
        <v>6</v>
      </c>
      <c r="D494" s="141">
        <v>6</v>
      </c>
      <c r="E494" s="141" t="s">
        <v>2041</v>
      </c>
      <c r="F494" s="141" t="s">
        <v>2041</v>
      </c>
      <c r="G494" s="141" t="s">
        <v>2130</v>
      </c>
      <c r="H494" s="141" t="s">
        <v>2130</v>
      </c>
      <c r="I494" s="142" t="s">
        <v>542</v>
      </c>
      <c r="J494" s="142" t="s">
        <v>2042</v>
      </c>
      <c r="K494" s="142" t="s">
        <v>2125</v>
      </c>
    </row>
    <row r="495" spans="1:11" ht="21.75" customHeight="1" x14ac:dyDescent="0.25">
      <c r="A495" s="141" t="s">
        <v>2134</v>
      </c>
      <c r="B495" s="141">
        <v>498</v>
      </c>
      <c r="C495" s="141">
        <v>6</v>
      </c>
      <c r="D495" s="141">
        <v>6</v>
      </c>
      <c r="E495" s="141" t="s">
        <v>2041</v>
      </c>
      <c r="F495" s="141" t="s">
        <v>2041</v>
      </c>
      <c r="G495" s="141" t="s">
        <v>2133</v>
      </c>
      <c r="H495" s="141" t="s">
        <v>2133</v>
      </c>
      <c r="I495" s="142" t="s">
        <v>542</v>
      </c>
      <c r="J495" s="142" t="s">
        <v>2042</v>
      </c>
      <c r="K495" s="142" t="s">
        <v>2125</v>
      </c>
    </row>
    <row r="496" spans="1:11" ht="21.75" customHeight="1" x14ac:dyDescent="0.25">
      <c r="A496" s="141" t="s">
        <v>2137</v>
      </c>
      <c r="B496" s="141">
        <v>499</v>
      </c>
      <c r="C496" s="141">
        <v>6</v>
      </c>
      <c r="D496" s="141">
        <v>6</v>
      </c>
      <c r="E496" s="141" t="s">
        <v>2041</v>
      </c>
      <c r="F496" s="141" t="s">
        <v>2041</v>
      </c>
      <c r="G496" s="141" t="s">
        <v>2136</v>
      </c>
      <c r="H496" s="141" t="s">
        <v>2136</v>
      </c>
      <c r="I496" s="142" t="s">
        <v>542</v>
      </c>
      <c r="J496" s="142" t="s">
        <v>2042</v>
      </c>
      <c r="K496" s="142" t="s">
        <v>2125</v>
      </c>
    </row>
    <row r="497" spans="1:11" ht="21.75" customHeight="1" x14ac:dyDescent="0.25">
      <c r="A497" s="141" t="s">
        <v>2140</v>
      </c>
      <c r="B497" s="141">
        <v>500</v>
      </c>
      <c r="C497" s="141">
        <v>6</v>
      </c>
      <c r="D497" s="141">
        <v>6</v>
      </c>
      <c r="E497" s="141" t="s">
        <v>2041</v>
      </c>
      <c r="F497" s="141" t="s">
        <v>2041</v>
      </c>
      <c r="G497" s="141" t="s">
        <v>2139</v>
      </c>
      <c r="H497" s="141" t="s">
        <v>2139</v>
      </c>
      <c r="I497" s="142" t="s">
        <v>542</v>
      </c>
      <c r="J497" s="142" t="s">
        <v>2042</v>
      </c>
      <c r="K497" s="142" t="s">
        <v>2125</v>
      </c>
    </row>
    <row r="498" spans="1:11" ht="32.25" customHeight="1" x14ac:dyDescent="0.25">
      <c r="A498" s="141" t="s">
        <v>2144</v>
      </c>
      <c r="B498" s="141">
        <v>501</v>
      </c>
      <c r="C498" s="141">
        <v>6</v>
      </c>
      <c r="D498" s="141">
        <v>6</v>
      </c>
      <c r="E498" s="141" t="s">
        <v>2041</v>
      </c>
      <c r="F498" s="141" t="s">
        <v>2041</v>
      </c>
      <c r="G498" s="141" t="s">
        <v>2143</v>
      </c>
      <c r="H498" s="141" t="s">
        <v>2143</v>
      </c>
      <c r="I498" s="142" t="s">
        <v>542</v>
      </c>
      <c r="J498" s="142" t="s">
        <v>2042</v>
      </c>
      <c r="K498" s="142" t="s">
        <v>2141</v>
      </c>
    </row>
    <row r="499" spans="1:11" ht="32.25" customHeight="1" x14ac:dyDescent="0.25">
      <c r="A499" s="141" t="s">
        <v>2147</v>
      </c>
      <c r="B499" s="141">
        <v>502</v>
      </c>
      <c r="C499" s="141">
        <v>6</v>
      </c>
      <c r="D499" s="141">
        <v>6</v>
      </c>
      <c r="E499" s="141" t="s">
        <v>2041</v>
      </c>
      <c r="F499" s="141" t="s">
        <v>2041</v>
      </c>
      <c r="G499" s="141" t="s">
        <v>2146</v>
      </c>
      <c r="H499" s="141" t="s">
        <v>2146</v>
      </c>
      <c r="I499" s="142" t="s">
        <v>542</v>
      </c>
      <c r="J499" s="142" t="s">
        <v>2042</v>
      </c>
      <c r="K499" s="142" t="s">
        <v>2141</v>
      </c>
    </row>
    <row r="500" spans="1:11" ht="32.25" customHeight="1" x14ac:dyDescent="0.25">
      <c r="A500" s="141" t="s">
        <v>2150</v>
      </c>
      <c r="B500" s="141">
        <v>503</v>
      </c>
      <c r="C500" s="141">
        <v>6</v>
      </c>
      <c r="D500" s="141">
        <v>6</v>
      </c>
      <c r="E500" s="141" t="s">
        <v>2041</v>
      </c>
      <c r="F500" s="141" t="s">
        <v>2041</v>
      </c>
      <c r="G500" s="141" t="s">
        <v>2149</v>
      </c>
      <c r="H500" s="141" t="s">
        <v>2149</v>
      </c>
      <c r="I500" s="142" t="s">
        <v>542</v>
      </c>
      <c r="J500" s="142" t="s">
        <v>2042</v>
      </c>
      <c r="K500" s="142" t="s">
        <v>2141</v>
      </c>
    </row>
    <row r="501" spans="1:11" ht="32.25" customHeight="1" x14ac:dyDescent="0.25">
      <c r="A501" s="141" t="s">
        <v>2153</v>
      </c>
      <c r="B501" s="141">
        <v>504</v>
      </c>
      <c r="C501" s="141">
        <v>6</v>
      </c>
      <c r="D501" s="141">
        <v>6</v>
      </c>
      <c r="E501" s="141" t="s">
        <v>2041</v>
      </c>
      <c r="F501" s="141" t="s">
        <v>2041</v>
      </c>
      <c r="G501" s="141" t="s">
        <v>2152</v>
      </c>
      <c r="H501" s="141" t="s">
        <v>2152</v>
      </c>
      <c r="I501" s="142" t="s">
        <v>542</v>
      </c>
      <c r="J501" s="142" t="s">
        <v>2042</v>
      </c>
      <c r="K501" s="142" t="s">
        <v>2141</v>
      </c>
    </row>
    <row r="502" spans="1:11" ht="32.25" customHeight="1" x14ac:dyDescent="0.25">
      <c r="A502" s="141" t="s">
        <v>2156</v>
      </c>
      <c r="B502" s="141">
        <v>505</v>
      </c>
      <c r="C502" s="141">
        <v>6</v>
      </c>
      <c r="D502" s="141">
        <v>6</v>
      </c>
      <c r="E502" s="141" t="s">
        <v>2041</v>
      </c>
      <c r="F502" s="141" t="s">
        <v>2041</v>
      </c>
      <c r="G502" s="141" t="s">
        <v>2155</v>
      </c>
      <c r="H502" s="141" t="s">
        <v>2155</v>
      </c>
      <c r="I502" s="142" t="s">
        <v>542</v>
      </c>
      <c r="J502" s="142" t="s">
        <v>2042</v>
      </c>
      <c r="K502" s="142" t="s">
        <v>2141</v>
      </c>
    </row>
    <row r="503" spans="1:11" ht="21.75" customHeight="1" x14ac:dyDescent="0.25">
      <c r="A503" s="141" t="s">
        <v>2160</v>
      </c>
      <c r="B503" s="141">
        <v>506</v>
      </c>
      <c r="C503" s="141">
        <v>6</v>
      </c>
      <c r="D503" s="141">
        <v>6</v>
      </c>
      <c r="E503" s="141" t="s">
        <v>2041</v>
      </c>
      <c r="F503" s="141" t="s">
        <v>2041</v>
      </c>
      <c r="G503" s="141" t="s">
        <v>2159</v>
      </c>
      <c r="H503" s="141" t="s">
        <v>2159</v>
      </c>
      <c r="I503" s="142" t="s">
        <v>542</v>
      </c>
      <c r="J503" s="142" t="s">
        <v>2042</v>
      </c>
      <c r="K503" s="142" t="s">
        <v>2157</v>
      </c>
    </row>
    <row r="504" spans="1:11" ht="21.75" customHeight="1" x14ac:dyDescent="0.25">
      <c r="A504" s="141" t="s">
        <v>2163</v>
      </c>
      <c r="B504" s="141">
        <v>507</v>
      </c>
      <c r="C504" s="141">
        <v>6</v>
      </c>
      <c r="D504" s="141">
        <v>6</v>
      </c>
      <c r="E504" s="141" t="s">
        <v>2041</v>
      </c>
      <c r="F504" s="141" t="s">
        <v>2041</v>
      </c>
      <c r="G504" s="141" t="s">
        <v>2162</v>
      </c>
      <c r="H504" s="141" t="s">
        <v>2162</v>
      </c>
      <c r="I504" s="142" t="s">
        <v>542</v>
      </c>
      <c r="J504" s="142" t="s">
        <v>2042</v>
      </c>
      <c r="K504" s="142" t="s">
        <v>2157</v>
      </c>
    </row>
    <row r="505" spans="1:11" ht="21.75" customHeight="1" x14ac:dyDescent="0.25">
      <c r="A505" s="141" t="s">
        <v>2166</v>
      </c>
      <c r="B505" s="141">
        <v>508</v>
      </c>
      <c r="C505" s="141">
        <v>6</v>
      </c>
      <c r="D505" s="141">
        <v>6</v>
      </c>
      <c r="E505" s="141" t="s">
        <v>2041</v>
      </c>
      <c r="F505" s="141" t="s">
        <v>2041</v>
      </c>
      <c r="G505" s="141" t="s">
        <v>2165</v>
      </c>
      <c r="H505" s="141" t="s">
        <v>2165</v>
      </c>
      <c r="I505" s="142" t="s">
        <v>542</v>
      </c>
      <c r="J505" s="142" t="s">
        <v>2042</v>
      </c>
      <c r="K505" s="142" t="s">
        <v>2157</v>
      </c>
    </row>
    <row r="506" spans="1:11" ht="21.75" customHeight="1" x14ac:dyDescent="0.25">
      <c r="A506" s="141" t="s">
        <v>2169</v>
      </c>
      <c r="B506" s="141">
        <v>509</v>
      </c>
      <c r="C506" s="141">
        <v>6</v>
      </c>
      <c r="D506" s="141">
        <v>6</v>
      </c>
      <c r="E506" s="141" t="s">
        <v>2041</v>
      </c>
      <c r="F506" s="141" t="s">
        <v>2041</v>
      </c>
      <c r="G506" s="141" t="s">
        <v>2168</v>
      </c>
      <c r="H506" s="141" t="s">
        <v>2168</v>
      </c>
      <c r="I506" s="142" t="s">
        <v>542</v>
      </c>
      <c r="J506" s="142" t="s">
        <v>2042</v>
      </c>
      <c r="K506" s="142" t="s">
        <v>2157</v>
      </c>
    </row>
    <row r="507" spans="1:11" ht="21.75" customHeight="1" x14ac:dyDescent="0.25">
      <c r="A507" s="141" t="s">
        <v>2172</v>
      </c>
      <c r="B507" s="141">
        <v>510</v>
      </c>
      <c r="C507" s="141">
        <v>6</v>
      </c>
      <c r="D507" s="141">
        <v>6</v>
      </c>
      <c r="E507" s="141" t="s">
        <v>2041</v>
      </c>
      <c r="F507" s="141" t="s">
        <v>2041</v>
      </c>
      <c r="G507" s="141" t="s">
        <v>2171</v>
      </c>
      <c r="H507" s="141" t="s">
        <v>2171</v>
      </c>
      <c r="I507" s="142" t="s">
        <v>542</v>
      </c>
      <c r="J507" s="142" t="s">
        <v>2042</v>
      </c>
      <c r="K507" s="142" t="s">
        <v>2157</v>
      </c>
    </row>
    <row r="508" spans="1:11" ht="15" customHeight="1" x14ac:dyDescent="0.25">
      <c r="A508" s="141" t="s">
        <v>2178</v>
      </c>
      <c r="B508" s="141">
        <v>511</v>
      </c>
      <c r="C508" s="141">
        <v>6</v>
      </c>
      <c r="D508" s="141">
        <v>6</v>
      </c>
      <c r="E508" s="141" t="s">
        <v>2173</v>
      </c>
      <c r="F508" s="141" t="s">
        <v>2173</v>
      </c>
      <c r="G508" s="141" t="s">
        <v>2177</v>
      </c>
      <c r="H508" s="141" t="s">
        <v>2177</v>
      </c>
      <c r="I508" s="142" t="s">
        <v>542</v>
      </c>
      <c r="J508" s="142" t="s">
        <v>2174</v>
      </c>
      <c r="K508" s="142" t="s">
        <v>2175</v>
      </c>
    </row>
    <row r="509" spans="1:11" ht="21.75" customHeight="1" x14ac:dyDescent="0.25">
      <c r="A509" s="141" t="s">
        <v>2182</v>
      </c>
      <c r="B509" s="141">
        <v>512</v>
      </c>
      <c r="C509" s="141">
        <v>6</v>
      </c>
      <c r="D509" s="141">
        <v>6</v>
      </c>
      <c r="E509" s="141" t="s">
        <v>2173</v>
      </c>
      <c r="F509" s="141" t="s">
        <v>2173</v>
      </c>
      <c r="G509" s="141" t="s">
        <v>2181</v>
      </c>
      <c r="H509" s="141" t="s">
        <v>2181</v>
      </c>
      <c r="I509" s="142" t="s">
        <v>542</v>
      </c>
      <c r="J509" s="142" t="s">
        <v>2174</v>
      </c>
      <c r="K509" s="142" t="s">
        <v>2179</v>
      </c>
    </row>
    <row r="510" spans="1:11" ht="15" customHeight="1" x14ac:dyDescent="0.25">
      <c r="A510" s="141" t="s">
        <v>2186</v>
      </c>
      <c r="B510" s="141">
        <v>513</v>
      </c>
      <c r="C510" s="141">
        <v>6</v>
      </c>
      <c r="D510" s="141">
        <v>6</v>
      </c>
      <c r="E510" s="141" t="s">
        <v>2173</v>
      </c>
      <c r="F510" s="141" t="s">
        <v>2173</v>
      </c>
      <c r="G510" s="141" t="s">
        <v>2185</v>
      </c>
      <c r="H510" s="141" t="s">
        <v>2185</v>
      </c>
      <c r="I510" s="142" t="s">
        <v>542</v>
      </c>
      <c r="J510" s="142" t="s">
        <v>2174</v>
      </c>
      <c r="K510" s="142" t="s">
        <v>2183</v>
      </c>
    </row>
    <row r="511" spans="1:11" ht="15" customHeight="1" x14ac:dyDescent="0.25">
      <c r="A511" s="141" t="s">
        <v>2190</v>
      </c>
      <c r="B511" s="141">
        <v>514</v>
      </c>
      <c r="C511" s="141">
        <v>6</v>
      </c>
      <c r="D511" s="141">
        <v>6</v>
      </c>
      <c r="E511" s="141" t="s">
        <v>2173</v>
      </c>
      <c r="F511" s="141" t="s">
        <v>2173</v>
      </c>
      <c r="G511" s="141" t="s">
        <v>2189</v>
      </c>
      <c r="H511" s="141" t="s">
        <v>2189</v>
      </c>
      <c r="I511" s="142" t="s">
        <v>542</v>
      </c>
      <c r="J511" s="142" t="s">
        <v>2174</v>
      </c>
      <c r="K511" s="142" t="s">
        <v>2187</v>
      </c>
    </row>
    <row r="512" spans="1:11" ht="15" customHeight="1" x14ac:dyDescent="0.25">
      <c r="A512" s="141" t="s">
        <v>2194</v>
      </c>
      <c r="B512" s="141">
        <v>515</v>
      </c>
      <c r="C512" s="141">
        <v>6</v>
      </c>
      <c r="D512" s="141">
        <v>6</v>
      </c>
      <c r="E512" s="141" t="s">
        <v>2173</v>
      </c>
      <c r="F512" s="141" t="s">
        <v>2173</v>
      </c>
      <c r="G512" s="141" t="s">
        <v>2193</v>
      </c>
      <c r="H512" s="141" t="s">
        <v>2193</v>
      </c>
      <c r="I512" s="142" t="s">
        <v>542</v>
      </c>
      <c r="J512" s="142" t="s">
        <v>2174</v>
      </c>
      <c r="K512" s="142" t="s">
        <v>2191</v>
      </c>
    </row>
    <row r="513" spans="1:11" ht="15" customHeight="1" x14ac:dyDescent="0.25">
      <c r="A513" s="141" t="s">
        <v>2200</v>
      </c>
      <c r="B513" s="141">
        <v>516</v>
      </c>
      <c r="C513" s="141">
        <v>6</v>
      </c>
      <c r="D513" s="141">
        <v>6</v>
      </c>
      <c r="E513" s="141" t="s">
        <v>2195</v>
      </c>
      <c r="F513" s="141" t="s">
        <v>2195</v>
      </c>
      <c r="G513" s="141" t="s">
        <v>2199</v>
      </c>
      <c r="H513" s="141" t="s">
        <v>2199</v>
      </c>
      <c r="I513" s="142" t="s">
        <v>542</v>
      </c>
      <c r="J513" s="142" t="s">
        <v>2196</v>
      </c>
      <c r="K513" s="142" t="s">
        <v>2197</v>
      </c>
    </row>
    <row r="514" spans="1:11" ht="15" customHeight="1" x14ac:dyDescent="0.25">
      <c r="A514" s="141" t="s">
        <v>2204</v>
      </c>
      <c r="B514" s="141">
        <v>517</v>
      </c>
      <c r="C514" s="141">
        <v>6</v>
      </c>
      <c r="D514" s="141">
        <v>6</v>
      </c>
      <c r="E514" s="141" t="s">
        <v>2195</v>
      </c>
      <c r="F514" s="141" t="s">
        <v>2195</v>
      </c>
      <c r="G514" s="141" t="s">
        <v>2203</v>
      </c>
      <c r="H514" s="141" t="s">
        <v>2203</v>
      </c>
      <c r="I514" s="142" t="s">
        <v>542</v>
      </c>
      <c r="J514" s="142" t="s">
        <v>2196</v>
      </c>
      <c r="K514" s="142" t="s">
        <v>2201</v>
      </c>
    </row>
    <row r="515" spans="1:11" ht="15" customHeight="1" x14ac:dyDescent="0.25">
      <c r="A515" s="141" t="s">
        <v>2208</v>
      </c>
      <c r="B515" s="141">
        <v>518</v>
      </c>
      <c r="C515" s="141">
        <v>6</v>
      </c>
      <c r="D515" s="141">
        <v>6</v>
      </c>
      <c r="E515" s="141" t="s">
        <v>2195</v>
      </c>
      <c r="F515" s="141" t="s">
        <v>2195</v>
      </c>
      <c r="G515" s="141" t="s">
        <v>2207</v>
      </c>
      <c r="H515" s="141" t="s">
        <v>2207</v>
      </c>
      <c r="I515" s="142" t="s">
        <v>542</v>
      </c>
      <c r="J515" s="142" t="s">
        <v>2196</v>
      </c>
      <c r="K515" s="142" t="s">
        <v>2205</v>
      </c>
    </row>
    <row r="516" spans="1:11" ht="15" customHeight="1" x14ac:dyDescent="0.25">
      <c r="A516" s="141" t="s">
        <v>2212</v>
      </c>
      <c r="B516" s="141">
        <v>519</v>
      </c>
      <c r="C516" s="141">
        <v>6</v>
      </c>
      <c r="D516" s="141">
        <v>6</v>
      </c>
      <c r="E516" s="141" t="s">
        <v>2195</v>
      </c>
      <c r="F516" s="141" t="s">
        <v>2195</v>
      </c>
      <c r="G516" s="141" t="s">
        <v>2211</v>
      </c>
      <c r="H516" s="141" t="s">
        <v>2211</v>
      </c>
      <c r="I516" s="142" t="s">
        <v>542</v>
      </c>
      <c r="J516" s="142" t="s">
        <v>2196</v>
      </c>
      <c r="K516" s="142" t="s">
        <v>2209</v>
      </c>
    </row>
    <row r="517" spans="1:11" ht="15" customHeight="1" x14ac:dyDescent="0.25">
      <c r="A517" s="141" t="s">
        <v>2216</v>
      </c>
      <c r="B517" s="141">
        <v>520</v>
      </c>
      <c r="C517" s="141">
        <v>6</v>
      </c>
      <c r="D517" s="141">
        <v>6</v>
      </c>
      <c r="E517" s="141" t="s">
        <v>2195</v>
      </c>
      <c r="F517" s="141" t="s">
        <v>2195</v>
      </c>
      <c r="G517" s="141" t="s">
        <v>2215</v>
      </c>
      <c r="H517" s="141" t="s">
        <v>2215</v>
      </c>
      <c r="I517" s="142" t="s">
        <v>542</v>
      </c>
      <c r="J517" s="142" t="s">
        <v>2196</v>
      </c>
      <c r="K517" s="142" t="s">
        <v>2213</v>
      </c>
    </row>
    <row r="518" spans="1:11" ht="15" customHeight="1" x14ac:dyDescent="0.25">
      <c r="A518" s="141" t="s">
        <v>2224</v>
      </c>
      <c r="B518" s="141">
        <v>521</v>
      </c>
      <c r="C518" s="141">
        <v>10</v>
      </c>
      <c r="D518" s="141">
        <v>7</v>
      </c>
      <c r="E518" s="141" t="s">
        <v>2479</v>
      </c>
      <c r="F518" s="141" t="s">
        <v>2218</v>
      </c>
      <c r="G518" s="141" t="s">
        <v>2482</v>
      </c>
      <c r="H518" s="141" t="s">
        <v>2223</v>
      </c>
      <c r="I518" s="142" t="s">
        <v>2217</v>
      </c>
      <c r="J518" s="142" t="s">
        <v>2219</v>
      </c>
      <c r="K518" s="142" t="s">
        <v>2220</v>
      </c>
    </row>
    <row r="519" spans="1:11" ht="15" customHeight="1" x14ac:dyDescent="0.25">
      <c r="A519" s="141" t="s">
        <v>2227</v>
      </c>
      <c r="B519" s="141">
        <v>522</v>
      </c>
      <c r="C519" s="141">
        <v>10</v>
      </c>
      <c r="D519" s="141">
        <v>7</v>
      </c>
      <c r="E519" s="141" t="s">
        <v>2479</v>
      </c>
      <c r="F519" s="141" t="s">
        <v>2218</v>
      </c>
      <c r="G519" s="141" t="s">
        <v>2485</v>
      </c>
      <c r="H519" s="141" t="s">
        <v>2226</v>
      </c>
      <c r="I519" s="142" t="s">
        <v>2217</v>
      </c>
      <c r="J519" s="142" t="s">
        <v>2219</v>
      </c>
      <c r="K519" s="142" t="s">
        <v>2225</v>
      </c>
    </row>
    <row r="520" spans="1:11" ht="15" customHeight="1" x14ac:dyDescent="0.25">
      <c r="A520" s="141" t="s">
        <v>2230</v>
      </c>
      <c r="B520" s="141">
        <v>523</v>
      </c>
      <c r="C520" s="141">
        <v>10</v>
      </c>
      <c r="D520" s="141">
        <v>7</v>
      </c>
      <c r="E520" s="141" t="s">
        <v>2479</v>
      </c>
      <c r="F520" s="141" t="s">
        <v>2218</v>
      </c>
      <c r="G520" s="141" t="s">
        <v>2488</v>
      </c>
      <c r="H520" s="141" t="s">
        <v>2229</v>
      </c>
      <c r="I520" s="142" t="s">
        <v>2217</v>
      </c>
      <c r="J520" s="142" t="s">
        <v>2219</v>
      </c>
      <c r="K520" s="142" t="s">
        <v>2228</v>
      </c>
    </row>
    <row r="521" spans="1:11" ht="21.75" customHeight="1" x14ac:dyDescent="0.25">
      <c r="A521" s="141" t="s">
        <v>2236</v>
      </c>
      <c r="B521" s="141">
        <v>524</v>
      </c>
      <c r="C521" s="141">
        <v>10</v>
      </c>
      <c r="D521" s="141">
        <v>7</v>
      </c>
      <c r="E521" s="141" t="s">
        <v>2708</v>
      </c>
      <c r="F521" s="141" t="s">
        <v>2231</v>
      </c>
      <c r="G521" s="141" t="s">
        <v>2709</v>
      </c>
      <c r="H521" s="141" t="s">
        <v>2235</v>
      </c>
      <c r="I521" s="142" t="s">
        <v>2217</v>
      </c>
      <c r="J521" s="142" t="s">
        <v>2232</v>
      </c>
      <c r="K521" s="142" t="s">
        <v>2233</v>
      </c>
    </row>
    <row r="522" spans="1:11" ht="21.75" customHeight="1" x14ac:dyDescent="0.25">
      <c r="A522" s="141" t="s">
        <v>2239</v>
      </c>
      <c r="B522" s="141">
        <v>525</v>
      </c>
      <c r="C522" s="141">
        <v>10</v>
      </c>
      <c r="D522" s="141">
        <v>7</v>
      </c>
      <c r="E522" s="141" t="s">
        <v>2708</v>
      </c>
      <c r="F522" s="141" t="s">
        <v>2231</v>
      </c>
      <c r="G522" s="141" t="s">
        <v>2710</v>
      </c>
      <c r="H522" s="141" t="s">
        <v>2238</v>
      </c>
      <c r="I522" s="142" t="s">
        <v>2217</v>
      </c>
      <c r="J522" s="142" t="s">
        <v>2232</v>
      </c>
      <c r="K522" s="142" t="s">
        <v>2233</v>
      </c>
    </row>
    <row r="523" spans="1:11" ht="21.75" customHeight="1" x14ac:dyDescent="0.25">
      <c r="A523" s="141" t="s">
        <v>2242</v>
      </c>
      <c r="B523" s="141">
        <v>526</v>
      </c>
      <c r="C523" s="141">
        <v>10</v>
      </c>
      <c r="D523" s="141">
        <v>7</v>
      </c>
      <c r="E523" s="141" t="s">
        <v>2708</v>
      </c>
      <c r="F523" s="141" t="s">
        <v>2231</v>
      </c>
      <c r="G523" s="141" t="s">
        <v>2711</v>
      </c>
      <c r="H523" s="141" t="s">
        <v>2241</v>
      </c>
      <c r="I523" s="142" t="s">
        <v>2217</v>
      </c>
      <c r="J523" s="142" t="s">
        <v>2232</v>
      </c>
      <c r="K523" s="142" t="s">
        <v>2233</v>
      </c>
    </row>
    <row r="524" spans="1:11" ht="21.75" customHeight="1" x14ac:dyDescent="0.25">
      <c r="A524" s="141" t="s">
        <v>2245</v>
      </c>
      <c r="B524" s="141">
        <v>527</v>
      </c>
      <c r="C524" s="141">
        <v>10</v>
      </c>
      <c r="D524" s="141">
        <v>7</v>
      </c>
      <c r="E524" s="141" t="s">
        <v>2708</v>
      </c>
      <c r="F524" s="141" t="s">
        <v>2231</v>
      </c>
      <c r="G524" s="141" t="s">
        <v>2712</v>
      </c>
      <c r="H524" s="141" t="s">
        <v>2244</v>
      </c>
      <c r="I524" s="142" t="s">
        <v>2217</v>
      </c>
      <c r="J524" s="142" t="s">
        <v>2232</v>
      </c>
      <c r="K524" s="142" t="s">
        <v>2233</v>
      </c>
    </row>
    <row r="525" spans="1:11" ht="21.75" customHeight="1" x14ac:dyDescent="0.25">
      <c r="A525" s="141" t="s">
        <v>2248</v>
      </c>
      <c r="B525" s="141">
        <v>528</v>
      </c>
      <c r="C525" s="141">
        <v>10</v>
      </c>
      <c r="D525" s="141">
        <v>7</v>
      </c>
      <c r="E525" s="141" t="s">
        <v>2708</v>
      </c>
      <c r="F525" s="141" t="s">
        <v>2231</v>
      </c>
      <c r="G525" s="141" t="s">
        <v>2713</v>
      </c>
      <c r="H525" s="141" t="s">
        <v>2247</v>
      </c>
      <c r="I525" s="142" t="s">
        <v>2217</v>
      </c>
      <c r="J525" s="142" t="s">
        <v>2232</v>
      </c>
      <c r="K525" s="142" t="s">
        <v>2233</v>
      </c>
    </row>
    <row r="526" spans="1:11" ht="21.75" customHeight="1" x14ac:dyDescent="0.25">
      <c r="A526" s="141" t="s">
        <v>2251</v>
      </c>
      <c r="B526" s="141">
        <v>529</v>
      </c>
      <c r="C526" s="141">
        <v>10</v>
      </c>
      <c r="D526" s="141">
        <v>7</v>
      </c>
      <c r="E526" s="141" t="s">
        <v>2708</v>
      </c>
      <c r="F526" s="141" t="s">
        <v>2231</v>
      </c>
      <c r="G526" s="141" t="s">
        <v>2714</v>
      </c>
      <c r="H526" s="141" t="s">
        <v>2250</v>
      </c>
      <c r="I526" s="142" t="s">
        <v>2217</v>
      </c>
      <c r="J526" s="142" t="s">
        <v>2232</v>
      </c>
      <c r="K526" s="142" t="s">
        <v>2233</v>
      </c>
    </row>
    <row r="527" spans="1:11" ht="21.75" customHeight="1" x14ac:dyDescent="0.25">
      <c r="A527" s="141" t="s">
        <v>2257</v>
      </c>
      <c r="B527" s="141">
        <v>530</v>
      </c>
      <c r="C527" s="141">
        <v>10</v>
      </c>
      <c r="D527" s="141">
        <v>7</v>
      </c>
      <c r="E527" s="141" t="s">
        <v>2715</v>
      </c>
      <c r="F527" s="141" t="s">
        <v>2252</v>
      </c>
      <c r="G527" s="141" t="s">
        <v>2716</v>
      </c>
      <c r="H527" s="141" t="s">
        <v>2256</v>
      </c>
      <c r="I527" s="142" t="s">
        <v>2217</v>
      </c>
      <c r="J527" s="142" t="s">
        <v>2253</v>
      </c>
      <c r="K527" s="142" t="s">
        <v>2254</v>
      </c>
    </row>
    <row r="528" spans="1:11" ht="21.75" customHeight="1" x14ac:dyDescent="0.25">
      <c r="A528" s="141" t="s">
        <v>2260</v>
      </c>
      <c r="B528" s="141">
        <v>531</v>
      </c>
      <c r="C528" s="141">
        <v>10</v>
      </c>
      <c r="D528" s="141">
        <v>7</v>
      </c>
      <c r="E528" s="141" t="s">
        <v>2715</v>
      </c>
      <c r="F528" s="141" t="s">
        <v>2252</v>
      </c>
      <c r="G528" s="141" t="s">
        <v>2717</v>
      </c>
      <c r="H528" s="141" t="s">
        <v>2259</v>
      </c>
      <c r="I528" s="142" t="s">
        <v>2217</v>
      </c>
      <c r="J528" s="142" t="s">
        <v>2253</v>
      </c>
      <c r="K528" s="142" t="s">
        <v>2254</v>
      </c>
    </row>
    <row r="529" spans="1:11" ht="21.75" customHeight="1" x14ac:dyDescent="0.25">
      <c r="A529" s="141" t="s">
        <v>2263</v>
      </c>
      <c r="B529" s="141">
        <v>532</v>
      </c>
      <c r="C529" s="141">
        <v>10</v>
      </c>
      <c r="D529" s="141">
        <v>7</v>
      </c>
      <c r="E529" s="141" t="s">
        <v>2715</v>
      </c>
      <c r="F529" s="141" t="s">
        <v>2252</v>
      </c>
      <c r="G529" s="141" t="s">
        <v>2718</v>
      </c>
      <c r="H529" s="141" t="s">
        <v>2262</v>
      </c>
      <c r="I529" s="142" t="s">
        <v>2217</v>
      </c>
      <c r="J529" s="142" t="s">
        <v>2253</v>
      </c>
      <c r="K529" s="142" t="s">
        <v>2254</v>
      </c>
    </row>
    <row r="530" spans="1:11" ht="21.75" customHeight="1" x14ac:dyDescent="0.25">
      <c r="A530" s="141" t="s">
        <v>2266</v>
      </c>
      <c r="B530" s="141">
        <v>533</v>
      </c>
      <c r="C530" s="141">
        <v>10</v>
      </c>
      <c r="D530" s="141">
        <v>7</v>
      </c>
      <c r="E530" s="141" t="s">
        <v>2715</v>
      </c>
      <c r="F530" s="141" t="s">
        <v>2252</v>
      </c>
      <c r="G530" s="141" t="s">
        <v>2719</v>
      </c>
      <c r="H530" s="141" t="s">
        <v>2265</v>
      </c>
      <c r="I530" s="142" t="s">
        <v>2217</v>
      </c>
      <c r="J530" s="142" t="s">
        <v>2253</v>
      </c>
      <c r="K530" s="142" t="s">
        <v>2254</v>
      </c>
    </row>
    <row r="531" spans="1:11" ht="21.75" customHeight="1" x14ac:dyDescent="0.25">
      <c r="A531" s="141" t="s">
        <v>2269</v>
      </c>
      <c r="B531" s="141">
        <v>534</v>
      </c>
      <c r="C531" s="141">
        <v>10</v>
      </c>
      <c r="D531" s="141">
        <v>7</v>
      </c>
      <c r="E531" s="141" t="s">
        <v>2715</v>
      </c>
      <c r="F531" s="141" t="s">
        <v>2252</v>
      </c>
      <c r="G531" s="141" t="s">
        <v>2720</v>
      </c>
      <c r="H531" s="141" t="s">
        <v>2268</v>
      </c>
      <c r="I531" s="142" t="s">
        <v>2217</v>
      </c>
      <c r="J531" s="142" t="s">
        <v>2253</v>
      </c>
      <c r="K531" s="142" t="s">
        <v>2254</v>
      </c>
    </row>
    <row r="532" spans="1:11" ht="21.75" customHeight="1" x14ac:dyDescent="0.25">
      <c r="A532" s="141" t="s">
        <v>2272</v>
      </c>
      <c r="B532" s="141">
        <v>535</v>
      </c>
      <c r="C532" s="141">
        <v>10</v>
      </c>
      <c r="D532" s="141">
        <v>7</v>
      </c>
      <c r="E532" s="141" t="s">
        <v>2715</v>
      </c>
      <c r="F532" s="141" t="s">
        <v>2252</v>
      </c>
      <c r="G532" s="141" t="s">
        <v>2721</v>
      </c>
      <c r="H532" s="141" t="s">
        <v>2271</v>
      </c>
      <c r="I532" s="142" t="s">
        <v>2217</v>
      </c>
      <c r="J532" s="142" t="s">
        <v>2253</v>
      </c>
      <c r="K532" s="142" t="s">
        <v>2254</v>
      </c>
    </row>
    <row r="533" spans="1:11" ht="21.75" customHeight="1" x14ac:dyDescent="0.25">
      <c r="A533" s="141" t="s">
        <v>2275</v>
      </c>
      <c r="B533" s="141">
        <v>536</v>
      </c>
      <c r="C533" s="141">
        <v>10</v>
      </c>
      <c r="D533" s="141">
        <v>7</v>
      </c>
      <c r="E533" s="141" t="s">
        <v>2715</v>
      </c>
      <c r="F533" s="141" t="s">
        <v>2252</v>
      </c>
      <c r="G533" s="141" t="s">
        <v>2722</v>
      </c>
      <c r="H533" s="141" t="s">
        <v>2274</v>
      </c>
      <c r="I533" s="142" t="s">
        <v>2217</v>
      </c>
      <c r="J533" s="142" t="s">
        <v>2253</v>
      </c>
      <c r="K533" s="142" t="s">
        <v>2254</v>
      </c>
    </row>
    <row r="534" spans="1:11" ht="21.75" customHeight="1" x14ac:dyDescent="0.25">
      <c r="A534" s="141" t="s">
        <v>2278</v>
      </c>
      <c r="B534" s="141">
        <v>537</v>
      </c>
      <c r="C534" s="141">
        <v>10</v>
      </c>
      <c r="D534" s="141">
        <v>7</v>
      </c>
      <c r="E534" s="141" t="s">
        <v>2715</v>
      </c>
      <c r="F534" s="141" t="s">
        <v>2252</v>
      </c>
      <c r="G534" s="141" t="s">
        <v>2723</v>
      </c>
      <c r="H534" s="141" t="s">
        <v>2277</v>
      </c>
      <c r="I534" s="142" t="s">
        <v>2217</v>
      </c>
      <c r="J534" s="142" t="s">
        <v>2253</v>
      </c>
      <c r="K534" s="142" t="s">
        <v>2254</v>
      </c>
    </row>
    <row r="535" spans="1:11" ht="21.75" customHeight="1" x14ac:dyDescent="0.25">
      <c r="A535" s="141" t="s">
        <v>2281</v>
      </c>
      <c r="B535" s="141">
        <v>538</v>
      </c>
      <c r="C535" s="141">
        <v>10</v>
      </c>
      <c r="D535" s="141">
        <v>7</v>
      </c>
      <c r="E535" s="141" t="s">
        <v>2715</v>
      </c>
      <c r="F535" s="141" t="s">
        <v>2252</v>
      </c>
      <c r="G535" s="141" t="s">
        <v>2724</v>
      </c>
      <c r="H535" s="141" t="s">
        <v>2280</v>
      </c>
      <c r="I535" s="142" t="s">
        <v>2217</v>
      </c>
      <c r="J535" s="142" t="s">
        <v>2253</v>
      </c>
      <c r="K535" s="142" t="s">
        <v>2254</v>
      </c>
    </row>
    <row r="536" spans="1:11" ht="21.75" customHeight="1" x14ac:dyDescent="0.25">
      <c r="A536" s="141" t="s">
        <v>2284</v>
      </c>
      <c r="B536" s="141">
        <v>539</v>
      </c>
      <c r="C536" s="141">
        <v>10</v>
      </c>
      <c r="D536" s="141">
        <v>7</v>
      </c>
      <c r="E536" s="141" t="s">
        <v>2715</v>
      </c>
      <c r="F536" s="141" t="s">
        <v>2252</v>
      </c>
      <c r="G536" s="141" t="s">
        <v>2725</v>
      </c>
      <c r="H536" s="141" t="s">
        <v>2283</v>
      </c>
      <c r="I536" s="142" t="s">
        <v>2217</v>
      </c>
      <c r="J536" s="142" t="s">
        <v>2253</v>
      </c>
      <c r="K536" s="142" t="s">
        <v>2254</v>
      </c>
    </row>
    <row r="537" spans="1:11" ht="21.75" customHeight="1" x14ac:dyDescent="0.25">
      <c r="A537" s="141" t="s">
        <v>2287</v>
      </c>
      <c r="B537" s="141">
        <v>540</v>
      </c>
      <c r="C537" s="141">
        <v>10</v>
      </c>
      <c r="D537" s="141">
        <v>7</v>
      </c>
      <c r="E537" s="141" t="s">
        <v>2715</v>
      </c>
      <c r="F537" s="141" t="s">
        <v>2252</v>
      </c>
      <c r="G537" s="141" t="s">
        <v>2726</v>
      </c>
      <c r="H537" s="141" t="s">
        <v>2286</v>
      </c>
      <c r="I537" s="142" t="s">
        <v>2217</v>
      </c>
      <c r="J537" s="142" t="s">
        <v>2253</v>
      </c>
      <c r="K537" s="142" t="s">
        <v>2254</v>
      </c>
    </row>
    <row r="538" spans="1:11" ht="21.75" customHeight="1" x14ac:dyDescent="0.25">
      <c r="A538" s="141" t="s">
        <v>2293</v>
      </c>
      <c r="B538" s="141">
        <v>541</v>
      </c>
      <c r="C538" s="141">
        <v>10</v>
      </c>
      <c r="D538" s="141">
        <v>7</v>
      </c>
      <c r="E538" s="141" t="s">
        <v>2727</v>
      </c>
      <c r="F538" s="141" t="s">
        <v>2288</v>
      </c>
      <c r="G538" s="141" t="s">
        <v>2728</v>
      </c>
      <c r="H538" s="141" t="s">
        <v>2292</v>
      </c>
      <c r="I538" s="142" t="s">
        <v>2217</v>
      </c>
      <c r="J538" s="142" t="s">
        <v>2289</v>
      </c>
      <c r="K538" s="142" t="s">
        <v>2290</v>
      </c>
    </row>
    <row r="539" spans="1:11" ht="21.75" customHeight="1" x14ac:dyDescent="0.25">
      <c r="A539" s="141" t="s">
        <v>2296</v>
      </c>
      <c r="B539" s="141">
        <v>542</v>
      </c>
      <c r="C539" s="141">
        <v>10</v>
      </c>
      <c r="D539" s="141">
        <v>7</v>
      </c>
      <c r="E539" s="141" t="s">
        <v>2727</v>
      </c>
      <c r="F539" s="141" t="s">
        <v>2288</v>
      </c>
      <c r="G539" s="141" t="s">
        <v>2729</v>
      </c>
      <c r="H539" s="141" t="s">
        <v>2295</v>
      </c>
      <c r="I539" s="142" t="s">
        <v>2217</v>
      </c>
      <c r="J539" s="142" t="s">
        <v>2289</v>
      </c>
      <c r="K539" s="142" t="s">
        <v>2290</v>
      </c>
    </row>
    <row r="540" spans="1:11" ht="21.75" customHeight="1" x14ac:dyDescent="0.25">
      <c r="A540" s="141" t="s">
        <v>2299</v>
      </c>
      <c r="B540" s="141">
        <v>543</v>
      </c>
      <c r="C540" s="141">
        <v>10</v>
      </c>
      <c r="D540" s="141">
        <v>7</v>
      </c>
      <c r="E540" s="141" t="s">
        <v>2727</v>
      </c>
      <c r="F540" s="141" t="s">
        <v>2288</v>
      </c>
      <c r="G540" s="141" t="s">
        <v>2730</v>
      </c>
      <c r="H540" s="141" t="s">
        <v>2298</v>
      </c>
      <c r="I540" s="142" t="s">
        <v>2217</v>
      </c>
      <c r="J540" s="142" t="s">
        <v>2289</v>
      </c>
      <c r="K540" s="142" t="s">
        <v>2290</v>
      </c>
    </row>
    <row r="541" spans="1:11" ht="21.75" customHeight="1" x14ac:dyDescent="0.25">
      <c r="A541" s="141" t="s">
        <v>2302</v>
      </c>
      <c r="B541" s="141">
        <v>544</v>
      </c>
      <c r="C541" s="141">
        <v>10</v>
      </c>
      <c r="D541" s="141">
        <v>7</v>
      </c>
      <c r="E541" s="141" t="s">
        <v>2727</v>
      </c>
      <c r="F541" s="141" t="s">
        <v>2288</v>
      </c>
      <c r="G541" s="141" t="s">
        <v>2731</v>
      </c>
      <c r="H541" s="141" t="s">
        <v>2301</v>
      </c>
      <c r="I541" s="142" t="s">
        <v>2217</v>
      </c>
      <c r="J541" s="142" t="s">
        <v>2289</v>
      </c>
      <c r="K541" s="142" t="s">
        <v>2290</v>
      </c>
    </row>
    <row r="542" spans="1:11" ht="21.75" customHeight="1" x14ac:dyDescent="0.25">
      <c r="A542" s="141" t="s">
        <v>2305</v>
      </c>
      <c r="B542" s="141">
        <v>545</v>
      </c>
      <c r="C542" s="141">
        <v>10</v>
      </c>
      <c r="D542" s="141">
        <v>7</v>
      </c>
      <c r="E542" s="141" t="s">
        <v>2727</v>
      </c>
      <c r="F542" s="141" t="s">
        <v>2288</v>
      </c>
      <c r="G542" s="141" t="s">
        <v>2732</v>
      </c>
      <c r="H542" s="141" t="s">
        <v>2304</v>
      </c>
      <c r="I542" s="142" t="s">
        <v>2217</v>
      </c>
      <c r="J542" s="142" t="s">
        <v>2289</v>
      </c>
      <c r="K542" s="142" t="s">
        <v>2290</v>
      </c>
    </row>
    <row r="543" spans="1:11" ht="21.75" customHeight="1" x14ac:dyDescent="0.25">
      <c r="A543" s="141" t="s">
        <v>2308</v>
      </c>
      <c r="B543" s="141">
        <v>546</v>
      </c>
      <c r="C543" s="141">
        <v>10</v>
      </c>
      <c r="D543" s="141">
        <v>7</v>
      </c>
      <c r="E543" s="141" t="s">
        <v>2727</v>
      </c>
      <c r="F543" s="141" t="s">
        <v>2288</v>
      </c>
      <c r="G543" s="141" t="s">
        <v>2733</v>
      </c>
      <c r="H543" s="141" t="s">
        <v>2307</v>
      </c>
      <c r="I543" s="142" t="s">
        <v>2217</v>
      </c>
      <c r="J543" s="142" t="s">
        <v>2289</v>
      </c>
      <c r="K543" s="142" t="s">
        <v>2290</v>
      </c>
    </row>
    <row r="544" spans="1:11" ht="21.75" customHeight="1" x14ac:dyDescent="0.25">
      <c r="A544" s="141" t="s">
        <v>2311</v>
      </c>
      <c r="B544" s="141">
        <v>547</v>
      </c>
      <c r="C544" s="141">
        <v>10</v>
      </c>
      <c r="D544" s="141">
        <v>7</v>
      </c>
      <c r="E544" s="141" t="s">
        <v>2727</v>
      </c>
      <c r="F544" s="141" t="s">
        <v>2288</v>
      </c>
      <c r="G544" s="141" t="s">
        <v>2734</v>
      </c>
      <c r="H544" s="141" t="s">
        <v>2310</v>
      </c>
      <c r="I544" s="142" t="s">
        <v>2217</v>
      </c>
      <c r="J544" s="142" t="s">
        <v>2289</v>
      </c>
      <c r="K544" s="142" t="s">
        <v>2290</v>
      </c>
    </row>
    <row r="545" spans="1:11" ht="21.75" customHeight="1" x14ac:dyDescent="0.25">
      <c r="A545" s="141" t="s">
        <v>2314</v>
      </c>
      <c r="B545" s="141">
        <v>548</v>
      </c>
      <c r="C545" s="141">
        <v>10</v>
      </c>
      <c r="D545" s="141">
        <v>7</v>
      </c>
      <c r="E545" s="141" t="s">
        <v>2727</v>
      </c>
      <c r="F545" s="141" t="s">
        <v>2288</v>
      </c>
      <c r="G545" s="141" t="s">
        <v>2735</v>
      </c>
      <c r="H545" s="141" t="s">
        <v>2313</v>
      </c>
      <c r="I545" s="142" t="s">
        <v>2217</v>
      </c>
      <c r="J545" s="142" t="s">
        <v>2289</v>
      </c>
      <c r="K545" s="142" t="s">
        <v>2290</v>
      </c>
    </row>
    <row r="546" spans="1:11" ht="21.75" customHeight="1" x14ac:dyDescent="0.25">
      <c r="A546" s="141" t="s">
        <v>2317</v>
      </c>
      <c r="B546" s="141">
        <v>549</v>
      </c>
      <c r="C546" s="141">
        <v>10</v>
      </c>
      <c r="D546" s="141">
        <v>7</v>
      </c>
      <c r="E546" s="141" t="s">
        <v>2727</v>
      </c>
      <c r="F546" s="141" t="s">
        <v>2288</v>
      </c>
      <c r="G546" s="141" t="s">
        <v>2736</v>
      </c>
      <c r="H546" s="141" t="s">
        <v>2316</v>
      </c>
      <c r="I546" s="142" t="s">
        <v>2217</v>
      </c>
      <c r="J546" s="142" t="s">
        <v>2289</v>
      </c>
      <c r="K546" s="142" t="s">
        <v>2290</v>
      </c>
    </row>
    <row r="547" spans="1:11" ht="21.75" customHeight="1" x14ac:dyDescent="0.25">
      <c r="A547" s="141" t="s">
        <v>2320</v>
      </c>
      <c r="B547" s="141">
        <v>550</v>
      </c>
      <c r="C547" s="141">
        <v>10</v>
      </c>
      <c r="D547" s="141">
        <v>7</v>
      </c>
      <c r="E547" s="141" t="s">
        <v>2727</v>
      </c>
      <c r="F547" s="141" t="s">
        <v>2288</v>
      </c>
      <c r="G547" s="141" t="s">
        <v>2737</v>
      </c>
      <c r="H547" s="141" t="s">
        <v>2319</v>
      </c>
      <c r="I547" s="142" t="s">
        <v>2217</v>
      </c>
      <c r="J547" s="142" t="s">
        <v>2289</v>
      </c>
      <c r="K547" s="142" t="s">
        <v>2290</v>
      </c>
    </row>
    <row r="548" spans="1:11" ht="21.75" customHeight="1" x14ac:dyDescent="0.25">
      <c r="A548" s="141" t="s">
        <v>2323</v>
      </c>
      <c r="B548" s="141">
        <v>551</v>
      </c>
      <c r="C548" s="141">
        <v>10</v>
      </c>
      <c r="D548" s="141">
        <v>7</v>
      </c>
      <c r="E548" s="141" t="s">
        <v>2727</v>
      </c>
      <c r="F548" s="141" t="s">
        <v>2288</v>
      </c>
      <c r="G548" s="141" t="s">
        <v>2738</v>
      </c>
      <c r="H548" s="141" t="s">
        <v>2322</v>
      </c>
      <c r="I548" s="142" t="s">
        <v>2217</v>
      </c>
      <c r="J548" s="142" t="s">
        <v>2289</v>
      </c>
      <c r="K548" s="142" t="s">
        <v>2290</v>
      </c>
    </row>
    <row r="549" spans="1:11" ht="21.75" customHeight="1" x14ac:dyDescent="0.25">
      <c r="A549" s="141" t="s">
        <v>2329</v>
      </c>
      <c r="B549" s="141">
        <v>552</v>
      </c>
      <c r="C549" s="141">
        <v>10</v>
      </c>
      <c r="D549" s="141">
        <v>7</v>
      </c>
      <c r="E549" s="141" t="s">
        <v>2739</v>
      </c>
      <c r="F549" s="141" t="s">
        <v>2324</v>
      </c>
      <c r="G549" s="141" t="s">
        <v>2740</v>
      </c>
      <c r="H549" s="141" t="s">
        <v>2328</v>
      </c>
      <c r="I549" s="142" t="s">
        <v>2217</v>
      </c>
      <c r="J549" s="142" t="s">
        <v>2325</v>
      </c>
      <c r="K549" s="142" t="s">
        <v>2326</v>
      </c>
    </row>
    <row r="550" spans="1:11" ht="21.75" customHeight="1" x14ac:dyDescent="0.25">
      <c r="A550" s="141" t="s">
        <v>2332</v>
      </c>
      <c r="B550" s="141">
        <v>553</v>
      </c>
      <c r="C550" s="141">
        <v>10</v>
      </c>
      <c r="D550" s="141">
        <v>7</v>
      </c>
      <c r="E550" s="141" t="s">
        <v>2739</v>
      </c>
      <c r="F550" s="141" t="s">
        <v>2324</v>
      </c>
      <c r="G550" s="141" t="s">
        <v>2741</v>
      </c>
      <c r="H550" s="141" t="s">
        <v>2331</v>
      </c>
      <c r="I550" s="142" t="s">
        <v>2217</v>
      </c>
      <c r="J550" s="142" t="s">
        <v>2325</v>
      </c>
      <c r="K550" s="142" t="s">
        <v>2326</v>
      </c>
    </row>
    <row r="551" spans="1:11" ht="21.75" customHeight="1" x14ac:dyDescent="0.25">
      <c r="A551" s="141" t="s">
        <v>2335</v>
      </c>
      <c r="B551" s="141">
        <v>554</v>
      </c>
      <c r="C551" s="141">
        <v>10</v>
      </c>
      <c r="D551" s="141">
        <v>7</v>
      </c>
      <c r="E551" s="141" t="s">
        <v>2739</v>
      </c>
      <c r="F551" s="141" t="s">
        <v>2324</v>
      </c>
      <c r="G551" s="141" t="s">
        <v>2742</v>
      </c>
      <c r="H551" s="141" t="s">
        <v>2334</v>
      </c>
      <c r="I551" s="142" t="s">
        <v>2217</v>
      </c>
      <c r="J551" s="142" t="s">
        <v>2325</v>
      </c>
      <c r="K551" s="142" t="s">
        <v>2326</v>
      </c>
    </row>
    <row r="552" spans="1:11" ht="21.75" customHeight="1" x14ac:dyDescent="0.25">
      <c r="A552" s="141" t="s">
        <v>2338</v>
      </c>
      <c r="B552" s="141">
        <v>555</v>
      </c>
      <c r="C552" s="141">
        <v>10</v>
      </c>
      <c r="D552" s="141">
        <v>7</v>
      </c>
      <c r="E552" s="141" t="s">
        <v>2739</v>
      </c>
      <c r="F552" s="141" t="s">
        <v>2324</v>
      </c>
      <c r="G552" s="141" t="s">
        <v>2743</v>
      </c>
      <c r="H552" s="141" t="s">
        <v>2337</v>
      </c>
      <c r="I552" s="142" t="s">
        <v>2217</v>
      </c>
      <c r="J552" s="142" t="s">
        <v>2325</v>
      </c>
      <c r="K552" s="142" t="s">
        <v>2326</v>
      </c>
    </row>
    <row r="553" spans="1:11" ht="21.75" customHeight="1" x14ac:dyDescent="0.25">
      <c r="A553" s="141" t="s">
        <v>2341</v>
      </c>
      <c r="B553" s="141">
        <v>556</v>
      </c>
      <c r="C553" s="141">
        <v>10</v>
      </c>
      <c r="D553" s="141">
        <v>7</v>
      </c>
      <c r="E553" s="141" t="s">
        <v>2739</v>
      </c>
      <c r="F553" s="141" t="s">
        <v>2324</v>
      </c>
      <c r="G553" s="141" t="s">
        <v>2744</v>
      </c>
      <c r="H553" s="141" t="s">
        <v>2340</v>
      </c>
      <c r="I553" s="142" t="s">
        <v>2217</v>
      </c>
      <c r="J553" s="142" t="s">
        <v>2325</v>
      </c>
      <c r="K553" s="142" t="s">
        <v>2326</v>
      </c>
    </row>
    <row r="554" spans="1:11" ht="21.75" customHeight="1" x14ac:dyDescent="0.25">
      <c r="A554" s="141" t="s">
        <v>2347</v>
      </c>
      <c r="B554" s="141">
        <v>557</v>
      </c>
      <c r="C554" s="141">
        <v>10</v>
      </c>
      <c r="D554" s="141">
        <v>7</v>
      </c>
      <c r="E554" s="141" t="s">
        <v>2745</v>
      </c>
      <c r="F554" s="141" t="s">
        <v>2342</v>
      </c>
      <c r="G554" s="141" t="s">
        <v>2746</v>
      </c>
      <c r="H554" s="141" t="s">
        <v>2346</v>
      </c>
      <c r="I554" s="142" t="s">
        <v>2217</v>
      </c>
      <c r="J554" s="142" t="s">
        <v>2343</v>
      </c>
      <c r="K554" s="142" t="s">
        <v>2344</v>
      </c>
    </row>
    <row r="555" spans="1:11" ht="21.75" customHeight="1" x14ac:dyDescent="0.25">
      <c r="A555" s="141" t="s">
        <v>2350</v>
      </c>
      <c r="B555" s="141">
        <v>558</v>
      </c>
      <c r="C555" s="141">
        <v>10</v>
      </c>
      <c r="D555" s="141">
        <v>7</v>
      </c>
      <c r="E555" s="141" t="s">
        <v>2745</v>
      </c>
      <c r="F555" s="141" t="s">
        <v>2342</v>
      </c>
      <c r="G555" s="141" t="s">
        <v>2747</v>
      </c>
      <c r="H555" s="141" t="s">
        <v>2349</v>
      </c>
      <c r="I555" s="142" t="s">
        <v>2217</v>
      </c>
      <c r="J555" s="142" t="s">
        <v>2343</v>
      </c>
      <c r="K555" s="142" t="s">
        <v>2344</v>
      </c>
    </row>
    <row r="556" spans="1:11" ht="21.75" customHeight="1" x14ac:dyDescent="0.25">
      <c r="A556" s="141" t="s">
        <v>2353</v>
      </c>
      <c r="B556" s="141">
        <v>559</v>
      </c>
      <c r="C556" s="141">
        <v>10</v>
      </c>
      <c r="D556" s="141">
        <v>7</v>
      </c>
      <c r="E556" s="141" t="s">
        <v>2745</v>
      </c>
      <c r="F556" s="141" t="s">
        <v>2342</v>
      </c>
      <c r="G556" s="141" t="s">
        <v>2748</v>
      </c>
      <c r="H556" s="141" t="s">
        <v>2352</v>
      </c>
      <c r="I556" s="142" t="s">
        <v>2217</v>
      </c>
      <c r="J556" s="142" t="s">
        <v>2343</v>
      </c>
      <c r="K556" s="142" t="s">
        <v>2344</v>
      </c>
    </row>
    <row r="557" spans="1:11" ht="21.75" customHeight="1" x14ac:dyDescent="0.25">
      <c r="A557" s="141" t="s">
        <v>2356</v>
      </c>
      <c r="B557" s="141">
        <v>560</v>
      </c>
      <c r="C557" s="141">
        <v>10</v>
      </c>
      <c r="D557" s="141">
        <v>7</v>
      </c>
      <c r="E557" s="141" t="s">
        <v>2745</v>
      </c>
      <c r="F557" s="141" t="s">
        <v>2342</v>
      </c>
      <c r="G557" s="141" t="s">
        <v>2749</v>
      </c>
      <c r="H557" s="141" t="s">
        <v>2355</v>
      </c>
      <c r="I557" s="142" t="s">
        <v>2217</v>
      </c>
      <c r="J557" s="142" t="s">
        <v>2343</v>
      </c>
      <c r="K557" s="142" t="s">
        <v>2344</v>
      </c>
    </row>
    <row r="558" spans="1:11" ht="21.75" customHeight="1" x14ac:dyDescent="0.25">
      <c r="A558" s="141" t="s">
        <v>2359</v>
      </c>
      <c r="B558" s="141">
        <v>561</v>
      </c>
      <c r="C558" s="141">
        <v>10</v>
      </c>
      <c r="D558" s="141">
        <v>7</v>
      </c>
      <c r="E558" s="141" t="s">
        <v>2745</v>
      </c>
      <c r="F558" s="141" t="s">
        <v>2342</v>
      </c>
      <c r="G558" s="141" t="s">
        <v>2750</v>
      </c>
      <c r="H558" s="141" t="s">
        <v>2358</v>
      </c>
      <c r="I558" s="142" t="s">
        <v>2217</v>
      </c>
      <c r="J558" s="142" t="s">
        <v>2343</v>
      </c>
      <c r="K558" s="142" t="s">
        <v>2344</v>
      </c>
    </row>
    <row r="559" spans="1:11" ht="21.75" customHeight="1" x14ac:dyDescent="0.25">
      <c r="A559" s="141" t="s">
        <v>2365</v>
      </c>
      <c r="B559" s="141">
        <v>562</v>
      </c>
      <c r="C559" s="141">
        <v>10</v>
      </c>
      <c r="D559" s="141">
        <v>7</v>
      </c>
      <c r="E559" s="141" t="s">
        <v>2751</v>
      </c>
      <c r="F559" s="141" t="s">
        <v>2360</v>
      </c>
      <c r="G559" s="141" t="s">
        <v>2752</v>
      </c>
      <c r="H559" s="141" t="s">
        <v>2364</v>
      </c>
      <c r="I559" s="142" t="s">
        <v>2217</v>
      </c>
      <c r="J559" s="142" t="s">
        <v>2361</v>
      </c>
      <c r="K559" s="142" t="s">
        <v>2362</v>
      </c>
    </row>
    <row r="560" spans="1:11" ht="21.75" customHeight="1" x14ac:dyDescent="0.25">
      <c r="A560" s="141" t="s">
        <v>2368</v>
      </c>
      <c r="B560" s="141">
        <v>563</v>
      </c>
      <c r="C560" s="141">
        <v>10</v>
      </c>
      <c r="D560" s="141">
        <v>7</v>
      </c>
      <c r="E560" s="141" t="s">
        <v>2751</v>
      </c>
      <c r="F560" s="141" t="s">
        <v>2360</v>
      </c>
      <c r="G560" s="141" t="s">
        <v>2753</v>
      </c>
      <c r="H560" s="141" t="s">
        <v>2367</v>
      </c>
      <c r="I560" s="142" t="s">
        <v>2217</v>
      </c>
      <c r="J560" s="142" t="s">
        <v>2361</v>
      </c>
      <c r="K560" s="142" t="s">
        <v>2362</v>
      </c>
    </row>
    <row r="561" spans="1:11" ht="21.75" customHeight="1" x14ac:dyDescent="0.25">
      <c r="A561" s="141" t="s">
        <v>2371</v>
      </c>
      <c r="B561" s="141">
        <v>564</v>
      </c>
      <c r="C561" s="141">
        <v>10</v>
      </c>
      <c r="D561" s="141">
        <v>7</v>
      </c>
      <c r="E561" s="141" t="s">
        <v>2751</v>
      </c>
      <c r="F561" s="141" t="s">
        <v>2360</v>
      </c>
      <c r="G561" s="141" t="s">
        <v>2754</v>
      </c>
      <c r="H561" s="141" t="s">
        <v>2370</v>
      </c>
      <c r="I561" s="142" t="s">
        <v>2217</v>
      </c>
      <c r="J561" s="142" t="s">
        <v>2361</v>
      </c>
      <c r="K561" s="142" t="s">
        <v>2362</v>
      </c>
    </row>
    <row r="562" spans="1:11" ht="21.75" customHeight="1" x14ac:dyDescent="0.25">
      <c r="A562" s="141" t="s">
        <v>2374</v>
      </c>
      <c r="B562" s="141">
        <v>565</v>
      </c>
      <c r="C562" s="141">
        <v>10</v>
      </c>
      <c r="D562" s="141">
        <v>7</v>
      </c>
      <c r="E562" s="141" t="s">
        <v>2751</v>
      </c>
      <c r="F562" s="141" t="s">
        <v>2360</v>
      </c>
      <c r="G562" s="141" t="s">
        <v>2755</v>
      </c>
      <c r="H562" s="141" t="s">
        <v>2373</v>
      </c>
      <c r="I562" s="142" t="s">
        <v>2217</v>
      </c>
      <c r="J562" s="142" t="s">
        <v>2361</v>
      </c>
      <c r="K562" s="142" t="s">
        <v>2362</v>
      </c>
    </row>
    <row r="563" spans="1:11" ht="21.75" customHeight="1" x14ac:dyDescent="0.25">
      <c r="A563" s="141" t="s">
        <v>2377</v>
      </c>
      <c r="B563" s="141">
        <v>566</v>
      </c>
      <c r="C563" s="141">
        <v>10</v>
      </c>
      <c r="D563" s="141">
        <v>7</v>
      </c>
      <c r="E563" s="141" t="s">
        <v>2751</v>
      </c>
      <c r="F563" s="141" t="s">
        <v>2360</v>
      </c>
      <c r="G563" s="141" t="s">
        <v>2756</v>
      </c>
      <c r="H563" s="141" t="s">
        <v>2376</v>
      </c>
      <c r="I563" s="142" t="s">
        <v>2217</v>
      </c>
      <c r="J563" s="142" t="s">
        <v>2361</v>
      </c>
      <c r="K563" s="142" t="s">
        <v>2362</v>
      </c>
    </row>
    <row r="564" spans="1:11" ht="21.75" customHeight="1" x14ac:dyDescent="0.25">
      <c r="A564" s="141" t="s">
        <v>2383</v>
      </c>
      <c r="B564" s="141">
        <v>567</v>
      </c>
      <c r="C564" s="141">
        <v>10</v>
      </c>
      <c r="D564" s="141">
        <v>7</v>
      </c>
      <c r="E564" s="141" t="s">
        <v>2757</v>
      </c>
      <c r="F564" s="141" t="s">
        <v>2378</v>
      </c>
      <c r="G564" s="141" t="s">
        <v>2758</v>
      </c>
      <c r="H564" s="141" t="s">
        <v>2382</v>
      </c>
      <c r="I564" s="142" t="s">
        <v>2217</v>
      </c>
      <c r="J564" s="142" t="s">
        <v>2379</v>
      </c>
      <c r="K564" s="142" t="s">
        <v>2380</v>
      </c>
    </row>
    <row r="565" spans="1:11" ht="21.75" customHeight="1" x14ac:dyDescent="0.25">
      <c r="A565" s="141" t="s">
        <v>2386</v>
      </c>
      <c r="B565" s="141">
        <v>568</v>
      </c>
      <c r="C565" s="141">
        <v>10</v>
      </c>
      <c r="D565" s="141">
        <v>7</v>
      </c>
      <c r="E565" s="141" t="s">
        <v>2757</v>
      </c>
      <c r="F565" s="141" t="s">
        <v>2378</v>
      </c>
      <c r="G565" s="141" t="s">
        <v>2759</v>
      </c>
      <c r="H565" s="141" t="s">
        <v>2385</v>
      </c>
      <c r="I565" s="142" t="s">
        <v>2217</v>
      </c>
      <c r="J565" s="142" t="s">
        <v>2379</v>
      </c>
      <c r="K565" s="142" t="s">
        <v>2380</v>
      </c>
    </row>
    <row r="566" spans="1:11" ht="21.75" customHeight="1" x14ac:dyDescent="0.25">
      <c r="A566" s="141" t="s">
        <v>2389</v>
      </c>
      <c r="B566" s="141">
        <v>569</v>
      </c>
      <c r="C566" s="141">
        <v>10</v>
      </c>
      <c r="D566" s="141">
        <v>7</v>
      </c>
      <c r="E566" s="141" t="s">
        <v>2757</v>
      </c>
      <c r="F566" s="141" t="s">
        <v>2378</v>
      </c>
      <c r="G566" s="141" t="s">
        <v>2760</v>
      </c>
      <c r="H566" s="141" t="s">
        <v>2388</v>
      </c>
      <c r="I566" s="142" t="s">
        <v>2217</v>
      </c>
      <c r="J566" s="142" t="s">
        <v>2379</v>
      </c>
      <c r="K566" s="142" t="s">
        <v>2380</v>
      </c>
    </row>
    <row r="567" spans="1:11" ht="21.75" customHeight="1" x14ac:dyDescent="0.25">
      <c r="A567" s="141" t="s">
        <v>2392</v>
      </c>
      <c r="B567" s="141">
        <v>570</v>
      </c>
      <c r="C567" s="141">
        <v>10</v>
      </c>
      <c r="D567" s="141">
        <v>7</v>
      </c>
      <c r="E567" s="141" t="s">
        <v>2757</v>
      </c>
      <c r="F567" s="141" t="s">
        <v>2378</v>
      </c>
      <c r="G567" s="141" t="s">
        <v>2761</v>
      </c>
      <c r="H567" s="141" t="s">
        <v>2391</v>
      </c>
      <c r="I567" s="142" t="s">
        <v>2217</v>
      </c>
      <c r="J567" s="142" t="s">
        <v>2379</v>
      </c>
      <c r="K567" s="142" t="s">
        <v>2380</v>
      </c>
    </row>
    <row r="568" spans="1:11" ht="21.75" customHeight="1" x14ac:dyDescent="0.25">
      <c r="A568" s="141" t="s">
        <v>2395</v>
      </c>
      <c r="B568" s="141">
        <v>571</v>
      </c>
      <c r="C568" s="141">
        <v>10</v>
      </c>
      <c r="D568" s="141">
        <v>7</v>
      </c>
      <c r="E568" s="141" t="s">
        <v>2757</v>
      </c>
      <c r="F568" s="141" t="s">
        <v>2378</v>
      </c>
      <c r="G568" s="141" t="s">
        <v>2762</v>
      </c>
      <c r="H568" s="141" t="s">
        <v>2394</v>
      </c>
      <c r="I568" s="142" t="s">
        <v>2217</v>
      </c>
      <c r="J568" s="142" t="s">
        <v>2379</v>
      </c>
      <c r="K568" s="142" t="s">
        <v>2380</v>
      </c>
    </row>
    <row r="569" spans="1:11" ht="21.75" customHeight="1" x14ac:dyDescent="0.25">
      <c r="A569" s="141" t="s">
        <v>2401</v>
      </c>
      <c r="B569" s="141">
        <v>572</v>
      </c>
      <c r="C569" s="141">
        <v>10</v>
      </c>
      <c r="D569" s="141">
        <v>7</v>
      </c>
      <c r="E569" s="141" t="s">
        <v>2468</v>
      </c>
      <c r="F569" s="141" t="s">
        <v>2396</v>
      </c>
      <c r="G569" s="141" t="s">
        <v>2471</v>
      </c>
      <c r="H569" s="141" t="s">
        <v>2400</v>
      </c>
      <c r="I569" s="142" t="s">
        <v>2217</v>
      </c>
      <c r="J569" s="142" t="s">
        <v>2397</v>
      </c>
      <c r="K569" s="142" t="s">
        <v>2398</v>
      </c>
    </row>
    <row r="570" spans="1:11" ht="21.75" customHeight="1" x14ac:dyDescent="0.25">
      <c r="A570" s="141" t="s">
        <v>2404</v>
      </c>
      <c r="B570" s="141">
        <v>573</v>
      </c>
      <c r="C570" s="141">
        <v>10</v>
      </c>
      <c r="D570" s="141">
        <v>7</v>
      </c>
      <c r="E570" s="141" t="s">
        <v>2468</v>
      </c>
      <c r="F570" s="141" t="s">
        <v>2396</v>
      </c>
      <c r="G570" s="141" t="s">
        <v>2474</v>
      </c>
      <c r="H570" s="141" t="s">
        <v>2403</v>
      </c>
      <c r="I570" s="142" t="s">
        <v>2217</v>
      </c>
      <c r="J570" s="142" t="s">
        <v>2397</v>
      </c>
      <c r="K570" s="142" t="s">
        <v>2398</v>
      </c>
    </row>
    <row r="571" spans="1:11" ht="21.75" customHeight="1" x14ac:dyDescent="0.25">
      <c r="A571" s="141" t="s">
        <v>2407</v>
      </c>
      <c r="B571" s="141">
        <v>574</v>
      </c>
      <c r="C571" s="141">
        <v>10</v>
      </c>
      <c r="D571" s="141">
        <v>7</v>
      </c>
      <c r="E571" s="141" t="s">
        <v>2468</v>
      </c>
      <c r="F571" s="141" t="s">
        <v>2396</v>
      </c>
      <c r="G571" s="141" t="s">
        <v>2477</v>
      </c>
      <c r="H571" s="141" t="s">
        <v>2406</v>
      </c>
      <c r="I571" s="142" t="s">
        <v>2217</v>
      </c>
      <c r="J571" s="142" t="s">
        <v>2397</v>
      </c>
      <c r="K571" s="142" t="s">
        <v>2398</v>
      </c>
    </row>
    <row r="572" spans="1:11" ht="21.75" customHeight="1" x14ac:dyDescent="0.25">
      <c r="A572" s="141" t="s">
        <v>2410</v>
      </c>
      <c r="B572" s="141">
        <v>575</v>
      </c>
      <c r="C572" s="141">
        <v>10</v>
      </c>
      <c r="D572" s="141">
        <v>7</v>
      </c>
      <c r="E572" s="141" t="s">
        <v>2468</v>
      </c>
      <c r="F572" s="141" t="s">
        <v>2396</v>
      </c>
      <c r="G572" s="141" t="s">
        <v>2763</v>
      </c>
      <c r="H572" s="141" t="s">
        <v>2409</v>
      </c>
      <c r="I572" s="142" t="s">
        <v>2217</v>
      </c>
      <c r="J572" s="142" t="s">
        <v>2397</v>
      </c>
      <c r="K572" s="142" t="s">
        <v>2398</v>
      </c>
    </row>
    <row r="573" spans="1:11" ht="21.75" customHeight="1" x14ac:dyDescent="0.25">
      <c r="A573" s="141" t="s">
        <v>2413</v>
      </c>
      <c r="B573" s="141">
        <v>576</v>
      </c>
      <c r="C573" s="141">
        <v>10</v>
      </c>
      <c r="D573" s="141">
        <v>7</v>
      </c>
      <c r="E573" s="141" t="s">
        <v>2468</v>
      </c>
      <c r="F573" s="141" t="s">
        <v>2396</v>
      </c>
      <c r="G573" s="141" t="s">
        <v>2764</v>
      </c>
      <c r="H573" s="141" t="s">
        <v>2412</v>
      </c>
      <c r="I573" s="142" t="s">
        <v>2217</v>
      </c>
      <c r="J573" s="142" t="s">
        <v>2397</v>
      </c>
      <c r="K573" s="142" t="s">
        <v>2398</v>
      </c>
    </row>
    <row r="574" spans="1:11" ht="21.75" customHeight="1" x14ac:dyDescent="0.25">
      <c r="A574" s="141" t="s">
        <v>2416</v>
      </c>
      <c r="B574" s="141">
        <v>577</v>
      </c>
      <c r="C574" s="141">
        <v>10</v>
      </c>
      <c r="D574" s="141">
        <v>7</v>
      </c>
      <c r="E574" s="141" t="s">
        <v>2468</v>
      </c>
      <c r="F574" s="141" t="s">
        <v>2396</v>
      </c>
      <c r="G574" s="141" t="s">
        <v>2765</v>
      </c>
      <c r="H574" s="141" t="s">
        <v>2415</v>
      </c>
      <c r="I574" s="142" t="s">
        <v>2217</v>
      </c>
      <c r="J574" s="142" t="s">
        <v>2397</v>
      </c>
      <c r="K574" s="142" t="s">
        <v>2398</v>
      </c>
    </row>
    <row r="575" spans="1:11" ht="15" customHeight="1" x14ac:dyDescent="0.25">
      <c r="A575" s="141" t="s">
        <v>2421</v>
      </c>
      <c r="B575" s="141">
        <v>578</v>
      </c>
      <c r="C575" s="141">
        <v>11</v>
      </c>
      <c r="D575" s="141">
        <v>8</v>
      </c>
      <c r="E575" s="141" t="s">
        <v>2490</v>
      </c>
      <c r="F575" s="141" t="s">
        <v>2417</v>
      </c>
      <c r="G575" s="141" t="s">
        <v>2493</v>
      </c>
      <c r="H575" s="141" t="s">
        <v>2420</v>
      </c>
      <c r="I575" s="142" t="s">
        <v>148</v>
      </c>
      <c r="J575" s="142" t="s">
        <v>2418</v>
      </c>
      <c r="K575" s="142" t="s">
        <v>2419</v>
      </c>
    </row>
    <row r="576" spans="1:11" ht="15" customHeight="1" x14ac:dyDescent="0.25">
      <c r="A576" s="141" t="s">
        <v>2424</v>
      </c>
      <c r="B576" s="141">
        <v>579</v>
      </c>
      <c r="C576" s="141">
        <v>11</v>
      </c>
      <c r="D576" s="141">
        <v>8</v>
      </c>
      <c r="E576" s="141" t="s">
        <v>2490</v>
      </c>
      <c r="F576" s="141" t="s">
        <v>2417</v>
      </c>
      <c r="G576" s="141" t="s">
        <v>2496</v>
      </c>
      <c r="H576" s="141" t="s">
        <v>2423</v>
      </c>
      <c r="I576" s="142" t="s">
        <v>148</v>
      </c>
      <c r="J576" s="142" t="s">
        <v>2418</v>
      </c>
      <c r="K576" s="142" t="s">
        <v>2422</v>
      </c>
    </row>
    <row r="577" spans="1:11" ht="15" customHeight="1" x14ac:dyDescent="0.25">
      <c r="A577" s="141" t="s">
        <v>2427</v>
      </c>
      <c r="B577" s="141">
        <v>580</v>
      </c>
      <c r="C577" s="141">
        <v>11</v>
      </c>
      <c r="D577" s="141">
        <v>8</v>
      </c>
      <c r="E577" s="141" t="s">
        <v>2490</v>
      </c>
      <c r="F577" s="141" t="s">
        <v>2417</v>
      </c>
      <c r="G577" s="141" t="s">
        <v>2499</v>
      </c>
      <c r="H577" s="141" t="s">
        <v>2426</v>
      </c>
      <c r="I577" s="142" t="s">
        <v>148</v>
      </c>
      <c r="J577" s="142" t="s">
        <v>2418</v>
      </c>
      <c r="K577" s="142" t="s">
        <v>2425</v>
      </c>
    </row>
    <row r="578" spans="1:11" ht="15" customHeight="1" x14ac:dyDescent="0.25">
      <c r="A578" s="141" t="s">
        <v>2430</v>
      </c>
      <c r="B578" s="141">
        <v>581</v>
      </c>
      <c r="C578" s="141">
        <v>11</v>
      </c>
      <c r="D578" s="141">
        <v>8</v>
      </c>
      <c r="E578" s="141" t="s">
        <v>2490</v>
      </c>
      <c r="F578" s="141" t="s">
        <v>2417</v>
      </c>
      <c r="G578" s="141" t="s">
        <v>2766</v>
      </c>
      <c r="H578" s="141" t="s">
        <v>2429</v>
      </c>
      <c r="I578" s="142" t="s">
        <v>148</v>
      </c>
      <c r="J578" s="142" t="s">
        <v>2418</v>
      </c>
      <c r="K578" s="142" t="s">
        <v>2428</v>
      </c>
    </row>
    <row r="579" spans="1:11" ht="15" customHeight="1" x14ac:dyDescent="0.25">
      <c r="A579" s="141" t="s">
        <v>2433</v>
      </c>
      <c r="B579" s="141">
        <v>582</v>
      </c>
      <c r="C579" s="141">
        <v>11</v>
      </c>
      <c r="D579" s="141">
        <v>8</v>
      </c>
      <c r="E579" s="141" t="s">
        <v>2490</v>
      </c>
      <c r="F579" s="141" t="s">
        <v>2417</v>
      </c>
      <c r="G579" s="141" t="s">
        <v>2767</v>
      </c>
      <c r="H579" s="141" t="s">
        <v>2432</v>
      </c>
      <c r="I579" s="142" t="s">
        <v>148</v>
      </c>
      <c r="J579" s="142" t="s">
        <v>2418</v>
      </c>
      <c r="K579" s="142" t="s">
        <v>2431</v>
      </c>
    </row>
    <row r="580" spans="1:11" ht="15" customHeight="1" x14ac:dyDescent="0.25">
      <c r="A580" s="141" t="s">
        <v>2436</v>
      </c>
      <c r="B580" s="141">
        <v>583</v>
      </c>
      <c r="C580" s="141">
        <v>11</v>
      </c>
      <c r="D580" s="141">
        <v>8</v>
      </c>
      <c r="E580" s="141" t="s">
        <v>2490</v>
      </c>
      <c r="F580" s="141" t="s">
        <v>2417</v>
      </c>
      <c r="G580" s="141" t="s">
        <v>2768</v>
      </c>
      <c r="H580" s="141" t="s">
        <v>2435</v>
      </c>
      <c r="I580" s="142" t="s">
        <v>148</v>
      </c>
      <c r="J580" s="142" t="s">
        <v>2418</v>
      </c>
      <c r="K580" s="142" t="s">
        <v>2434</v>
      </c>
    </row>
    <row r="581" spans="1:11" ht="15" customHeight="1" x14ac:dyDescent="0.25">
      <c r="A581" s="141" t="s">
        <v>2441</v>
      </c>
      <c r="B581" s="141">
        <v>584</v>
      </c>
      <c r="C581" s="141">
        <v>11</v>
      </c>
      <c r="D581" s="141">
        <v>8</v>
      </c>
      <c r="E581" s="141" t="s">
        <v>2501</v>
      </c>
      <c r="F581" s="141" t="s">
        <v>2437</v>
      </c>
      <c r="G581" s="141" t="s">
        <v>2504</v>
      </c>
      <c r="H581" s="141" t="s">
        <v>2440</v>
      </c>
      <c r="I581" s="142" t="s">
        <v>148</v>
      </c>
      <c r="J581" s="142" t="s">
        <v>2438</v>
      </c>
      <c r="K581" s="142" t="s">
        <v>2439</v>
      </c>
    </row>
    <row r="582" spans="1:11" ht="15" customHeight="1" x14ac:dyDescent="0.25">
      <c r="A582" s="141" t="s">
        <v>2444</v>
      </c>
      <c r="B582" s="141">
        <v>585</v>
      </c>
      <c r="C582" s="141">
        <v>11</v>
      </c>
      <c r="D582" s="141">
        <v>8</v>
      </c>
      <c r="E582" s="141" t="s">
        <v>2501</v>
      </c>
      <c r="F582" s="141" t="s">
        <v>2437</v>
      </c>
      <c r="G582" s="141" t="s">
        <v>2507</v>
      </c>
      <c r="H582" s="141" t="s">
        <v>2443</v>
      </c>
      <c r="I582" s="142" t="s">
        <v>148</v>
      </c>
      <c r="J582" s="142" t="s">
        <v>2438</v>
      </c>
      <c r="K582" s="142" t="s">
        <v>2442</v>
      </c>
    </row>
    <row r="583" spans="1:11" ht="15" customHeight="1" x14ac:dyDescent="0.25">
      <c r="A583" s="141" t="s">
        <v>2450</v>
      </c>
      <c r="B583" s="141">
        <v>586</v>
      </c>
      <c r="C583" s="141">
        <v>12</v>
      </c>
      <c r="D583" s="141">
        <v>9</v>
      </c>
      <c r="E583" s="141" t="s">
        <v>2515</v>
      </c>
      <c r="F583" s="141" t="s">
        <v>2446</v>
      </c>
      <c r="G583" s="141" t="s">
        <v>2518</v>
      </c>
      <c r="H583" s="141" t="s">
        <v>2449</v>
      </c>
      <c r="I583" s="142" t="s">
        <v>2445</v>
      </c>
      <c r="J583" s="142" t="s">
        <v>2447</v>
      </c>
      <c r="K583" s="142" t="s">
        <v>2448</v>
      </c>
    </row>
    <row r="584" spans="1:11" ht="15" customHeight="1" x14ac:dyDescent="0.25">
      <c r="A584" s="141" t="s">
        <v>2453</v>
      </c>
      <c r="B584" s="141">
        <v>587</v>
      </c>
      <c r="C584" s="141">
        <v>12</v>
      </c>
      <c r="D584" s="141">
        <v>9</v>
      </c>
      <c r="E584" s="141" t="s">
        <v>2515</v>
      </c>
      <c r="F584" s="141" t="s">
        <v>2446</v>
      </c>
      <c r="G584" s="141" t="s">
        <v>2521</v>
      </c>
      <c r="H584" s="141" t="s">
        <v>2452</v>
      </c>
      <c r="I584" s="142" t="s">
        <v>2445</v>
      </c>
      <c r="J584" s="142" t="s">
        <v>2447</v>
      </c>
      <c r="K584" s="142" t="s">
        <v>2451</v>
      </c>
    </row>
    <row r="585" spans="1:11" ht="15" customHeight="1" x14ac:dyDescent="0.25">
      <c r="A585" s="141" t="s">
        <v>2456</v>
      </c>
      <c r="B585" s="141">
        <v>588</v>
      </c>
      <c r="C585" s="141">
        <v>12</v>
      </c>
      <c r="D585" s="141">
        <v>9</v>
      </c>
      <c r="E585" s="141" t="s">
        <v>2515</v>
      </c>
      <c r="F585" s="141" t="s">
        <v>2446</v>
      </c>
      <c r="G585" s="141" t="s">
        <v>2524</v>
      </c>
      <c r="H585" s="141" t="s">
        <v>2455</v>
      </c>
      <c r="I585" s="142" t="s">
        <v>2445</v>
      </c>
      <c r="J585" s="142" t="s">
        <v>2447</v>
      </c>
      <c r="K585" s="142" t="s">
        <v>2454</v>
      </c>
    </row>
    <row r="586" spans="1:11" ht="15" customHeight="1" x14ac:dyDescent="0.25">
      <c r="A586" s="141" t="s">
        <v>2461</v>
      </c>
      <c r="B586" s="141">
        <v>589</v>
      </c>
      <c r="C586" s="141">
        <v>12</v>
      </c>
      <c r="D586" s="141">
        <v>9</v>
      </c>
      <c r="E586" s="141" t="s">
        <v>2529</v>
      </c>
      <c r="F586" s="141" t="s">
        <v>2457</v>
      </c>
      <c r="G586" s="141" t="s">
        <v>2532</v>
      </c>
      <c r="H586" s="141" t="s">
        <v>2460</v>
      </c>
      <c r="I586" s="142" t="s">
        <v>2445</v>
      </c>
      <c r="J586" s="142" t="s">
        <v>2458</v>
      </c>
      <c r="K586" s="142" t="s">
        <v>2459</v>
      </c>
    </row>
    <row r="587" spans="1:11" ht="15" customHeight="1" x14ac:dyDescent="0.25">
      <c r="A587" s="141" t="s">
        <v>2464</v>
      </c>
      <c r="B587" s="141">
        <v>590</v>
      </c>
      <c r="C587" s="141">
        <v>12</v>
      </c>
      <c r="D587" s="141">
        <v>9</v>
      </c>
      <c r="E587" s="141" t="s">
        <v>2529</v>
      </c>
      <c r="F587" s="141" t="s">
        <v>2457</v>
      </c>
      <c r="G587" s="141" t="s">
        <v>2535</v>
      </c>
      <c r="H587" s="141" t="s">
        <v>2463</v>
      </c>
      <c r="I587" s="142" t="s">
        <v>2445</v>
      </c>
      <c r="J587" s="142" t="s">
        <v>2458</v>
      </c>
      <c r="K587" s="142" t="s">
        <v>2462</v>
      </c>
    </row>
    <row r="588" spans="1:11" ht="15" customHeight="1" x14ac:dyDescent="0.25">
      <c r="A588" s="141" t="s">
        <v>2467</v>
      </c>
      <c r="B588" s="141">
        <v>591</v>
      </c>
      <c r="C588" s="141">
        <v>12</v>
      </c>
      <c r="D588" s="141">
        <v>9</v>
      </c>
      <c r="E588" s="141" t="s">
        <v>2529</v>
      </c>
      <c r="F588" s="141" t="s">
        <v>2457</v>
      </c>
      <c r="G588" s="141" t="s">
        <v>2538</v>
      </c>
      <c r="H588" s="141" t="s">
        <v>2466</v>
      </c>
      <c r="I588" s="142" t="s">
        <v>2445</v>
      </c>
      <c r="J588" s="142" t="s">
        <v>2458</v>
      </c>
      <c r="K588" s="142" t="s">
        <v>2465</v>
      </c>
    </row>
    <row r="589" spans="1:11" ht="21.75" customHeight="1" x14ac:dyDescent="0.25">
      <c r="A589" s="141" t="s">
        <v>2472</v>
      </c>
      <c r="B589" s="141">
        <v>592</v>
      </c>
      <c r="C589" s="141">
        <v>13</v>
      </c>
      <c r="D589" s="141">
        <v>10</v>
      </c>
      <c r="E589" s="141" t="s">
        <v>2541</v>
      </c>
      <c r="F589" s="141" t="s">
        <v>2468</v>
      </c>
      <c r="G589" s="141" t="s">
        <v>2543</v>
      </c>
      <c r="H589" s="141" t="s">
        <v>2471</v>
      </c>
      <c r="I589" s="142" t="s">
        <v>171</v>
      </c>
      <c r="J589" s="142" t="s">
        <v>2469</v>
      </c>
      <c r="K589" s="142" t="s">
        <v>2470</v>
      </c>
    </row>
    <row r="590" spans="1:11" ht="15" customHeight="1" x14ac:dyDescent="0.25">
      <c r="A590" s="141" t="s">
        <v>2475</v>
      </c>
      <c r="B590" s="141">
        <v>593</v>
      </c>
      <c r="C590" s="141">
        <v>13</v>
      </c>
      <c r="D590" s="141">
        <v>10</v>
      </c>
      <c r="E590" s="141" t="s">
        <v>2541</v>
      </c>
      <c r="F590" s="141" t="s">
        <v>2468</v>
      </c>
      <c r="G590" s="141" t="s">
        <v>2546</v>
      </c>
      <c r="H590" s="141" t="s">
        <v>2474</v>
      </c>
      <c r="I590" s="142" t="s">
        <v>171</v>
      </c>
      <c r="J590" s="142" t="s">
        <v>2469</v>
      </c>
      <c r="K590" s="142" t="s">
        <v>2473</v>
      </c>
    </row>
    <row r="591" spans="1:11" ht="15" customHeight="1" x14ac:dyDescent="0.25">
      <c r="A591" s="141" t="s">
        <v>2478</v>
      </c>
      <c r="B591" s="141">
        <v>594</v>
      </c>
      <c r="C591" s="141">
        <v>13</v>
      </c>
      <c r="D591" s="141">
        <v>10</v>
      </c>
      <c r="E591" s="141" t="s">
        <v>2541</v>
      </c>
      <c r="F591" s="141" t="s">
        <v>2468</v>
      </c>
      <c r="G591" s="141" t="s">
        <v>2549</v>
      </c>
      <c r="H591" s="141" t="s">
        <v>2477</v>
      </c>
      <c r="I591" s="142" t="s">
        <v>171</v>
      </c>
      <c r="J591" s="142" t="s">
        <v>2469</v>
      </c>
      <c r="K591" s="142" t="s">
        <v>2476</v>
      </c>
    </row>
    <row r="592" spans="1:11" ht="15" customHeight="1" x14ac:dyDescent="0.25">
      <c r="A592" s="141" t="s">
        <v>2483</v>
      </c>
      <c r="B592" s="141">
        <v>595</v>
      </c>
      <c r="C592" s="141">
        <v>13</v>
      </c>
      <c r="D592" s="141">
        <v>10</v>
      </c>
      <c r="E592" s="141" t="s">
        <v>2554</v>
      </c>
      <c r="F592" s="141" t="s">
        <v>2479</v>
      </c>
      <c r="G592" s="141" t="s">
        <v>2557</v>
      </c>
      <c r="H592" s="141" t="s">
        <v>2482</v>
      </c>
      <c r="I592" s="142" t="s">
        <v>171</v>
      </c>
      <c r="J592" s="142" t="s">
        <v>2480</v>
      </c>
      <c r="K592" s="142" t="s">
        <v>2481</v>
      </c>
    </row>
    <row r="593" spans="1:11" ht="15" customHeight="1" x14ac:dyDescent="0.25">
      <c r="A593" s="141" t="s">
        <v>2486</v>
      </c>
      <c r="B593" s="141">
        <v>596</v>
      </c>
      <c r="C593" s="141">
        <v>13</v>
      </c>
      <c r="D593" s="141">
        <v>10</v>
      </c>
      <c r="E593" s="141" t="s">
        <v>2554</v>
      </c>
      <c r="F593" s="141" t="s">
        <v>2479</v>
      </c>
      <c r="G593" s="141" t="s">
        <v>2560</v>
      </c>
      <c r="H593" s="141" t="s">
        <v>2485</v>
      </c>
      <c r="I593" s="142" t="s">
        <v>171</v>
      </c>
      <c r="J593" s="142" t="s">
        <v>2480</v>
      </c>
      <c r="K593" s="142" t="s">
        <v>2484</v>
      </c>
    </row>
    <row r="594" spans="1:11" ht="15" customHeight="1" x14ac:dyDescent="0.25">
      <c r="A594" s="141" t="s">
        <v>2489</v>
      </c>
      <c r="B594" s="141">
        <v>597</v>
      </c>
      <c r="C594" s="141">
        <v>13</v>
      </c>
      <c r="D594" s="141">
        <v>10</v>
      </c>
      <c r="E594" s="141" t="s">
        <v>2554</v>
      </c>
      <c r="F594" s="141" t="s">
        <v>2479</v>
      </c>
      <c r="G594" s="141" t="s">
        <v>2563</v>
      </c>
      <c r="H594" s="141" t="s">
        <v>2488</v>
      </c>
      <c r="I594" s="142" t="s">
        <v>171</v>
      </c>
      <c r="J594" s="142" t="s">
        <v>2480</v>
      </c>
      <c r="K594" s="142" t="s">
        <v>2487</v>
      </c>
    </row>
    <row r="595" spans="1:11" ht="15" customHeight="1" x14ac:dyDescent="0.25">
      <c r="A595" s="141" t="s">
        <v>2494</v>
      </c>
      <c r="B595" s="141">
        <v>598</v>
      </c>
      <c r="C595" s="141">
        <v>14</v>
      </c>
      <c r="D595" s="141">
        <v>11</v>
      </c>
      <c r="E595" s="141" t="s">
        <v>2571</v>
      </c>
      <c r="F595" s="141" t="s">
        <v>2490</v>
      </c>
      <c r="G595" s="141" t="s">
        <v>2574</v>
      </c>
      <c r="H595" s="141" t="s">
        <v>2493</v>
      </c>
      <c r="I595" s="142" t="s">
        <v>188</v>
      </c>
      <c r="J595" s="142" t="s">
        <v>2491</v>
      </c>
      <c r="K595" s="142" t="s">
        <v>2492</v>
      </c>
    </row>
    <row r="596" spans="1:11" ht="15" customHeight="1" x14ac:dyDescent="0.25">
      <c r="A596" s="141" t="s">
        <v>2497</v>
      </c>
      <c r="B596" s="141">
        <v>599</v>
      </c>
      <c r="C596" s="141">
        <v>14</v>
      </c>
      <c r="D596" s="141">
        <v>11</v>
      </c>
      <c r="E596" s="141" t="s">
        <v>2571</v>
      </c>
      <c r="F596" s="141" t="s">
        <v>2490</v>
      </c>
      <c r="G596" s="141" t="s">
        <v>2577</v>
      </c>
      <c r="H596" s="141" t="s">
        <v>2496</v>
      </c>
      <c r="I596" s="142" t="s">
        <v>188</v>
      </c>
      <c r="J596" s="142" t="s">
        <v>2491</v>
      </c>
      <c r="K596" s="142" t="s">
        <v>2495</v>
      </c>
    </row>
    <row r="597" spans="1:11" ht="15" customHeight="1" x14ac:dyDescent="0.25">
      <c r="A597" s="141" t="s">
        <v>2500</v>
      </c>
      <c r="B597" s="141">
        <v>600</v>
      </c>
      <c r="C597" s="141">
        <v>14</v>
      </c>
      <c r="D597" s="141">
        <v>11</v>
      </c>
      <c r="E597" s="141" t="s">
        <v>2571</v>
      </c>
      <c r="F597" s="141" t="s">
        <v>2490</v>
      </c>
      <c r="G597" s="141" t="s">
        <v>2580</v>
      </c>
      <c r="H597" s="141" t="s">
        <v>2499</v>
      </c>
      <c r="I597" s="142" t="s">
        <v>188</v>
      </c>
      <c r="J597" s="142" t="s">
        <v>2491</v>
      </c>
      <c r="K597" s="142" t="s">
        <v>2498</v>
      </c>
    </row>
    <row r="598" spans="1:11" ht="15" customHeight="1" x14ac:dyDescent="0.25">
      <c r="A598" s="141" t="s">
        <v>2505</v>
      </c>
      <c r="B598" s="141">
        <v>601</v>
      </c>
      <c r="C598" s="141">
        <v>14</v>
      </c>
      <c r="D598" s="141">
        <v>11</v>
      </c>
      <c r="E598" s="141" t="s">
        <v>2582</v>
      </c>
      <c r="F598" s="141" t="s">
        <v>2501</v>
      </c>
      <c r="G598" s="141" t="s">
        <v>2585</v>
      </c>
      <c r="H598" s="141" t="s">
        <v>2504</v>
      </c>
      <c r="I598" s="142" t="s">
        <v>188</v>
      </c>
      <c r="J598" s="142" t="s">
        <v>2502</v>
      </c>
      <c r="K598" s="142" t="s">
        <v>2503</v>
      </c>
    </row>
    <row r="599" spans="1:11" ht="15" customHeight="1" x14ac:dyDescent="0.25">
      <c r="A599" s="141" t="s">
        <v>2508</v>
      </c>
      <c r="B599" s="141">
        <v>602</v>
      </c>
      <c r="C599" s="141">
        <v>14</v>
      </c>
      <c r="D599" s="141">
        <v>11</v>
      </c>
      <c r="E599" s="141" t="s">
        <v>2582</v>
      </c>
      <c r="F599" s="141" t="s">
        <v>2501</v>
      </c>
      <c r="G599" s="141" t="s">
        <v>2588</v>
      </c>
      <c r="H599" s="141" t="s">
        <v>2507</v>
      </c>
      <c r="I599" s="142" t="s">
        <v>188</v>
      </c>
      <c r="J599" s="142" t="s">
        <v>2502</v>
      </c>
      <c r="K599" s="142" t="s">
        <v>2506</v>
      </c>
    </row>
    <row r="600" spans="1:11" ht="15" customHeight="1" x14ac:dyDescent="0.25">
      <c r="A600" s="141" t="s">
        <v>2511</v>
      </c>
      <c r="B600" s="141">
        <v>603</v>
      </c>
      <c r="C600" s="141">
        <v>14</v>
      </c>
      <c r="D600" s="141">
        <v>11</v>
      </c>
      <c r="E600" s="141" t="s">
        <v>2582</v>
      </c>
      <c r="F600" s="141" t="s">
        <v>2501</v>
      </c>
      <c r="G600" s="141" t="s">
        <v>2591</v>
      </c>
      <c r="H600" s="141" t="s">
        <v>2510</v>
      </c>
      <c r="I600" s="142" t="s">
        <v>188</v>
      </c>
      <c r="J600" s="142" t="s">
        <v>2502</v>
      </c>
      <c r="K600" s="142" t="s">
        <v>2509</v>
      </c>
    </row>
    <row r="601" spans="1:11" ht="15" customHeight="1" x14ac:dyDescent="0.25">
      <c r="A601" s="141" t="s">
        <v>2514</v>
      </c>
      <c r="B601" s="141">
        <v>604</v>
      </c>
      <c r="C601" s="141">
        <v>14</v>
      </c>
      <c r="D601" s="141">
        <v>11</v>
      </c>
      <c r="E601" s="141" t="s">
        <v>2582</v>
      </c>
      <c r="F601" s="141" t="s">
        <v>2501</v>
      </c>
      <c r="G601" s="141" t="s">
        <v>2769</v>
      </c>
      <c r="H601" s="141" t="s">
        <v>2513</v>
      </c>
      <c r="I601" s="142" t="s">
        <v>188</v>
      </c>
      <c r="J601" s="142" t="s">
        <v>2502</v>
      </c>
      <c r="K601" s="142" t="s">
        <v>2512</v>
      </c>
    </row>
    <row r="602" spans="1:11" ht="15" customHeight="1" x14ac:dyDescent="0.25">
      <c r="A602" s="141" t="s">
        <v>2519</v>
      </c>
      <c r="B602" s="141">
        <v>605</v>
      </c>
      <c r="C602" s="141">
        <v>15</v>
      </c>
      <c r="D602" s="141">
        <v>12</v>
      </c>
      <c r="E602" s="141" t="s">
        <v>2602</v>
      </c>
      <c r="F602" s="141" t="s">
        <v>2515</v>
      </c>
      <c r="G602" s="141" t="s">
        <v>2605</v>
      </c>
      <c r="H602" s="141" t="s">
        <v>2518</v>
      </c>
      <c r="I602" s="142" t="s">
        <v>470</v>
      </c>
      <c r="J602" s="142" t="s">
        <v>2516</v>
      </c>
      <c r="K602" s="142" t="s">
        <v>2517</v>
      </c>
    </row>
    <row r="603" spans="1:11" ht="15" customHeight="1" x14ac:dyDescent="0.25">
      <c r="A603" s="141" t="s">
        <v>2522</v>
      </c>
      <c r="B603" s="141">
        <v>606</v>
      </c>
      <c r="C603" s="141">
        <v>15</v>
      </c>
      <c r="D603" s="141">
        <v>12</v>
      </c>
      <c r="E603" s="141" t="s">
        <v>2602</v>
      </c>
      <c r="F603" s="141" t="s">
        <v>2515</v>
      </c>
      <c r="G603" s="141" t="s">
        <v>2608</v>
      </c>
      <c r="H603" s="141" t="s">
        <v>2521</v>
      </c>
      <c r="I603" s="142" t="s">
        <v>470</v>
      </c>
      <c r="J603" s="142" t="s">
        <v>2516</v>
      </c>
      <c r="K603" s="142" t="s">
        <v>2520</v>
      </c>
    </row>
    <row r="604" spans="1:11" ht="15" customHeight="1" x14ac:dyDescent="0.25">
      <c r="A604" s="141" t="s">
        <v>2525</v>
      </c>
      <c r="B604" s="141">
        <v>607</v>
      </c>
      <c r="C604" s="141">
        <v>15</v>
      </c>
      <c r="D604" s="141">
        <v>12</v>
      </c>
      <c r="E604" s="141" t="s">
        <v>2602</v>
      </c>
      <c r="F604" s="141" t="s">
        <v>2515</v>
      </c>
      <c r="G604" s="141" t="s">
        <v>2611</v>
      </c>
      <c r="H604" s="141" t="s">
        <v>2524</v>
      </c>
      <c r="I604" s="142" t="s">
        <v>470</v>
      </c>
      <c r="J604" s="142" t="s">
        <v>2516</v>
      </c>
      <c r="K604" s="142" t="s">
        <v>2523</v>
      </c>
    </row>
    <row r="605" spans="1:11" ht="15" customHeight="1" x14ac:dyDescent="0.25">
      <c r="A605" s="141" t="s">
        <v>2528</v>
      </c>
      <c r="B605" s="141">
        <v>608</v>
      </c>
      <c r="C605" s="141">
        <v>15</v>
      </c>
      <c r="D605" s="141">
        <v>12</v>
      </c>
      <c r="E605" s="141" t="s">
        <v>2602</v>
      </c>
      <c r="F605" s="141" t="s">
        <v>2515</v>
      </c>
      <c r="G605" s="141" t="s">
        <v>2770</v>
      </c>
      <c r="H605" s="141" t="s">
        <v>2527</v>
      </c>
      <c r="I605" s="142" t="s">
        <v>470</v>
      </c>
      <c r="J605" s="142" t="s">
        <v>2516</v>
      </c>
      <c r="K605" s="142" t="s">
        <v>2526</v>
      </c>
    </row>
    <row r="606" spans="1:11" ht="15" customHeight="1" x14ac:dyDescent="0.25">
      <c r="A606" s="141" t="s">
        <v>2533</v>
      </c>
      <c r="B606" s="141">
        <v>609</v>
      </c>
      <c r="C606" s="141">
        <v>15</v>
      </c>
      <c r="D606" s="141">
        <v>12</v>
      </c>
      <c r="E606" s="141" t="s">
        <v>2613</v>
      </c>
      <c r="F606" s="141" t="s">
        <v>2529</v>
      </c>
      <c r="G606" s="141" t="s">
        <v>2616</v>
      </c>
      <c r="H606" s="141" t="s">
        <v>2532</v>
      </c>
      <c r="I606" s="142" t="s">
        <v>470</v>
      </c>
      <c r="J606" s="142" t="s">
        <v>2530</v>
      </c>
      <c r="K606" s="142" t="s">
        <v>2531</v>
      </c>
    </row>
    <row r="607" spans="1:11" ht="15" customHeight="1" x14ac:dyDescent="0.25">
      <c r="A607" s="141" t="s">
        <v>2536</v>
      </c>
      <c r="B607" s="141">
        <v>610</v>
      </c>
      <c r="C607" s="141">
        <v>15</v>
      </c>
      <c r="D607" s="141">
        <v>12</v>
      </c>
      <c r="E607" s="141" t="s">
        <v>2613</v>
      </c>
      <c r="F607" s="141" t="s">
        <v>2529</v>
      </c>
      <c r="G607" s="141" t="s">
        <v>2619</v>
      </c>
      <c r="H607" s="141" t="s">
        <v>2535</v>
      </c>
      <c r="I607" s="142" t="s">
        <v>470</v>
      </c>
      <c r="J607" s="142" t="s">
        <v>2530</v>
      </c>
      <c r="K607" s="142" t="s">
        <v>2534</v>
      </c>
    </row>
    <row r="608" spans="1:11" ht="15" customHeight="1" x14ac:dyDescent="0.25">
      <c r="A608" s="141" t="s">
        <v>2539</v>
      </c>
      <c r="B608" s="141">
        <v>611</v>
      </c>
      <c r="C608" s="141">
        <v>15</v>
      </c>
      <c r="D608" s="141">
        <v>12</v>
      </c>
      <c r="E608" s="141" t="s">
        <v>2613</v>
      </c>
      <c r="F608" s="141" t="s">
        <v>2529</v>
      </c>
      <c r="G608" s="141" t="s">
        <v>2622</v>
      </c>
      <c r="H608" s="141" t="s">
        <v>2538</v>
      </c>
      <c r="I608" s="142" t="s">
        <v>470</v>
      </c>
      <c r="J608" s="142" t="s">
        <v>2530</v>
      </c>
      <c r="K608" s="142" t="s">
        <v>2537</v>
      </c>
    </row>
    <row r="609" spans="1:11" ht="15" customHeight="1" x14ac:dyDescent="0.25">
      <c r="A609" s="141" t="s">
        <v>2544</v>
      </c>
      <c r="B609" s="141">
        <v>612</v>
      </c>
      <c r="C609" s="141">
        <v>16</v>
      </c>
      <c r="D609" s="141">
        <v>13</v>
      </c>
      <c r="E609" s="141" t="s">
        <v>2633</v>
      </c>
      <c r="F609" s="141" t="s">
        <v>2541</v>
      </c>
      <c r="G609" s="141" t="s">
        <v>2636</v>
      </c>
      <c r="H609" s="141" t="s">
        <v>2543</v>
      </c>
      <c r="I609" s="142" t="s">
        <v>2540</v>
      </c>
      <c r="J609" s="142" t="s">
        <v>421</v>
      </c>
      <c r="K609" s="142" t="s">
        <v>2542</v>
      </c>
    </row>
    <row r="610" spans="1:11" ht="15" customHeight="1" x14ac:dyDescent="0.25">
      <c r="A610" s="141" t="s">
        <v>2547</v>
      </c>
      <c r="B610" s="141">
        <v>613</v>
      </c>
      <c r="C610" s="141">
        <v>16</v>
      </c>
      <c r="D610" s="141">
        <v>13</v>
      </c>
      <c r="E610" s="141" t="s">
        <v>2633</v>
      </c>
      <c r="F610" s="141" t="s">
        <v>2541</v>
      </c>
      <c r="G610" s="141" t="s">
        <v>2639</v>
      </c>
      <c r="H610" s="141" t="s">
        <v>2546</v>
      </c>
      <c r="I610" s="142" t="s">
        <v>2540</v>
      </c>
      <c r="J610" s="142" t="s">
        <v>421</v>
      </c>
      <c r="K610" s="142" t="s">
        <v>2545</v>
      </c>
    </row>
    <row r="611" spans="1:11" ht="15" customHeight="1" x14ac:dyDescent="0.25">
      <c r="A611" s="141" t="s">
        <v>2550</v>
      </c>
      <c r="B611" s="141">
        <v>614</v>
      </c>
      <c r="C611" s="141">
        <v>16</v>
      </c>
      <c r="D611" s="141">
        <v>13</v>
      </c>
      <c r="E611" s="141" t="s">
        <v>2633</v>
      </c>
      <c r="F611" s="141" t="s">
        <v>2541</v>
      </c>
      <c r="G611" s="141" t="s">
        <v>2642</v>
      </c>
      <c r="H611" s="141" t="s">
        <v>2549</v>
      </c>
      <c r="I611" s="142" t="s">
        <v>2540</v>
      </c>
      <c r="J611" s="142" t="s">
        <v>421</v>
      </c>
      <c r="K611" s="142" t="s">
        <v>2548</v>
      </c>
    </row>
    <row r="612" spans="1:11" ht="15" customHeight="1" x14ac:dyDescent="0.25">
      <c r="A612" s="141" t="s">
        <v>2553</v>
      </c>
      <c r="B612" s="141">
        <v>615</v>
      </c>
      <c r="C612" s="141">
        <v>16</v>
      </c>
      <c r="D612" s="141">
        <v>13</v>
      </c>
      <c r="E612" s="141" t="s">
        <v>2633</v>
      </c>
      <c r="F612" s="141" t="s">
        <v>2541</v>
      </c>
      <c r="G612" s="141" t="s">
        <v>2771</v>
      </c>
      <c r="H612" s="141" t="s">
        <v>2552</v>
      </c>
      <c r="I612" s="142" t="s">
        <v>2540</v>
      </c>
      <c r="J612" s="142" t="s">
        <v>421</v>
      </c>
      <c r="K612" s="142" t="s">
        <v>2551</v>
      </c>
    </row>
    <row r="613" spans="1:11" ht="15" customHeight="1" x14ac:dyDescent="0.25">
      <c r="A613" s="141" t="s">
        <v>2558</v>
      </c>
      <c r="B613" s="141">
        <v>616</v>
      </c>
      <c r="C613" s="141">
        <v>16</v>
      </c>
      <c r="D613" s="141">
        <v>13</v>
      </c>
      <c r="E613" s="141" t="s">
        <v>2644</v>
      </c>
      <c r="F613" s="141" t="s">
        <v>2554</v>
      </c>
      <c r="G613" s="141" t="s">
        <v>2647</v>
      </c>
      <c r="H613" s="141" t="s">
        <v>2557</v>
      </c>
      <c r="I613" s="142" t="s">
        <v>2540</v>
      </c>
      <c r="J613" s="142" t="s">
        <v>2555</v>
      </c>
      <c r="K613" s="142" t="s">
        <v>2556</v>
      </c>
    </row>
    <row r="614" spans="1:11" ht="15" customHeight="1" x14ac:dyDescent="0.25">
      <c r="A614" s="141" t="s">
        <v>2561</v>
      </c>
      <c r="B614" s="141">
        <v>617</v>
      </c>
      <c r="C614" s="141">
        <v>16</v>
      </c>
      <c r="D614" s="141">
        <v>13</v>
      </c>
      <c r="E614" s="141" t="s">
        <v>2644</v>
      </c>
      <c r="F614" s="141" t="s">
        <v>2554</v>
      </c>
      <c r="G614" s="141" t="s">
        <v>2650</v>
      </c>
      <c r="H614" s="141" t="s">
        <v>2560</v>
      </c>
      <c r="I614" s="142" t="s">
        <v>2540</v>
      </c>
      <c r="J614" s="142" t="s">
        <v>2555</v>
      </c>
      <c r="K614" s="142" t="s">
        <v>2559</v>
      </c>
    </row>
    <row r="615" spans="1:11" ht="15" customHeight="1" x14ac:dyDescent="0.25">
      <c r="A615" s="141" t="s">
        <v>2564</v>
      </c>
      <c r="B615" s="141">
        <v>618</v>
      </c>
      <c r="C615" s="141">
        <v>16</v>
      </c>
      <c r="D615" s="141">
        <v>13</v>
      </c>
      <c r="E615" s="141" t="s">
        <v>2644</v>
      </c>
      <c r="F615" s="141" t="s">
        <v>2554</v>
      </c>
      <c r="G615" s="141" t="s">
        <v>2653</v>
      </c>
      <c r="H615" s="141" t="s">
        <v>2563</v>
      </c>
      <c r="I615" s="142" t="s">
        <v>2540</v>
      </c>
      <c r="J615" s="142" t="s">
        <v>2555</v>
      </c>
      <c r="K615" s="142" t="s">
        <v>2562</v>
      </c>
    </row>
    <row r="616" spans="1:11" ht="15" customHeight="1" x14ac:dyDescent="0.25">
      <c r="A616" s="141" t="s">
        <v>2567</v>
      </c>
      <c r="B616" s="141">
        <v>619</v>
      </c>
      <c r="C616" s="141">
        <v>16</v>
      </c>
      <c r="D616" s="141">
        <v>13</v>
      </c>
      <c r="E616" s="141" t="s">
        <v>2644</v>
      </c>
      <c r="F616" s="141" t="s">
        <v>2554</v>
      </c>
      <c r="G616" s="141" t="s">
        <v>2772</v>
      </c>
      <c r="H616" s="141" t="s">
        <v>2566</v>
      </c>
      <c r="I616" s="142" t="s">
        <v>2540</v>
      </c>
      <c r="J616" s="142" t="s">
        <v>2555</v>
      </c>
      <c r="K616" s="142" t="s">
        <v>2565</v>
      </c>
    </row>
    <row r="617" spans="1:11" ht="15" customHeight="1" x14ac:dyDescent="0.25">
      <c r="A617" s="141" t="s">
        <v>2570</v>
      </c>
      <c r="B617" s="141">
        <v>620</v>
      </c>
      <c r="C617" s="141">
        <v>16</v>
      </c>
      <c r="D617" s="141">
        <v>13</v>
      </c>
      <c r="E617" s="141" t="s">
        <v>2644</v>
      </c>
      <c r="F617" s="141" t="s">
        <v>2554</v>
      </c>
      <c r="G617" s="141" t="s">
        <v>2773</v>
      </c>
      <c r="H617" s="141" t="s">
        <v>2569</v>
      </c>
      <c r="I617" s="142" t="s">
        <v>2540</v>
      </c>
      <c r="J617" s="142" t="s">
        <v>2555</v>
      </c>
      <c r="K617" s="142" t="s">
        <v>2568</v>
      </c>
    </row>
    <row r="618" spans="1:11" ht="15" customHeight="1" x14ac:dyDescent="0.25">
      <c r="A618" s="141" t="s">
        <v>2575</v>
      </c>
      <c r="B618" s="141">
        <v>621</v>
      </c>
      <c r="C618" s="141">
        <v>17</v>
      </c>
      <c r="D618" s="141">
        <v>14</v>
      </c>
      <c r="E618" s="141" t="s">
        <v>2774</v>
      </c>
      <c r="F618" s="141" t="s">
        <v>2571</v>
      </c>
      <c r="G618" s="141" t="s">
        <v>2775</v>
      </c>
      <c r="H618" s="141" t="s">
        <v>2574</v>
      </c>
      <c r="I618" s="142" t="s">
        <v>504</v>
      </c>
      <c r="J618" s="142" t="s">
        <v>2572</v>
      </c>
      <c r="K618" s="142" t="s">
        <v>2573</v>
      </c>
    </row>
    <row r="619" spans="1:11" ht="15" customHeight="1" x14ac:dyDescent="0.25">
      <c r="A619" s="141" t="s">
        <v>2578</v>
      </c>
      <c r="B619" s="141">
        <v>622</v>
      </c>
      <c r="C619" s="141">
        <v>17</v>
      </c>
      <c r="D619" s="141">
        <v>14</v>
      </c>
      <c r="E619" s="141" t="s">
        <v>2774</v>
      </c>
      <c r="F619" s="141" t="s">
        <v>2571</v>
      </c>
      <c r="G619" s="141" t="s">
        <v>2776</v>
      </c>
      <c r="H619" s="141" t="s">
        <v>2577</v>
      </c>
      <c r="I619" s="142" t="s">
        <v>504</v>
      </c>
      <c r="J619" s="142" t="s">
        <v>2572</v>
      </c>
      <c r="K619" s="142" t="s">
        <v>2576</v>
      </c>
    </row>
    <row r="620" spans="1:11" ht="15" customHeight="1" x14ac:dyDescent="0.25">
      <c r="A620" s="141" t="s">
        <v>2581</v>
      </c>
      <c r="B620" s="141">
        <v>623</v>
      </c>
      <c r="C620" s="141">
        <v>17</v>
      </c>
      <c r="D620" s="141">
        <v>14</v>
      </c>
      <c r="E620" s="141" t="s">
        <v>2774</v>
      </c>
      <c r="F620" s="141" t="s">
        <v>2571</v>
      </c>
      <c r="G620" s="141" t="s">
        <v>2777</v>
      </c>
      <c r="H620" s="141" t="s">
        <v>2580</v>
      </c>
      <c r="I620" s="142" t="s">
        <v>504</v>
      </c>
      <c r="J620" s="142" t="s">
        <v>2572</v>
      </c>
      <c r="K620" s="142" t="s">
        <v>2579</v>
      </c>
    </row>
    <row r="621" spans="1:11" ht="15" customHeight="1" x14ac:dyDescent="0.25">
      <c r="A621" s="141" t="s">
        <v>2586</v>
      </c>
      <c r="B621" s="141">
        <v>624</v>
      </c>
      <c r="C621" s="141">
        <v>17</v>
      </c>
      <c r="D621" s="141">
        <v>14</v>
      </c>
      <c r="E621" s="141" t="s">
        <v>2778</v>
      </c>
      <c r="F621" s="141" t="s">
        <v>2582</v>
      </c>
      <c r="G621" s="141" t="s">
        <v>2779</v>
      </c>
      <c r="H621" s="141" t="s">
        <v>2585</v>
      </c>
      <c r="I621" s="142" t="s">
        <v>504</v>
      </c>
      <c r="J621" s="142" t="s">
        <v>2583</v>
      </c>
      <c r="K621" s="142" t="s">
        <v>2584</v>
      </c>
    </row>
    <row r="622" spans="1:11" ht="15" customHeight="1" x14ac:dyDescent="0.25">
      <c r="A622" s="141" t="s">
        <v>2589</v>
      </c>
      <c r="B622" s="141">
        <v>625</v>
      </c>
      <c r="C622" s="141">
        <v>17</v>
      </c>
      <c r="D622" s="141">
        <v>14</v>
      </c>
      <c r="E622" s="141" t="s">
        <v>2778</v>
      </c>
      <c r="F622" s="141" t="s">
        <v>2582</v>
      </c>
      <c r="G622" s="141" t="s">
        <v>2780</v>
      </c>
      <c r="H622" s="141" t="s">
        <v>2588</v>
      </c>
      <c r="I622" s="142" t="s">
        <v>504</v>
      </c>
      <c r="J622" s="142" t="s">
        <v>2583</v>
      </c>
      <c r="K622" s="142" t="s">
        <v>2587</v>
      </c>
    </row>
    <row r="623" spans="1:11" ht="15" customHeight="1" x14ac:dyDescent="0.25">
      <c r="A623" s="141" t="s">
        <v>2592</v>
      </c>
      <c r="B623" s="141">
        <v>626</v>
      </c>
      <c r="C623" s="141">
        <v>17</v>
      </c>
      <c r="D623" s="141">
        <v>14</v>
      </c>
      <c r="E623" s="141" t="s">
        <v>2778</v>
      </c>
      <c r="F623" s="141" t="s">
        <v>2582</v>
      </c>
      <c r="G623" s="141" t="s">
        <v>2781</v>
      </c>
      <c r="H623" s="141" t="s">
        <v>2591</v>
      </c>
      <c r="I623" s="142" t="s">
        <v>504</v>
      </c>
      <c r="J623" s="142" t="s">
        <v>2583</v>
      </c>
      <c r="K623" s="142" t="s">
        <v>2590</v>
      </c>
    </row>
    <row r="624" spans="1:11" ht="15" customHeight="1" x14ac:dyDescent="0.25">
      <c r="A624" s="141" t="s">
        <v>2597</v>
      </c>
      <c r="B624" s="141">
        <v>627</v>
      </c>
      <c r="C624" s="141">
        <v>17</v>
      </c>
      <c r="D624" s="141">
        <v>14</v>
      </c>
      <c r="E624" s="141" t="s">
        <v>2782</v>
      </c>
      <c r="F624" s="141" t="s">
        <v>2593</v>
      </c>
      <c r="G624" s="141" t="s">
        <v>2783</v>
      </c>
      <c r="H624" s="141" t="s">
        <v>2596</v>
      </c>
      <c r="I624" s="142" t="s">
        <v>504</v>
      </c>
      <c r="J624" s="142" t="s">
        <v>2594</v>
      </c>
      <c r="K624" s="142" t="s">
        <v>2595</v>
      </c>
    </row>
    <row r="625" spans="1:11" ht="15" customHeight="1" x14ac:dyDescent="0.25">
      <c r="A625" s="141" t="s">
        <v>2600</v>
      </c>
      <c r="B625" s="141">
        <v>628</v>
      </c>
      <c r="C625" s="141">
        <v>17</v>
      </c>
      <c r="D625" s="141">
        <v>14</v>
      </c>
      <c r="E625" s="141" t="s">
        <v>2782</v>
      </c>
      <c r="F625" s="141" t="s">
        <v>2593</v>
      </c>
      <c r="G625" s="141" t="s">
        <v>2784</v>
      </c>
      <c r="H625" s="141" t="s">
        <v>2599</v>
      </c>
      <c r="I625" s="142" t="s">
        <v>504</v>
      </c>
      <c r="J625" s="142" t="s">
        <v>2594</v>
      </c>
      <c r="K625" s="142" t="s">
        <v>2598</v>
      </c>
    </row>
    <row r="626" spans="1:11" ht="15" customHeight="1" x14ac:dyDescent="0.25">
      <c r="A626" s="141" t="s">
        <v>2606</v>
      </c>
      <c r="B626" s="141">
        <v>629</v>
      </c>
      <c r="C626" s="141">
        <v>18</v>
      </c>
      <c r="D626" s="141">
        <v>15</v>
      </c>
      <c r="E626" s="141" t="s">
        <v>2785</v>
      </c>
      <c r="F626" s="141" t="s">
        <v>2602</v>
      </c>
      <c r="G626" s="141" t="s">
        <v>2786</v>
      </c>
      <c r="H626" s="141" t="s">
        <v>2605</v>
      </c>
      <c r="I626" s="142" t="s">
        <v>2601</v>
      </c>
      <c r="J626" s="142" t="s">
        <v>2603</v>
      </c>
      <c r="K626" s="142" t="s">
        <v>2604</v>
      </c>
    </row>
    <row r="627" spans="1:11" ht="15" customHeight="1" x14ac:dyDescent="0.25">
      <c r="A627" s="141" t="s">
        <v>2609</v>
      </c>
      <c r="B627" s="141">
        <v>630</v>
      </c>
      <c r="C627" s="141">
        <v>18</v>
      </c>
      <c r="D627" s="141">
        <v>15</v>
      </c>
      <c r="E627" s="141" t="s">
        <v>2785</v>
      </c>
      <c r="F627" s="141" t="s">
        <v>2602</v>
      </c>
      <c r="G627" s="141" t="s">
        <v>2787</v>
      </c>
      <c r="H627" s="141" t="s">
        <v>2608</v>
      </c>
      <c r="I627" s="142" t="s">
        <v>2601</v>
      </c>
      <c r="J627" s="142" t="s">
        <v>2603</v>
      </c>
      <c r="K627" s="142" t="s">
        <v>2607</v>
      </c>
    </row>
    <row r="628" spans="1:11" ht="15" customHeight="1" x14ac:dyDescent="0.25">
      <c r="A628" s="141" t="s">
        <v>2612</v>
      </c>
      <c r="B628" s="141">
        <v>631</v>
      </c>
      <c r="C628" s="141">
        <v>18</v>
      </c>
      <c r="D628" s="141">
        <v>15</v>
      </c>
      <c r="E628" s="141" t="s">
        <v>2785</v>
      </c>
      <c r="F628" s="141" t="s">
        <v>2602</v>
      </c>
      <c r="G628" s="141" t="s">
        <v>2788</v>
      </c>
      <c r="H628" s="141" t="s">
        <v>2611</v>
      </c>
      <c r="I628" s="142" t="s">
        <v>2601</v>
      </c>
      <c r="J628" s="142" t="s">
        <v>2603</v>
      </c>
      <c r="K628" s="142" t="s">
        <v>2610</v>
      </c>
    </row>
    <row r="629" spans="1:11" ht="15" customHeight="1" x14ac:dyDescent="0.25">
      <c r="A629" s="141" t="s">
        <v>2617</v>
      </c>
      <c r="B629" s="141">
        <v>632</v>
      </c>
      <c r="C629" s="141">
        <v>18</v>
      </c>
      <c r="D629" s="141">
        <v>15</v>
      </c>
      <c r="E629" s="141" t="s">
        <v>2789</v>
      </c>
      <c r="F629" s="141" t="s">
        <v>2613</v>
      </c>
      <c r="G629" s="141" t="s">
        <v>2790</v>
      </c>
      <c r="H629" s="141" t="s">
        <v>2616</v>
      </c>
      <c r="I629" s="142" t="s">
        <v>2601</v>
      </c>
      <c r="J629" s="142" t="s">
        <v>2614</v>
      </c>
      <c r="K629" s="142" t="s">
        <v>2615</v>
      </c>
    </row>
    <row r="630" spans="1:11" ht="15" customHeight="1" x14ac:dyDescent="0.25">
      <c r="A630" s="141" t="s">
        <v>2620</v>
      </c>
      <c r="B630" s="141">
        <v>633</v>
      </c>
      <c r="C630" s="141">
        <v>18</v>
      </c>
      <c r="D630" s="141">
        <v>15</v>
      </c>
      <c r="E630" s="141" t="s">
        <v>2789</v>
      </c>
      <c r="F630" s="141" t="s">
        <v>2613</v>
      </c>
      <c r="G630" s="141" t="s">
        <v>2791</v>
      </c>
      <c r="H630" s="141" t="s">
        <v>2619</v>
      </c>
      <c r="I630" s="142" t="s">
        <v>2601</v>
      </c>
      <c r="J630" s="142" t="s">
        <v>2614</v>
      </c>
      <c r="K630" s="142" t="s">
        <v>2618</v>
      </c>
    </row>
    <row r="631" spans="1:11" ht="15" customHeight="1" x14ac:dyDescent="0.25">
      <c r="A631" s="141" t="s">
        <v>2623</v>
      </c>
      <c r="B631" s="141">
        <v>634</v>
      </c>
      <c r="C631" s="141">
        <v>18</v>
      </c>
      <c r="D631" s="141">
        <v>15</v>
      </c>
      <c r="E631" s="141" t="s">
        <v>2789</v>
      </c>
      <c r="F631" s="141" t="s">
        <v>2613</v>
      </c>
      <c r="G631" s="141" t="s">
        <v>2792</v>
      </c>
      <c r="H631" s="141" t="s">
        <v>2622</v>
      </c>
      <c r="I631" s="142" t="s">
        <v>2601</v>
      </c>
      <c r="J631" s="142" t="s">
        <v>2614</v>
      </c>
      <c r="K631" s="142" t="s">
        <v>2621</v>
      </c>
    </row>
    <row r="632" spans="1:11" ht="15" customHeight="1" x14ac:dyDescent="0.25">
      <c r="A632" s="141" t="s">
        <v>2628</v>
      </c>
      <c r="B632" s="141">
        <v>635</v>
      </c>
      <c r="C632" s="141">
        <v>18</v>
      </c>
      <c r="D632" s="141">
        <v>15</v>
      </c>
      <c r="E632" s="141" t="s">
        <v>2793</v>
      </c>
      <c r="F632" s="141" t="s">
        <v>2624</v>
      </c>
      <c r="G632" s="141" t="s">
        <v>2794</v>
      </c>
      <c r="H632" s="141" t="s">
        <v>2627</v>
      </c>
      <c r="I632" s="142" t="s">
        <v>2601</v>
      </c>
      <c r="J632" s="142" t="s">
        <v>2625</v>
      </c>
      <c r="K632" s="142" t="s">
        <v>2626</v>
      </c>
    </row>
    <row r="633" spans="1:11" ht="15" customHeight="1" x14ac:dyDescent="0.25">
      <c r="A633" s="141" t="s">
        <v>2631</v>
      </c>
      <c r="B633" s="141">
        <v>636</v>
      </c>
      <c r="C633" s="141">
        <v>18</v>
      </c>
      <c r="D633" s="141">
        <v>15</v>
      </c>
      <c r="E633" s="141" t="s">
        <v>2793</v>
      </c>
      <c r="F633" s="141" t="s">
        <v>2624</v>
      </c>
      <c r="G633" s="141" t="s">
        <v>2795</v>
      </c>
      <c r="H633" s="141" t="s">
        <v>2630</v>
      </c>
      <c r="I633" s="142" t="s">
        <v>2601</v>
      </c>
      <c r="J633" s="142" t="s">
        <v>2625</v>
      </c>
      <c r="K633" s="142" t="s">
        <v>2629</v>
      </c>
    </row>
    <row r="634" spans="1:11" ht="15" customHeight="1" x14ac:dyDescent="0.25">
      <c r="A634" s="141" t="s">
        <v>2637</v>
      </c>
      <c r="B634" s="141">
        <v>637</v>
      </c>
      <c r="C634" s="141">
        <v>19</v>
      </c>
      <c r="D634" s="141">
        <v>16</v>
      </c>
      <c r="E634" s="141" t="s">
        <v>2796</v>
      </c>
      <c r="F634" s="141" t="s">
        <v>2633</v>
      </c>
      <c r="G634" s="141" t="s">
        <v>2797</v>
      </c>
      <c r="H634" s="141" t="s">
        <v>2636</v>
      </c>
      <c r="I634" s="142" t="s">
        <v>2632</v>
      </c>
      <c r="J634" s="142" t="s">
        <v>2634</v>
      </c>
      <c r="K634" s="142" t="s">
        <v>2635</v>
      </c>
    </row>
    <row r="635" spans="1:11" ht="15" customHeight="1" x14ac:dyDescent="0.25">
      <c r="A635" s="141" t="s">
        <v>2640</v>
      </c>
      <c r="B635" s="141">
        <v>638</v>
      </c>
      <c r="C635" s="141">
        <v>19</v>
      </c>
      <c r="D635" s="141">
        <v>16</v>
      </c>
      <c r="E635" s="141" t="s">
        <v>2796</v>
      </c>
      <c r="F635" s="141" t="s">
        <v>2633</v>
      </c>
      <c r="G635" s="141" t="s">
        <v>2798</v>
      </c>
      <c r="H635" s="141" t="s">
        <v>2639</v>
      </c>
      <c r="I635" s="142" t="s">
        <v>2632</v>
      </c>
      <c r="J635" s="142" t="s">
        <v>2634</v>
      </c>
      <c r="K635" s="142" t="s">
        <v>2638</v>
      </c>
    </row>
    <row r="636" spans="1:11" ht="15" customHeight="1" x14ac:dyDescent="0.25">
      <c r="A636" s="141" t="s">
        <v>2643</v>
      </c>
      <c r="B636" s="141">
        <v>639</v>
      </c>
      <c r="C636" s="141">
        <v>19</v>
      </c>
      <c r="D636" s="141">
        <v>16</v>
      </c>
      <c r="E636" s="141" t="s">
        <v>2796</v>
      </c>
      <c r="F636" s="141" t="s">
        <v>2633</v>
      </c>
      <c r="G636" s="141" t="s">
        <v>2799</v>
      </c>
      <c r="H636" s="141" t="s">
        <v>2642</v>
      </c>
      <c r="I636" s="142" t="s">
        <v>2632</v>
      </c>
      <c r="J636" s="142" t="s">
        <v>2634</v>
      </c>
      <c r="K636" s="142" t="s">
        <v>2641</v>
      </c>
    </row>
    <row r="637" spans="1:11" ht="15" customHeight="1" x14ac:dyDescent="0.25">
      <c r="A637" s="141" t="s">
        <v>2648</v>
      </c>
      <c r="B637" s="141">
        <v>640</v>
      </c>
      <c r="C637" s="141">
        <v>19</v>
      </c>
      <c r="D637" s="141">
        <v>16</v>
      </c>
      <c r="E637" s="141" t="s">
        <v>2800</v>
      </c>
      <c r="F637" s="141" t="s">
        <v>2644</v>
      </c>
      <c r="G637" s="141" t="s">
        <v>2801</v>
      </c>
      <c r="H637" s="141" t="s">
        <v>2647</v>
      </c>
      <c r="I637" s="142" t="s">
        <v>2632</v>
      </c>
      <c r="J637" s="142" t="s">
        <v>2645</v>
      </c>
      <c r="K637" s="142" t="s">
        <v>2646</v>
      </c>
    </row>
    <row r="638" spans="1:11" ht="15" customHeight="1" x14ac:dyDescent="0.25">
      <c r="A638" s="141" t="s">
        <v>2651</v>
      </c>
      <c r="B638" s="141">
        <v>641</v>
      </c>
      <c r="C638" s="141">
        <v>19</v>
      </c>
      <c r="D638" s="141">
        <v>16</v>
      </c>
      <c r="E638" s="141" t="s">
        <v>2800</v>
      </c>
      <c r="F638" s="141" t="s">
        <v>2644</v>
      </c>
      <c r="G638" s="141" t="s">
        <v>2802</v>
      </c>
      <c r="H638" s="141" t="s">
        <v>2650</v>
      </c>
      <c r="I638" s="142" t="s">
        <v>2632</v>
      </c>
      <c r="J638" s="142" t="s">
        <v>2645</v>
      </c>
      <c r="K638" s="142" t="s">
        <v>2649</v>
      </c>
    </row>
    <row r="639" spans="1:11" ht="15" customHeight="1" x14ac:dyDescent="0.25">
      <c r="A639" s="141" t="s">
        <v>2654</v>
      </c>
      <c r="B639" s="141">
        <v>642</v>
      </c>
      <c r="C639" s="141">
        <v>19</v>
      </c>
      <c r="D639" s="141">
        <v>16</v>
      </c>
      <c r="E639" s="141" t="s">
        <v>2800</v>
      </c>
      <c r="F639" s="141" t="s">
        <v>2644</v>
      </c>
      <c r="G639" s="141" t="s">
        <v>2803</v>
      </c>
      <c r="H639" s="141" t="s">
        <v>2653</v>
      </c>
      <c r="I639" s="142" t="s">
        <v>2632</v>
      </c>
      <c r="J639" s="142" t="s">
        <v>2645</v>
      </c>
      <c r="K639" s="142" t="s">
        <v>2652</v>
      </c>
    </row>
    <row r="640" spans="1:11" ht="15" customHeight="1" x14ac:dyDescent="0.25">
      <c r="A640" s="141" t="s">
        <v>2659</v>
      </c>
      <c r="B640" s="141">
        <v>643</v>
      </c>
      <c r="C640" s="141">
        <v>19</v>
      </c>
      <c r="D640" s="141">
        <v>16</v>
      </c>
      <c r="E640" s="141" t="s">
        <v>2804</v>
      </c>
      <c r="F640" s="141" t="s">
        <v>2655</v>
      </c>
      <c r="G640" s="141" t="s">
        <v>2805</v>
      </c>
      <c r="H640" s="141" t="s">
        <v>2658</v>
      </c>
      <c r="I640" s="142" t="s">
        <v>2632</v>
      </c>
      <c r="J640" s="142" t="s">
        <v>2656</v>
      </c>
      <c r="K640" s="142" t="s">
        <v>2657</v>
      </c>
    </row>
    <row r="641" spans="1:11" ht="15" customHeight="1" x14ac:dyDescent="0.25">
      <c r="A641" s="141" t="s">
        <v>2662</v>
      </c>
      <c r="B641" s="141">
        <v>644</v>
      </c>
      <c r="C641" s="141">
        <v>19</v>
      </c>
      <c r="D641" s="141">
        <v>16</v>
      </c>
      <c r="E641" s="141" t="s">
        <v>2804</v>
      </c>
      <c r="F641" s="141" t="s">
        <v>2655</v>
      </c>
      <c r="G641" s="141" t="s">
        <v>2806</v>
      </c>
      <c r="H641" s="141" t="s">
        <v>2661</v>
      </c>
      <c r="I641" s="142" t="s">
        <v>2632</v>
      </c>
      <c r="J641" s="142" t="s">
        <v>2656</v>
      </c>
      <c r="K641" s="142" t="s">
        <v>2660</v>
      </c>
    </row>
    <row r="642" spans="1:11" ht="15" customHeight="1" x14ac:dyDescent="0.25">
      <c r="A642" s="141" t="s">
        <v>2665</v>
      </c>
      <c r="B642" s="141">
        <v>645</v>
      </c>
      <c r="C642" s="141">
        <v>19</v>
      </c>
      <c r="D642" s="141">
        <v>16</v>
      </c>
      <c r="E642" s="141" t="s">
        <v>2804</v>
      </c>
      <c r="F642" s="141" t="s">
        <v>2655</v>
      </c>
      <c r="G642" s="141" t="s">
        <v>2807</v>
      </c>
      <c r="H642" s="141" t="s">
        <v>2664</v>
      </c>
      <c r="I642" s="142" t="s">
        <v>2632</v>
      </c>
      <c r="J642" s="142" t="s">
        <v>2656</v>
      </c>
      <c r="K642" s="142" t="s">
        <v>2663</v>
      </c>
    </row>
  </sheetData>
  <autoFilter ref="A1:K642" xr:uid="{00000000-0009-0000-0000-000006000000}"/>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141D75A5BD84478D87D12BA8C9D39D" ma:contentTypeVersion="7" ma:contentTypeDescription="Create a new document." ma:contentTypeScope="" ma:versionID="152d27470afac8e00c7b62042e8850fc">
  <xsd:schema xmlns:xsd="http://www.w3.org/2001/XMLSchema" xmlns:xs="http://www.w3.org/2001/XMLSchema" xmlns:p="http://schemas.microsoft.com/office/2006/metadata/properties" xmlns:ns2="4fcfdbae-2668-438a-bd4e-690dc6d0d44b" targetNamespace="http://schemas.microsoft.com/office/2006/metadata/properties" ma:root="true" ma:fieldsID="f2d2499d95e2fed8a054c5fc7c290a31" ns2:_="">
    <xsd:import namespace="4fcfdbae-2668-438a-bd4e-690dc6d0d4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cfdbae-2668-438a-bd4e-690dc6d0d4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67A7632-61D6-4A13-93C5-0F5B7A2DAE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cfdbae-2668-438a-bd4e-690dc6d0d4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A25521-15E4-4F46-8915-B0B0EA713FFE}">
  <ds:schemaRefs>
    <ds:schemaRef ds:uri="http://schemas.microsoft.com/sharepoint/v3/contenttype/forms"/>
  </ds:schemaRefs>
</ds:datastoreItem>
</file>

<file path=customXml/itemProps3.xml><?xml version="1.0" encoding="utf-8"?>
<ds:datastoreItem xmlns:ds="http://schemas.openxmlformats.org/officeDocument/2006/customXml" ds:itemID="{F1B12711-3779-4770-84DA-934D08A0E842}">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1d6506a3-af81-4561-83f6-354ce416db9f}" enabled="1" method="Standard" siteId="{03e832ce-094d-4423-b864-c11e2a62650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Cover</vt:lpstr>
      <vt:lpstr>Assessment</vt:lpstr>
      <vt:lpstr>Change Plan (PC)</vt:lpstr>
      <vt:lpstr>Onboarding List (AC)</vt:lpstr>
      <vt:lpstr>Product Backlog (FB)</vt:lpstr>
      <vt:lpstr>Summary</vt:lpstr>
      <vt:lpstr>Renumber Map</vt:lpstr>
      <vt:lpstr>Assessment!Print_Titles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Cristian Gaspari</cp:lastModifiedBy>
  <cp:revision/>
  <dcterms:created xsi:type="dcterms:W3CDTF">2026-08-26T20:21:00Z</dcterms:created>
  <dcterms:modified xsi:type="dcterms:W3CDTF">2026-09-03T22:14:01Z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2026-04-22T17:29:25Z</dcterms:created>
  <dc:creator>openpyxl</dc:creator>
  <dc:description/>
  <dc:language>en-US</dc:language>
  <cp:lastModifiedBy>Sanjeev Sharma</cp:lastModifiedBy>
  <dcterms:modified xsi:type="dcterms:W3CDTF">2026-08-24T14:46:20Z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0x01010066141D75A5BD84478D87D12BA8C9D39D</vt:lpwstr>
  </property>
  <property fmtid="{D5CDD505-2E9C-101B-9397-08002B2CF9AE}" pid="3" name="MediaServiceImageTags">
    <vt:lpwstr/>
  </property>
</Properties>
</file>